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EADME" sheetId="1" state="visible" r:id="rId1"/>
    <sheet xmlns:r="http://schemas.openxmlformats.org/officeDocument/2006/relationships" name="Company_Master" sheetId="2" state="visible" r:id="rId2"/>
    <sheet xmlns:r="http://schemas.openxmlformats.org/officeDocument/2006/relationships" name="Score_Rationale" sheetId="3" state="visible" r:id="rId3"/>
    <sheet xmlns:r="http://schemas.openxmlformats.org/officeDocument/2006/relationships" name="Action_Log" sheetId="4" state="visible" r:id="rId4"/>
    <sheet xmlns:r="http://schemas.openxmlformats.org/officeDocument/2006/relationships" name="Social_Media_Log" sheetId="5" state="visible" r:id="rId5"/>
    <sheet xmlns:r="http://schemas.openxmlformats.org/officeDocument/2006/relationships" name="Statements_Reports" sheetId="6" state="visible" r:id="rId6"/>
    <sheet xmlns:r="http://schemas.openxmlformats.org/officeDocument/2006/relationships" name="Scoring_Reference" sheetId="7" state="visible" r:id="rId7"/>
    <sheet xmlns:r="http://schemas.openxmlformats.org/officeDocument/2006/relationships" name="Sector_Summary" sheetId="8" state="visible" r:id="rId8"/>
  </sheets>
  <definedNames/>
  <calcPr calcId="124519" fullCalcOnLoad="1" refMode="A1" iterate="0" iterateCount="100" iterateDelta="0.0001"/>
</workbook>
</file>

<file path=xl/styles.xml><?xml version="1.0" encoding="utf-8"?>
<styleSheet xmlns="http://schemas.openxmlformats.org/spreadsheetml/2006/main">
  <numFmts count="0"/>
  <fonts count="17">
    <font>
      <name val="Calibri"/>
      <charset val="1"/>
      <family val="2"/>
      <color theme="1"/>
      <sz val="11"/>
    </font>
    <font>
      <name val="Arial"/>
      <family val="0"/>
      <sz val="10"/>
    </font>
    <font>
      <name val="Arial"/>
      <family val="0"/>
      <sz val="10"/>
    </font>
    <font>
      <name val="Arial"/>
      <family val="0"/>
      <sz val="10"/>
    </font>
    <font>
      <name val="Arial"/>
      <charset val="1"/>
      <family val="0"/>
      <b val="1"/>
      <color rgb="FF111827"/>
      <sz val="20"/>
    </font>
    <font>
      <name val="Arial"/>
      <charset val="1"/>
      <family val="0"/>
      <i val="1"/>
      <color rgb="FF4338CA"/>
      <sz val="12"/>
    </font>
    <font>
      <name val="Arial"/>
      <charset val="1"/>
      <family val="0"/>
      <color rgb="FF111827"/>
      <sz val="10"/>
    </font>
    <font>
      <name val="Arial"/>
      <charset val="1"/>
      <family val="0"/>
      <b val="1"/>
      <color rgb="FF4338CA"/>
      <sz val="12"/>
    </font>
    <font>
      <name val="Arial"/>
      <charset val="1"/>
      <family val="0"/>
      <b val="1"/>
      <color rgb="FF111827"/>
      <sz val="10"/>
    </font>
    <font>
      <name val="Arial"/>
      <charset val="1"/>
      <family val="0"/>
      <color rgb="FF6B7280"/>
      <sz val="10"/>
    </font>
    <font>
      <name val="Arial"/>
      <charset val="1"/>
      <family val="0"/>
      <b val="1"/>
      <color rgb="FFFFFFFF"/>
      <sz val="10"/>
    </font>
    <font>
      <name val="Arial"/>
      <charset val="1"/>
      <family val="0"/>
      <color rgb="FF047857"/>
      <sz val="10"/>
    </font>
    <font>
      <name val="Arial"/>
      <charset val="1"/>
      <family val="0"/>
      <color rgb="FFB91C1C"/>
      <sz val="10"/>
    </font>
    <font>
      <name val="Arial"/>
      <charset val="1"/>
      <family val="0"/>
      <b val="1"/>
      <color rgb="FF4338CA"/>
      <sz val="10"/>
    </font>
    <font>
      <name val="Arial"/>
      <charset val="1"/>
      <family val="0"/>
      <i val="1"/>
      <color rgb="FF6B7280"/>
      <sz val="9"/>
    </font>
    <font>
      <name val="Arial"/>
      <charset val="1"/>
      <family val="0"/>
      <b val="1"/>
      <color rgb="FF047857"/>
      <sz val="10"/>
    </font>
    <font>
      <name val="Arial"/>
      <charset val="1"/>
      <family val="0"/>
      <b val="1"/>
      <color rgb="FFB91C1C"/>
      <sz val="10"/>
    </font>
  </fonts>
  <fills count="7">
    <fill>
      <patternFill/>
    </fill>
    <fill>
      <patternFill patternType="gray125"/>
    </fill>
    <fill>
      <patternFill patternType="solid">
        <fgColor rgb="FF312E81"/>
        <bgColor rgb="FF333333"/>
      </patternFill>
    </fill>
    <fill>
      <patternFill patternType="solid">
        <fgColor rgb="FFF9FAFB"/>
        <bgColor rgb="FFFFFFFF"/>
      </patternFill>
    </fill>
    <fill>
      <patternFill patternType="solid">
        <fgColor rgb="FFFFFFFF"/>
        <bgColor rgb="FFF9FAFB"/>
      </patternFill>
    </fill>
    <fill>
      <patternFill patternType="solid">
        <fgColor rgb="FFEEF2FF"/>
        <bgColor rgb="FFF9FAFB"/>
      </patternFill>
    </fill>
    <fill>
      <patternFill patternType="solid">
        <fgColor rgb="FFE0E7FF"/>
        <bgColor rgb="FFEEF2FF"/>
      </patternFill>
    </fill>
  </fills>
  <borders count="2">
    <border>
      <left/>
      <right/>
      <top/>
      <bottom/>
      <diagonal/>
    </border>
    <border>
      <left style="thin">
        <color rgb="FFD1D5DB"/>
      </left>
      <right style="thin">
        <color rgb="FFD1D5DB"/>
      </right>
      <top style="thin">
        <color rgb="FFD1D5DB"/>
      </top>
      <bottom style="thin">
        <color rgb="FFD1D5D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8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9" fillId="0" borderId="0" applyAlignment="1" pivotButton="0" quotePrefix="0" xfId="0">
      <alignment horizontal="general" vertical="top" wrapText="1"/>
    </xf>
    <xf numFmtId="0" fontId="10" fillId="2" borderId="1" applyAlignment="1" pivotButton="0" quotePrefix="0" xfId="0">
      <alignment horizontal="center" vertical="center" wrapText="1"/>
    </xf>
    <xf numFmtId="0" fontId="8" fillId="3" borderId="1" applyAlignment="1" pivotButton="0" quotePrefix="0" xfId="0">
      <alignment horizontal="left" vertical="top" wrapText="1"/>
    </xf>
    <xf numFmtId="0" fontId="6" fillId="3" borderId="1" applyAlignment="1" pivotButton="0" quotePrefix="0" xfId="0">
      <alignment horizontal="center" vertical="top" wrapText="1"/>
    </xf>
    <xf numFmtId="0" fontId="6" fillId="3" borderId="1" applyAlignment="1" pivotButton="0" quotePrefix="0" xfId="0">
      <alignment horizontal="left" vertical="top" wrapText="1"/>
    </xf>
    <xf numFmtId="0" fontId="11" fillId="3" borderId="1" applyAlignment="1" pivotButton="0" quotePrefix="0" xfId="0">
      <alignment horizontal="center" vertical="top" wrapText="1"/>
    </xf>
    <xf numFmtId="0" fontId="12" fillId="3" borderId="1" applyAlignment="1" pivotButton="0" quotePrefix="0" xfId="0">
      <alignment horizontal="center" vertical="top" wrapText="1"/>
    </xf>
    <xf numFmtId="0" fontId="13" fillId="3" borderId="1" applyAlignment="1" pivotButton="0" quotePrefix="0" xfId="0">
      <alignment horizontal="center" vertical="top" wrapText="1"/>
    </xf>
    <xf numFmtId="0" fontId="8" fillId="3" borderId="1" applyAlignment="1" pivotButton="0" quotePrefix="0" xfId="0">
      <alignment horizontal="center" vertical="top" wrapText="1"/>
    </xf>
    <xf numFmtId="0" fontId="8" fillId="4" borderId="1" applyAlignment="1" pivotButton="0" quotePrefix="0" xfId="0">
      <alignment horizontal="left" vertical="top" wrapText="1"/>
    </xf>
    <xf numFmtId="0" fontId="6" fillId="4" borderId="1" applyAlignment="1" pivotButton="0" quotePrefix="0" xfId="0">
      <alignment horizontal="center" vertical="top" wrapText="1"/>
    </xf>
    <xf numFmtId="0" fontId="6" fillId="4" borderId="1" applyAlignment="1" pivotButton="0" quotePrefix="0" xfId="0">
      <alignment horizontal="left" vertical="top" wrapText="1"/>
    </xf>
    <xf numFmtId="0" fontId="11" fillId="4" borderId="1" applyAlignment="1" pivotButton="0" quotePrefix="0" xfId="0">
      <alignment horizontal="center" vertical="top" wrapText="1"/>
    </xf>
    <xf numFmtId="0" fontId="12" fillId="4" borderId="1" applyAlignment="1" pivotButton="0" quotePrefix="0" xfId="0">
      <alignment horizontal="center" vertical="top" wrapText="1"/>
    </xf>
    <xf numFmtId="0" fontId="13" fillId="4" borderId="1" applyAlignment="1" pivotButton="0" quotePrefix="0" xfId="0">
      <alignment horizontal="center" vertical="top" wrapText="1"/>
    </xf>
    <xf numFmtId="0" fontId="8" fillId="4" borderId="1" applyAlignment="1" pivotButton="0" quotePrefix="0" xfId="0">
      <alignment horizontal="center" vertical="top" wrapText="1"/>
    </xf>
    <xf numFmtId="0" fontId="14" fillId="5" borderId="1" applyAlignment="1" pivotButton="0" quotePrefix="0" xfId="0">
      <alignment horizontal="general" vertical="top" wrapText="1"/>
    </xf>
    <xf numFmtId="0" fontId="8" fillId="4" borderId="1" applyAlignment="1" pivotButton="0" quotePrefix="0" xfId="0">
      <alignment horizontal="general" vertical="top" wrapText="1"/>
    </xf>
    <xf numFmtId="0" fontId="8" fillId="3" borderId="1" applyAlignment="1" pivotButton="0" quotePrefix="0" xfId="0">
      <alignment horizontal="general" vertical="top" wrapText="1"/>
    </xf>
    <xf numFmtId="0" fontId="14" fillId="5" borderId="1" applyAlignment="1" pivotButton="0" quotePrefix="0" xfId="0">
      <alignment horizontal="left" vertical="top" wrapText="1"/>
    </xf>
    <xf numFmtId="0" fontId="0" fillId="5" borderId="1" applyAlignment="1" pivotButton="0" quotePrefix="0" xfId="0">
      <alignment horizontal="general" vertical="bottom"/>
    </xf>
    <xf numFmtId="0" fontId="6" fillId="3" borderId="1" applyAlignment="1" pivotButton="0" quotePrefix="0" xfId="0">
      <alignment horizontal="left" vertical="top"/>
    </xf>
    <xf numFmtId="0" fontId="6" fillId="3" borderId="1" applyAlignment="1" pivotButton="0" quotePrefix="0" xfId="0">
      <alignment horizontal="center" vertical="top"/>
    </xf>
    <xf numFmtId="0" fontId="15" fillId="3" borderId="1" applyAlignment="1" pivotButton="0" quotePrefix="0" xfId="0">
      <alignment horizontal="center" vertical="top"/>
    </xf>
    <xf numFmtId="0" fontId="6" fillId="4" borderId="1" applyAlignment="1" pivotButton="0" quotePrefix="0" xfId="0">
      <alignment horizontal="left" vertical="top"/>
    </xf>
    <xf numFmtId="0" fontId="6" fillId="4" borderId="1" applyAlignment="1" pivotButton="0" quotePrefix="0" xfId="0">
      <alignment horizontal="center" vertical="top"/>
    </xf>
    <xf numFmtId="0" fontId="15" fillId="4" borderId="1" applyAlignment="1" pivotButton="0" quotePrefix="0" xfId="0">
      <alignment horizontal="center" vertical="top"/>
    </xf>
    <xf numFmtId="0" fontId="16" fillId="4" borderId="1" applyAlignment="1" pivotButton="0" quotePrefix="0" xfId="0">
      <alignment horizontal="center" vertical="top"/>
    </xf>
    <xf numFmtId="0" fontId="16" fillId="3" borderId="1" applyAlignment="1" pivotButton="0" quotePrefix="0" xfId="0">
      <alignment horizontal="center" vertical="top"/>
    </xf>
    <xf numFmtId="0" fontId="8" fillId="6" borderId="1" applyAlignment="1" pivotButton="0" quotePrefix="0" xfId="0">
      <alignment horizontal="left" vertical="top" wrapText="1"/>
    </xf>
    <xf numFmtId="0" fontId="8" fillId="6" borderId="1" applyAlignment="1" pivotButton="0" quotePrefix="0" xfId="0">
      <alignment horizontal="center" vertical="top" wrapText="1"/>
    </xf>
    <xf numFmtId="0" fontId="13" fillId="6" borderId="1" applyAlignment="1" pivotButton="0" quotePrefix="0" xfId="0">
      <alignment horizontal="center" vertical="top" wrapText="1"/>
    </xf>
    <xf numFmtId="0" fontId="15" fillId="6" borderId="1" applyAlignment="1" pivotButton="0" quotePrefix="0" xfId="0">
      <alignment horizontal="center" vertical="top" wrapText="1"/>
    </xf>
    <xf numFmtId="0" fontId="16" fillId="6" borderId="1" applyAlignment="1" pivotButton="0" quotePrefix="0" xfId="0">
      <alignment horizontal="center"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9" fillId="0" borderId="0" applyAlignment="1" pivotButton="0" quotePrefix="0" xfId="0">
      <alignment horizontal="general" vertical="top" wrapText="1"/>
    </xf>
    <xf numFmtId="0" fontId="10" fillId="2" borderId="1" applyAlignment="1" pivotButton="0" quotePrefix="0" xfId="0">
      <alignment horizontal="center" vertical="center" wrapText="1"/>
    </xf>
    <xf numFmtId="0" fontId="8" fillId="3" borderId="1" applyAlignment="1" pivotButton="0" quotePrefix="0" xfId="0">
      <alignment horizontal="left" vertical="top" wrapText="1"/>
    </xf>
    <xf numFmtId="0" fontId="6" fillId="3" borderId="1" applyAlignment="1" pivotButton="0" quotePrefix="0" xfId="0">
      <alignment horizontal="center" vertical="top" wrapText="1"/>
    </xf>
    <xf numFmtId="0" fontId="6" fillId="3" borderId="1" applyAlignment="1" pivotButton="0" quotePrefix="0" xfId="0">
      <alignment horizontal="left" vertical="top" wrapText="1"/>
    </xf>
    <xf numFmtId="0" fontId="11" fillId="3" borderId="1" applyAlignment="1" pivotButton="0" quotePrefix="0" xfId="0">
      <alignment horizontal="center" vertical="top" wrapText="1"/>
    </xf>
    <xf numFmtId="0" fontId="12" fillId="3" borderId="1" applyAlignment="1" pivotButton="0" quotePrefix="0" xfId="0">
      <alignment horizontal="center" vertical="top" wrapText="1"/>
    </xf>
    <xf numFmtId="0" fontId="13" fillId="3" borderId="1" applyAlignment="1" pivotButton="0" quotePrefix="0" xfId="0">
      <alignment horizontal="center" vertical="top" wrapText="1"/>
    </xf>
    <xf numFmtId="0" fontId="8" fillId="3" borderId="1" applyAlignment="1" pivotButton="0" quotePrefix="0" xfId="0">
      <alignment horizontal="center" vertical="top" wrapText="1"/>
    </xf>
    <xf numFmtId="0" fontId="8" fillId="4" borderId="1" applyAlignment="1" pivotButton="0" quotePrefix="0" xfId="0">
      <alignment horizontal="left" vertical="top" wrapText="1"/>
    </xf>
    <xf numFmtId="0" fontId="6" fillId="4" borderId="1" applyAlignment="1" pivotButton="0" quotePrefix="0" xfId="0">
      <alignment horizontal="center" vertical="top" wrapText="1"/>
    </xf>
    <xf numFmtId="0" fontId="6" fillId="4" borderId="1" applyAlignment="1" pivotButton="0" quotePrefix="0" xfId="0">
      <alignment horizontal="left" vertical="top" wrapText="1"/>
    </xf>
    <xf numFmtId="0" fontId="11" fillId="4" borderId="1" applyAlignment="1" pivotButton="0" quotePrefix="0" xfId="0">
      <alignment horizontal="center" vertical="top" wrapText="1"/>
    </xf>
    <xf numFmtId="0" fontId="12" fillId="4" borderId="1" applyAlignment="1" pivotButton="0" quotePrefix="0" xfId="0">
      <alignment horizontal="center" vertical="top" wrapText="1"/>
    </xf>
    <xf numFmtId="0" fontId="13" fillId="4" borderId="1" applyAlignment="1" pivotButton="0" quotePrefix="0" xfId="0">
      <alignment horizontal="center" vertical="top" wrapText="1"/>
    </xf>
    <xf numFmtId="0" fontId="8" fillId="4" borderId="1" applyAlignment="1" pivotButton="0" quotePrefix="0" xfId="0">
      <alignment horizontal="center" vertical="top" wrapText="1"/>
    </xf>
    <xf numFmtId="0" fontId="14" fillId="5" borderId="1" applyAlignment="1" pivotButton="0" quotePrefix="0" xfId="0">
      <alignment horizontal="general" vertical="top" wrapText="1"/>
    </xf>
    <xf numFmtId="0" fontId="8" fillId="4" borderId="1" applyAlignment="1" pivotButton="0" quotePrefix="0" xfId="0">
      <alignment horizontal="general" vertical="top" wrapText="1"/>
    </xf>
    <xf numFmtId="0" fontId="8" fillId="3" borderId="1" applyAlignment="1" pivotButton="0" quotePrefix="0" xfId="0">
      <alignment horizontal="general" vertical="top" wrapText="1"/>
    </xf>
    <xf numFmtId="0" fontId="14" fillId="5" borderId="1" applyAlignment="1" pivotButton="0" quotePrefix="0" xfId="0">
      <alignment horizontal="left" vertical="top" wrapText="1"/>
    </xf>
    <xf numFmtId="0" fontId="0" fillId="5" borderId="1" applyAlignment="1" pivotButton="0" quotePrefix="0" xfId="0">
      <alignment horizontal="general" vertical="bottom"/>
    </xf>
    <xf numFmtId="0" fontId="6" fillId="3" borderId="1" applyAlignment="1" pivotButton="0" quotePrefix="0" xfId="0">
      <alignment horizontal="left" vertical="top"/>
    </xf>
    <xf numFmtId="0" fontId="6" fillId="3" borderId="1" applyAlignment="1" pivotButton="0" quotePrefix="0" xfId="0">
      <alignment horizontal="center" vertical="top"/>
    </xf>
    <xf numFmtId="0" fontId="15" fillId="3" borderId="1" applyAlignment="1" pivotButton="0" quotePrefix="0" xfId="0">
      <alignment horizontal="center" vertical="top"/>
    </xf>
    <xf numFmtId="0" fontId="6" fillId="4" borderId="1" applyAlignment="1" pivotButton="0" quotePrefix="0" xfId="0">
      <alignment horizontal="left" vertical="top"/>
    </xf>
    <xf numFmtId="0" fontId="6" fillId="4" borderId="1" applyAlignment="1" pivotButton="0" quotePrefix="0" xfId="0">
      <alignment horizontal="center" vertical="top"/>
    </xf>
    <xf numFmtId="0" fontId="15" fillId="4" borderId="1" applyAlignment="1" pivotButton="0" quotePrefix="0" xfId="0">
      <alignment horizontal="center" vertical="top"/>
    </xf>
    <xf numFmtId="0" fontId="16" fillId="4" borderId="1" applyAlignment="1" pivotButton="0" quotePrefix="0" xfId="0">
      <alignment horizontal="center" vertical="top"/>
    </xf>
    <xf numFmtId="0" fontId="16" fillId="3" borderId="1" applyAlignment="1" pivotButton="0" quotePrefix="0" xfId="0">
      <alignment horizontal="center" vertical="top"/>
    </xf>
    <xf numFmtId="0" fontId="8" fillId="6" borderId="1" applyAlignment="1" pivotButton="0" quotePrefix="0" xfId="0">
      <alignment horizontal="left" vertical="top" wrapText="1"/>
    </xf>
    <xf numFmtId="0" fontId="8" fillId="6" borderId="1" applyAlignment="1" pivotButton="0" quotePrefix="0" xfId="0">
      <alignment horizontal="center" vertical="top" wrapText="1"/>
    </xf>
    <xf numFmtId="0" fontId="13" fillId="6" borderId="1" applyAlignment="1" pivotButton="0" quotePrefix="0" xfId="0">
      <alignment horizontal="center" vertical="top" wrapText="1"/>
    </xf>
    <xf numFmtId="0" fontId="15" fillId="6" borderId="1" applyAlignment="1" pivotButton="0" quotePrefix="0" xfId="0">
      <alignment horizontal="center" vertical="top" wrapText="1"/>
    </xf>
    <xf numFmtId="0" fontId="16" fillId="6" borderId="1" applyAlignment="1" pivotButton="0" quotePrefix="0" xfId="0">
      <alignment horizontal="center"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47857"/>
      <rgbColor rgb="FFC0C0C0"/>
      <rgbColor rgb="FF808080"/>
      <rgbColor rgb="FF9999FF"/>
      <rgbColor rgb="FF993366"/>
      <rgbColor rgb="FFF9FAFB"/>
      <rgbColor rgb="FFEEF2FF"/>
      <rgbColor rgb="FF660066"/>
      <rgbColor rgb="FFFF8080"/>
      <rgbColor rgb="FF0066CC"/>
      <rgbColor rgb="FFD1D5DB"/>
      <rgbColor rgb="FF000080"/>
      <rgbColor rgb="FFFF00FF"/>
      <rgbColor rgb="FFFFFF00"/>
      <rgbColor rgb="FF00FFFF"/>
      <rgbColor rgb="FF800080"/>
      <rgbColor rgb="FF800000"/>
      <rgbColor rgb="FF008080"/>
      <rgbColor rgb="FF0000FF"/>
      <rgbColor rgb="FF00CCFF"/>
      <rgbColor rgb="FFE0E7FF"/>
      <rgbColor rgb="FFCCFFCC"/>
      <rgbColor rgb="FFFFFF99"/>
      <rgbColor rgb="FF99CCFF"/>
      <rgbColor rgb="FFFF99CC"/>
      <rgbColor rgb="FFCC99FF"/>
      <rgbColor rgb="FFFFCC99"/>
      <rgbColor rgb="FF4338CA"/>
      <rgbColor rgb="FF33CCCC"/>
      <rgbColor rgb="FF99CC00"/>
      <rgbColor rgb="FFFFCC00"/>
      <rgbColor rgb="FFFF9900"/>
      <rgbColor rgb="FFFF6600"/>
      <rgbColor rgb="FF6B7280"/>
      <rgbColor rgb="FF969696"/>
      <rgbColor rgb="FF003366"/>
      <rgbColor rgb="FF339966"/>
      <rgbColor rgb="FF111827"/>
      <rgbColor rgb="FF333300"/>
      <rgbColor rgb="FFB91C1C"/>
      <rgbColor rgb="FF993366"/>
      <rgbColor rgb="FF312E81"/>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2" customWidth="1" style="41" min="1" max="1"/>
    <col width="75" customWidth="1" style="41" min="2" max="2"/>
  </cols>
  <sheetData>
    <row r="1" ht="24" customHeight="1" s="42">
      <c r="A1" s="43" t="inlineStr">
        <is>
          <t>CORPORATE PRIDE INDEX</t>
        </is>
      </c>
    </row>
    <row r="2" ht="15" customHeight="1" s="42">
      <c r="A2" s="44" t="inlineStr">
        <is>
          <t>Data Collection Workbook — Cowork → Claude Code Handoff Contract</t>
        </is>
      </c>
    </row>
    <row r="4" ht="15" customHeight="1" s="42">
      <c r="A4" s="45" t="n"/>
    </row>
    <row r="5" ht="15" customHeight="1" s="42">
      <c r="A5" s="46" t="inlineStr">
        <is>
          <t>PURPOSE</t>
        </is>
      </c>
    </row>
    <row r="6" ht="15" customHeight="1" s="42">
      <c r="A6" s="45" t="inlineStr">
        <is>
          <t>This workbook is the shared data contract between two tools, both running Fable 5:</t>
        </is>
      </c>
    </row>
    <row r="7" ht="15" customHeight="1" s="42">
      <c r="A7" s="45" t="inlineStr">
        <is>
          <t xml:space="preserve">  • COWORK fills it in — researching each company, logging sourced actions, and computing each index score.</t>
        </is>
      </c>
    </row>
    <row r="8" ht="15" customHeight="1" s="42">
      <c r="A8" s="45" t="inlineStr">
        <is>
          <t xml:space="preserve">  • CLAUDE CODE reads it — consuming the finished data to build the interactive website.</t>
        </is>
      </c>
    </row>
    <row r="9" ht="15" customHeight="1" s="42">
      <c r="A9" s="45" t="n"/>
    </row>
    <row r="10" ht="15" customHeight="1" s="42">
      <c r="A10" s="45" t="inlineStr">
        <is>
          <t>Fill every sheet completely before handing off. Every action must carry a source URL. No unsourced claims.</t>
        </is>
      </c>
    </row>
    <row r="11" ht="15" customHeight="1" s="42">
      <c r="A11" s="45" t="n"/>
    </row>
    <row r="12" ht="15" customHeight="1" s="42">
      <c r="A12" s="46" t="inlineStr">
        <is>
          <t>SHEET GUIDE</t>
        </is>
      </c>
    </row>
    <row r="13" ht="23.25" customHeight="1" s="42">
      <c r="A13" s="47" t="inlineStr">
        <is>
          <t>1. Company_Master</t>
        </is>
      </c>
      <c r="B13" s="48" t="inlineStr">
        <is>
          <t>One row per company. The headline table: final score, band, HRC CEI, summary counts, analyst notes.</t>
        </is>
      </c>
    </row>
    <row r="14" ht="23.25" customHeight="1" s="42">
      <c r="A14" s="47" t="inlineStr">
        <is>
          <t>2. Action_Log</t>
        </is>
      </c>
      <c r="B14" s="48" t="inlineStr">
        <is>
          <t>The evidence ledger. One row per individual action (positive or negative), each with a source URL and date.</t>
        </is>
      </c>
    </row>
    <row r="15" ht="15" customHeight="1" s="42">
      <c r="A15" s="47" t="inlineStr">
        <is>
          <t>3. Social_Media_Log</t>
        </is>
      </c>
      <c r="B15" s="48" t="inlineStr">
        <is>
          <t>Pride-related social posts: platform, date, description, link, and whether later deleted.</t>
        </is>
      </c>
    </row>
    <row r="16" ht="23.25" customHeight="1" s="42">
      <c r="A16" s="47" t="inlineStr">
        <is>
          <t>4. Statements_Reports</t>
        </is>
      </c>
      <c r="B16" s="48" t="inlineStr">
        <is>
          <t>Qualitative records: DEI policy language, press releases, executive quotes, ESG report excerpts.</t>
        </is>
      </c>
    </row>
    <row r="17" ht="15" customHeight="1" s="42">
      <c r="A17" s="47" t="inlineStr">
        <is>
          <t>5. Scoring_Reference</t>
        </is>
      </c>
      <c r="B17" s="48" t="inlineStr">
        <is>
          <t>The fixed point values for every action type. Do not edit — Action_Log references these IDs.</t>
        </is>
      </c>
    </row>
    <row r="18" ht="15" customHeight="1" s="42">
      <c r="A18" s="47" t="inlineStr">
        <is>
          <t>6. Sector_Summary</t>
        </is>
      </c>
      <c r="B18" s="48" t="inlineStr">
        <is>
          <t>Auto-calculated sector averages for benchmarking. Formulas already in place.</t>
        </is>
      </c>
    </row>
    <row r="19" ht="15" customHeight="1" s="42">
      <c r="A19" s="45" t="n"/>
    </row>
    <row r="20" ht="15" customHeight="1" s="42">
      <c r="A20" s="46" t="inlineStr">
        <is>
          <t>SCORING FORMULA</t>
        </is>
      </c>
    </row>
    <row r="21" ht="15" customHeight="1" s="42">
      <c r="A21" s="45" t="inlineStr">
        <is>
          <t>Final Score = 50 (baseline) + capped positive points + negative points, clamped to 0–100.</t>
        </is>
      </c>
    </row>
    <row r="22" ht="15" customHeight="1" s="42">
      <c r="A22" s="45" t="inlineStr">
        <is>
          <t>Cosmetic/Commercial cap: Tier 1 + Tier 2 points contribute at most +20 combined.</t>
        </is>
      </c>
    </row>
    <row r="23" ht="15" customHeight="1" s="42">
      <c r="A23" s="45" t="inlineStr">
        <is>
          <t>Reversal asymmetry: a removed policy nets negative — penalty exceeds the original credit.</t>
        </is>
      </c>
    </row>
    <row r="24" ht="15" customHeight="1" s="42">
      <c r="A24" s="45" t="n"/>
    </row>
    <row r="25" ht="15" customHeight="1" s="42">
      <c r="A25" s="46" t="inlineStr">
        <is>
          <t>SCORE BANDS</t>
        </is>
      </c>
    </row>
    <row r="26" ht="15" customHeight="1" s="42">
      <c r="A26" s="45" t="inlineStr">
        <is>
          <t>80–100 Champion  |  65–79 Ally  |  50–64 Neutral  |  35–49 Performative  |  20–34 Harmful  |  0–19 Adversarial</t>
        </is>
      </c>
    </row>
    <row r="27" ht="15" customHeight="1" s="42">
      <c r="A27" s="45" t="n"/>
    </row>
    <row r="28" ht="15" customHeight="1" s="42">
      <c r="A28" s="46" t="inlineStr">
        <is>
          <t>KEY DATE FLAG</t>
        </is>
      </c>
    </row>
    <row r="29" ht="15" customHeight="1" s="42">
      <c r="A29" s="45" t="inlineStr">
        <is>
          <t>January 20, 2025 (second Trump inauguration) is the inflection point. Flag any action — especially reversals —</t>
        </is>
      </c>
    </row>
    <row r="30" ht="15" customHeight="1" s="42">
      <c r="A30" s="45" t="inlineStr">
        <is>
          <t>that occurred after this date, and note whether it appears pressure-driven.</t>
        </is>
      </c>
    </row>
    <row r="32" ht="15" customHeight="1" s="42">
      <c r="A32" s="46" t="inlineStr">
        <is>
          <t>RATIONALE LAYER (added)</t>
        </is>
      </c>
    </row>
    <row r="33" ht="23.85" customHeight="1" s="42">
      <c r="A33" s="47" t="inlineStr">
        <is>
          <t>Score_Rationale</t>
        </is>
      </c>
      <c r="B33" s="48" t="inlineStr">
        <is>
          <t>One row per company explaining WHY the score landed where it did — the reasoning a website visitor sees on a company page.</t>
        </is>
      </c>
    </row>
    <row r="34" ht="15" customHeight="1" s="42">
      <c r="A34" s="45" t="inlineStr">
        <is>
          <t xml:space="preserve">  Verdict</t>
        </is>
      </c>
      <c r="B34" s="48" t="inlineStr">
        <is>
          <t>A single plain-language sentence summarizing the company's standing.</t>
        </is>
      </c>
    </row>
    <row r="35" ht="15" customHeight="1" s="42">
      <c r="A35" s="45" t="inlineStr">
        <is>
          <t xml:space="preserve">  Drivers Up / Down</t>
        </is>
      </c>
      <c r="B35" s="48" t="inlineStr">
        <is>
          <t>The concrete actions and patterns that raised or lowered the score.</t>
        </is>
      </c>
    </row>
    <row r="36" ht="15" customHeight="1" s="42">
      <c r="A36" s="45" t="inlineStr">
        <is>
          <t xml:space="preserve">  Decisive Factor</t>
        </is>
      </c>
      <c r="B36" s="48" t="inlineStr">
        <is>
          <t>The single most important reason behind the score.</t>
        </is>
      </c>
    </row>
    <row r="37" ht="15" customHeight="1" s="42">
      <c r="A37" s="45" t="inlineStr">
        <is>
          <t xml:space="preserve">  Trajectory</t>
        </is>
      </c>
      <c r="B37" s="48" t="inlineStr">
        <is>
          <t>Improving / Stable / Declining / Sharp Reversal.</t>
        </is>
      </c>
    </row>
    <row r="38" ht="15" customHeight="1" s="42">
      <c r="A38" s="47" t="inlineStr">
        <is>
          <t>Every score must be explainable. A number with no reasoning is not publishable in this index.</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Q170"/>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41" min="1" max="1"/>
    <col width="10" customWidth="1" style="41" min="2" max="2"/>
    <col width="20" customWidth="1" style="41" min="3" max="3"/>
    <col width="12" customWidth="1" style="41" min="4" max="5"/>
    <col width="9" customWidth="1" style="41" min="6" max="6"/>
    <col width="14" customWidth="1" style="41" min="7" max="8"/>
    <col width="12" customWidth="1" style="41" min="9" max="9"/>
    <col width="11" customWidth="1" style="41" min="10" max="10"/>
    <col width="14" customWidth="1" style="41" min="11" max="12"/>
    <col width="13" customWidth="1" style="41" min="13" max="13"/>
    <col width="10" customWidth="1" style="41" min="14" max="14"/>
    <col width="13" customWidth="1" style="41" min="15" max="15"/>
    <col width="12" customWidth="1" style="41" min="16" max="16"/>
    <col width="55" customWidth="1" style="41" min="17" max="17"/>
  </cols>
  <sheetData>
    <row r="1" ht="23.25" customHeight="1" s="42">
      <c r="A1" s="49" t="inlineStr">
        <is>
          <t>Company</t>
        </is>
      </c>
      <c r="B1" s="49" t="inlineStr">
        <is>
          <t>Ticker</t>
        </is>
      </c>
      <c r="C1" s="49" t="inlineStr">
        <is>
          <t>Sector</t>
        </is>
      </c>
      <c r="D1" s="49" t="inlineStr">
        <is>
          <t>Revenue ($B)</t>
        </is>
      </c>
      <c r="E1" s="49" t="inlineStr">
        <is>
          <t>HRC CEI Score</t>
        </is>
      </c>
      <c r="F1" s="49" t="inlineStr">
        <is>
          <t>CEI Year</t>
        </is>
      </c>
      <c r="G1" s="49" t="inlineStr">
        <is>
          <t>Still Submitting CEI?</t>
        </is>
      </c>
      <c r="H1" s="49" t="inlineStr">
        <is>
          <t>Positive Pts (capped)</t>
        </is>
      </c>
      <c r="I1" s="49" t="inlineStr">
        <is>
          <t>Negative Pts</t>
        </is>
      </c>
      <c r="J1" s="49" t="inlineStr">
        <is>
          <t>Final Score</t>
        </is>
      </c>
      <c r="K1" s="49" t="inlineStr">
        <is>
          <t>Band</t>
        </is>
      </c>
      <c r="L1" s="49" t="inlineStr">
        <is>
          <t>Post-Jan2025 Reversal?</t>
        </is>
      </c>
      <c r="M1" s="49" t="inlineStr">
        <is>
          <t>Pressure-Driven?</t>
        </is>
      </c>
      <c r="N1" s="49" t="inlineStr">
        <is>
          <t>June-Only?</t>
        </is>
      </c>
      <c r="O1" s="49" t="inlineStr">
        <is>
          <t>Trans/NB Exclusion?</t>
        </is>
      </c>
      <c r="P1" s="49" t="inlineStr">
        <is>
          <t>Geo Hypocrisy?</t>
        </is>
      </c>
      <c r="Q1" s="49" t="inlineStr">
        <is>
          <t>Analyst Notes</t>
        </is>
      </c>
    </row>
    <row r="2" ht="15" customHeight="1" s="42">
      <c r="A2" s="50" t="inlineStr">
        <is>
          <t>Verizon</t>
        </is>
      </c>
      <c r="B2" s="51" t="inlineStr">
        <is>
          <t>VZ</t>
        </is>
      </c>
      <c r="C2" s="52" t="inlineStr">
        <is>
          <t>Telecommunications</t>
        </is>
      </c>
      <c r="D2" s="51" t="n">
        <v>134.8</v>
      </c>
      <c r="E2" s="51" t="n">
        <v>100</v>
      </c>
      <c r="F2" s="51" t="n">
        <v>2024</v>
      </c>
      <c r="G2" s="51" t="inlineStr">
        <is>
          <t>No</t>
        </is>
      </c>
      <c r="H2" s="53">
        <f>MIN(20,SUMIFS(Action_Log!$F:$F,Action_Log!$A:$A,$A2,Action_Log!$D:$D,"Cosmetic")+SUMIFS(Action_Log!$F:$F,Action_Log!$A:$A,$A2,Action_Log!$D:$D,"Commercial"))+SUMIFS(Action_Log!$F:$F,Action_Log!$A:$A,$A2,Action_Log!$D:$D,"Civic")+SUMIFS(Action_Log!$F:$F,Action_Log!$A:$A,$A2,Action_Log!$D:$D,"Financial")+SUMIFS(Action_Log!$F:$F,Action_Log!$A:$A,$A2,Action_Log!$D:$D,"Structural")</f>
        <v/>
      </c>
      <c r="I2" s="54">
        <f>SUMIFS(Action_Log!$F:$F,Action_Log!$A:$A,$A2,Action_Log!$E:$E,"Negative")</f>
        <v/>
      </c>
      <c r="J2" s="55">
        <f>MAX(0,MIN(100,50+H2+I2))</f>
        <v/>
      </c>
      <c r="K2" s="56">
        <f>IF(J2&gt;=80,"Champion",IF(J2&gt;=65,"Ally",IF(J2&gt;=50,"Neutral",IF(J2&gt;=35,"Performative",IF(J2&gt;=20,"Harmful","Adversarial")))))</f>
        <v/>
      </c>
      <c r="L2" s="51" t="inlineStr">
        <is>
          <t>Yes</t>
        </is>
      </c>
      <c r="M2" s="51" t="inlineStr">
        <is>
          <t>Yes</t>
        </is>
      </c>
      <c r="N2" s="51" t="inlineStr">
        <is>
          <t>No</t>
        </is>
      </c>
      <c r="O2" s="51" t="inlineStr">
        <is>
          <t>No</t>
        </is>
      </c>
      <c r="P2" s="51" t="inlineStr">
        <is>
          <t>No</t>
        </is>
      </c>
      <c r="Q2" s="52" t="inlineStr">
        <is>
          <t>Reference case for the index. Years of CEI 100 scores, Pride sponsorships, and an ERG program were unwound in May 2025 when Verizon pledged to the FCC to end DEI policies the day before its $20B Frontier acquisition was approved. CEO Vestberg's 2020 'fiercely committed to diversity' statement was deleted from the web.</t>
        </is>
      </c>
    </row>
    <row r="3" ht="15" customHeight="1" s="42">
      <c r="A3" s="57" t="inlineStr">
        <is>
          <t>AT&amp;T</t>
        </is>
      </c>
      <c r="B3" s="58" t="inlineStr">
        <is>
          <t>T</t>
        </is>
      </c>
      <c r="C3" s="59" t="inlineStr">
        <is>
          <t>Telecommunications</t>
        </is>
      </c>
      <c r="D3" s="58" t="n">
        <v>122.3</v>
      </c>
      <c r="E3" s="58" t="n">
        <v>100</v>
      </c>
      <c r="F3" s="58" t="n">
        <v>2023</v>
      </c>
      <c r="G3" s="58" t="inlineStr">
        <is>
          <t>No</t>
        </is>
      </c>
      <c r="H3" s="60">
        <f>MIN(20,SUMIFS(Action_Log!$F:$F,Action_Log!$A:$A,$A3,Action_Log!$D:$D,"Cosmetic")+SUMIFS(Action_Log!$F:$F,Action_Log!$A:$A,$A3,Action_Log!$D:$D,"Commercial"))+SUMIFS(Action_Log!$F:$F,Action_Log!$A:$A,$A3,Action_Log!$D:$D,"Civic")+SUMIFS(Action_Log!$F:$F,Action_Log!$A:$A,$A3,Action_Log!$D:$D,"Financial")+SUMIFS(Action_Log!$F:$F,Action_Log!$A:$A,$A3,Action_Log!$D:$D,"Structural")</f>
        <v/>
      </c>
      <c r="I3" s="61">
        <f>SUMIFS(Action_Log!$F:$F,Action_Log!$A:$A,$A3,Action_Log!$E:$E,"Negative")</f>
        <v/>
      </c>
      <c r="J3" s="62">
        <f>MAX(0,MIN(100,50+H3+I3))</f>
        <v/>
      </c>
      <c r="K3" s="63">
        <f>IF(J3&gt;=80,"Champion",IF(J3&gt;=65,"Ally",IF(J3&gt;=50,"Neutral",IF(J3&gt;=35,"Performative",IF(J3&gt;=20,"Harmful","Adversarial")))))</f>
        <v/>
      </c>
      <c r="L3" s="58" t="inlineStr">
        <is>
          <t>Yes</t>
        </is>
      </c>
      <c r="M3" s="58" t="inlineStr">
        <is>
          <t>Yes</t>
        </is>
      </c>
      <c r="N3" s="58" t="inlineStr">
        <is>
          <t>No</t>
        </is>
      </c>
      <c r="O3" s="58" t="inlineStr">
        <is>
          <t>No</t>
        </is>
      </c>
      <c r="P3" s="58" t="inlineStr">
        <is>
          <t>No</t>
        </is>
      </c>
      <c r="Q3" s="59" t="inlineStr">
        <is>
          <t>Home of LEAGUE, one of the first LGBTQ+ ERGs in corporate America (1987), and a decade of CEI 100 scores. Quit the CEI and cut funding to LGBTQ+ groups, then formally pledged to the FCC in Dec 2025 to end DEI programs as it sought approval of its $1B+ spectrum/UScellular transactions.</t>
        </is>
      </c>
    </row>
    <row r="4" ht="15" customHeight="1" s="42">
      <c r="A4" s="50" t="inlineStr">
        <is>
          <t>T-Mobile</t>
        </is>
      </c>
      <c r="B4" s="51" t="inlineStr">
        <is>
          <t>TMUS</t>
        </is>
      </c>
      <c r="C4" s="52" t="inlineStr">
        <is>
          <t>Telecommunications</t>
        </is>
      </c>
      <c r="D4" s="51" t="n">
        <v>81.40000000000001</v>
      </c>
      <c r="E4" s="51" t="n">
        <v>100</v>
      </c>
      <c r="F4" s="51" t="n">
        <v>2024</v>
      </c>
      <c r="G4" s="51" t="inlineStr">
        <is>
          <t>No</t>
        </is>
      </c>
      <c r="H4" s="53">
        <f>MIN(20,SUMIFS(Action_Log!$F:$F,Action_Log!$A:$A,$A4,Action_Log!$D:$D,"Cosmetic")+SUMIFS(Action_Log!$F:$F,Action_Log!$A:$A,$A4,Action_Log!$D:$D,"Commercial"))+SUMIFS(Action_Log!$F:$F,Action_Log!$A:$A,$A4,Action_Log!$D:$D,"Civic")+SUMIFS(Action_Log!$F:$F,Action_Log!$A:$A,$A4,Action_Log!$D:$D,"Financial")+SUMIFS(Action_Log!$F:$F,Action_Log!$A:$A,$A4,Action_Log!$D:$D,"Structural")</f>
        <v/>
      </c>
      <c r="I4" s="54">
        <f>SUMIFS(Action_Log!$F:$F,Action_Log!$A:$A,$A4,Action_Log!$E:$E,"Negative")</f>
        <v/>
      </c>
      <c r="J4" s="55">
        <f>MAX(0,MIN(100,50+H4+I4))</f>
        <v/>
      </c>
      <c r="K4" s="56">
        <f>IF(J4&gt;=80,"Champion",IF(J4&gt;=65,"Ally",IF(J4&gt;=50,"Neutral",IF(J4&gt;=35,"Performative",IF(J4&gt;=20,"Harmful","Adversarial")))))</f>
        <v/>
      </c>
      <c r="L4" s="51" t="inlineStr">
        <is>
          <t>Yes</t>
        </is>
      </c>
      <c r="M4" s="51" t="inlineStr">
        <is>
          <t>Yes</t>
        </is>
      </c>
      <c r="N4" s="51" t="inlineStr">
        <is>
          <t>No</t>
        </is>
      </c>
      <c r="O4" s="51" t="inlineStr">
        <is>
          <t>No</t>
        </is>
      </c>
      <c r="P4" s="51" t="inlineStr">
        <is>
          <t>No</t>
        </is>
      </c>
      <c r="Q4" s="52" t="inlineStr">
        <is>
          <t>Magenta-branded Pride supporter with CEI 100 history that publicly terminated all DEI programs 'not just in name, but in substance' in a July 2025 letter to the FCC while seeking approval of its UScellular and Metronet deals. Both deals were approved within days.</t>
        </is>
      </c>
    </row>
    <row r="5" ht="15" customHeight="1" s="42">
      <c r="A5" s="57" t="inlineStr">
        <is>
          <t>Comcast / Xfinity</t>
        </is>
      </c>
      <c r="B5" s="58" t="inlineStr">
        <is>
          <t>CMCSA</t>
        </is>
      </c>
      <c r="C5" s="59" t="inlineStr">
        <is>
          <t>Telecommunications</t>
        </is>
      </c>
      <c r="D5" s="58" t="n">
        <v>123.7</v>
      </c>
      <c r="E5" s="58" t="n">
        <v>100</v>
      </c>
      <c r="F5" s="58" t="n">
        <v>2024</v>
      </c>
      <c r="G5" s="58" t="inlineStr">
        <is>
          <t>No</t>
        </is>
      </c>
      <c r="H5" s="60">
        <f>MIN(20,SUMIFS(Action_Log!$F:$F,Action_Log!$A:$A,$A5,Action_Log!$D:$D,"Cosmetic")+SUMIFS(Action_Log!$F:$F,Action_Log!$A:$A,$A5,Action_Log!$D:$D,"Commercial"))+SUMIFS(Action_Log!$F:$F,Action_Log!$A:$A,$A5,Action_Log!$D:$D,"Civic")+SUMIFS(Action_Log!$F:$F,Action_Log!$A:$A,$A5,Action_Log!$D:$D,"Financial")+SUMIFS(Action_Log!$F:$F,Action_Log!$A:$A,$A5,Action_Log!$D:$D,"Structural")</f>
        <v/>
      </c>
      <c r="I5" s="61">
        <f>SUMIFS(Action_Log!$F:$F,Action_Log!$A:$A,$A5,Action_Log!$E:$E,"Negative")</f>
        <v/>
      </c>
      <c r="J5" s="62">
        <f>MAX(0,MIN(100,50+H5+I5))</f>
        <v/>
      </c>
      <c r="K5" s="63">
        <f>IF(J5&gt;=80,"Champion",IF(J5&gt;=65,"Ally",IF(J5&gt;=50,"Neutral",IF(J5&gt;=35,"Performative",IF(J5&gt;=20,"Harmful","Adversarial")))))</f>
        <v/>
      </c>
      <c r="L5" s="58" t="inlineStr">
        <is>
          <t>Yes</t>
        </is>
      </c>
      <c r="M5" s="58" t="inlineStr">
        <is>
          <t>Yes</t>
        </is>
      </c>
      <c r="N5" s="58" t="inlineStr">
        <is>
          <t>No</t>
        </is>
      </c>
      <c r="O5" s="58" t="inlineStr">
        <is>
          <t>No</t>
        </is>
      </c>
      <c r="P5" s="58" t="inlineStr">
        <is>
          <t>No</t>
        </is>
      </c>
      <c r="Q5" s="59" t="inlineStr">
        <is>
          <t>Withdrew its decades-long San Francisco Pride sponsorship in March 2025 after the FCC opened a probe into its DEI programs in February 2025. Kept smaller California Pride sponsorships, a partial rather than total retreat.</t>
        </is>
      </c>
    </row>
    <row r="6" ht="15" customHeight="1" s="42">
      <c r="A6" s="50" t="inlineStr">
        <is>
          <t>Charter / Spectrum</t>
        </is>
      </c>
      <c r="B6" s="51" t="inlineStr">
        <is>
          <t>CHTR</t>
        </is>
      </c>
      <c r="C6" s="52" t="inlineStr">
        <is>
          <t>Telecommunications</t>
        </is>
      </c>
      <c r="D6" s="51" t="n">
        <v>55.1</v>
      </c>
      <c r="E6" s="51" t="inlineStr">
        <is>
          <t>Not rated</t>
        </is>
      </c>
      <c r="F6" s="51" t="inlineStr">
        <is>
          <t>—</t>
        </is>
      </c>
      <c r="G6" s="51" t="inlineStr">
        <is>
          <t>Never</t>
        </is>
      </c>
      <c r="H6" s="53">
        <f>MIN(20,SUMIFS(Action_Log!$F:$F,Action_Log!$A:$A,$A6,Action_Log!$D:$D,"Cosmetic")+SUMIFS(Action_Log!$F:$F,Action_Log!$A:$A,$A6,Action_Log!$D:$D,"Commercial"))+SUMIFS(Action_Log!$F:$F,Action_Log!$A:$A,$A6,Action_Log!$D:$D,"Civic")+SUMIFS(Action_Log!$F:$F,Action_Log!$A:$A,$A6,Action_Log!$D:$D,"Financial")+SUMIFS(Action_Log!$F:$F,Action_Log!$A:$A,$A6,Action_Log!$D:$D,"Structural")</f>
        <v/>
      </c>
      <c r="I6" s="54">
        <f>SUMIFS(Action_Log!$F:$F,Action_Log!$A:$A,$A6,Action_Log!$E:$E,"Negative")</f>
        <v/>
      </c>
      <c r="J6" s="55">
        <f>MAX(0,MIN(100,50+H6+I6))</f>
        <v/>
      </c>
      <c r="K6" s="56">
        <f>IF(J6&gt;=80,"Champion",IF(J6&gt;=65,"Ally",IF(J6&gt;=50,"Neutral",IF(J6&gt;=35,"Performative",IF(J6&gt;=20,"Harmful","Adversarial")))))</f>
        <v/>
      </c>
      <c r="L6" s="51" t="inlineStr">
        <is>
          <t>No</t>
        </is>
      </c>
      <c r="M6" s="51" t="inlineStr">
        <is>
          <t>No</t>
        </is>
      </c>
      <c r="N6" s="51" t="inlineStr">
        <is>
          <t>No</t>
        </is>
      </c>
      <c r="O6" s="51" t="inlineStr">
        <is>
          <t>No</t>
        </is>
      </c>
      <c r="P6" s="51" t="inlineStr">
        <is>
          <t>No</t>
        </is>
      </c>
      <c r="Q6" s="52" t="inlineStr">
        <is>
          <t>Kept a deliberately low profile on LGBTQ+ issues in both directions — minimal Pride marketing, no major documented reversals. Committed to merit-based practices around its 2025 Cox merger review without a prior public LGBTQ+ identity to walk back.</t>
        </is>
      </c>
    </row>
    <row r="7" ht="15" customHeight="1" s="42">
      <c r="A7" s="57" t="inlineStr">
        <is>
          <t>Apple</t>
        </is>
      </c>
      <c r="B7" s="58" t="inlineStr">
        <is>
          <t>AAPL</t>
        </is>
      </c>
      <c r="C7" s="59" t="inlineStr">
        <is>
          <t>Technology</t>
        </is>
      </c>
      <c r="D7" s="58" t="n">
        <v>391</v>
      </c>
      <c r="E7" s="58" t="n">
        <v>100</v>
      </c>
      <c r="F7" s="58" t="n">
        <v>2025</v>
      </c>
      <c r="G7" s="58" t="inlineStr">
        <is>
          <t>Yes</t>
        </is>
      </c>
      <c r="H7" s="60">
        <f>MIN(20,SUMIFS(Action_Log!$F:$F,Action_Log!$A:$A,$A7,Action_Log!$D:$D,"Cosmetic")+SUMIFS(Action_Log!$F:$F,Action_Log!$A:$A,$A7,Action_Log!$D:$D,"Commercial"))+SUMIFS(Action_Log!$F:$F,Action_Log!$A:$A,$A7,Action_Log!$D:$D,"Civic")+SUMIFS(Action_Log!$F:$F,Action_Log!$A:$A,$A7,Action_Log!$D:$D,"Financial")+SUMIFS(Action_Log!$F:$F,Action_Log!$A:$A,$A7,Action_Log!$D:$D,"Structural")</f>
        <v/>
      </c>
      <c r="I7" s="61">
        <f>SUMIFS(Action_Log!$F:$F,Action_Log!$A:$A,$A7,Action_Log!$E:$E,"Negative")</f>
        <v/>
      </c>
      <c r="J7" s="62">
        <f>MAX(0,MIN(100,50+H7+I7))</f>
        <v/>
      </c>
      <c r="K7" s="63">
        <f>IF(J7&gt;=80,"Champion",IF(J7&gt;=65,"Ally",IF(J7&gt;=50,"Neutral",IF(J7&gt;=35,"Performative",IF(J7&gt;=20,"Harmful","Adversarial")))))</f>
        <v/>
      </c>
      <c r="L7" s="58" t="inlineStr">
        <is>
          <t>No</t>
        </is>
      </c>
      <c r="M7" s="58" t="inlineStr">
        <is>
          <t>No</t>
        </is>
      </c>
      <c r="N7" s="58" t="inlineStr">
        <is>
          <t>No</t>
        </is>
      </c>
      <c r="O7" s="58" t="inlineStr">
        <is>
          <t>No</t>
        </is>
      </c>
      <c r="P7" s="58" t="inlineStr">
        <is>
          <t>No</t>
        </is>
      </c>
      <c r="Q7" s="59" t="inlineStr">
        <is>
          <t>The strongest large-cap record in the index: out CEO since 2014, annual Pride Edition products, SF Pride sponsorship, and a 97.3% shareholder vote rejecting an anti-DEI proposal in Feb 2025. Maintained its inclusion language while peers scrubbed theirs.</t>
        </is>
      </c>
    </row>
    <row r="8" ht="15" customHeight="1" s="42">
      <c r="A8" s="50" t="inlineStr">
        <is>
          <t>Google / Alphabet</t>
        </is>
      </c>
      <c r="B8" s="51" t="inlineStr">
        <is>
          <t>GOOGL</t>
        </is>
      </c>
      <c r="C8" s="52" t="inlineStr">
        <is>
          <t>Technology</t>
        </is>
      </c>
      <c r="D8" s="51" t="n">
        <v>350</v>
      </c>
      <c r="E8" s="51" t="n">
        <v>100</v>
      </c>
      <c r="F8" s="51" t="n">
        <v>2025</v>
      </c>
      <c r="G8" s="51" t="inlineStr">
        <is>
          <t>No</t>
        </is>
      </c>
      <c r="H8" s="53">
        <f>MIN(20,SUMIFS(Action_Log!$F:$F,Action_Log!$A:$A,$A8,Action_Log!$D:$D,"Cosmetic")+SUMIFS(Action_Log!$F:$F,Action_Log!$A:$A,$A8,Action_Log!$D:$D,"Commercial"))+SUMIFS(Action_Log!$F:$F,Action_Log!$A:$A,$A8,Action_Log!$D:$D,"Civic")+SUMIFS(Action_Log!$F:$F,Action_Log!$A:$A,$A8,Action_Log!$D:$D,"Financial")+SUMIFS(Action_Log!$F:$F,Action_Log!$A:$A,$A8,Action_Log!$D:$D,"Structural")</f>
        <v/>
      </c>
      <c r="I8" s="54">
        <f>SUMIFS(Action_Log!$F:$F,Action_Log!$A:$A,$A8,Action_Log!$E:$E,"Negative")</f>
        <v/>
      </c>
      <c r="J8" s="55">
        <f>MAX(0,MIN(100,50+H8+I8))</f>
        <v/>
      </c>
      <c r="K8" s="56">
        <f>IF(J8&gt;=80,"Champion",IF(J8&gt;=65,"Ally",IF(J8&gt;=50,"Neutral",IF(J8&gt;=35,"Performative",IF(J8&gt;=20,"Harmful","Adversarial")))))</f>
        <v/>
      </c>
      <c r="L8" s="51" t="inlineStr">
        <is>
          <t>Yes</t>
        </is>
      </c>
      <c r="M8" s="51" t="inlineStr">
        <is>
          <t>Yes</t>
        </is>
      </c>
      <c r="N8" s="51" t="inlineStr">
        <is>
          <t>No</t>
        </is>
      </c>
      <c r="O8" s="51" t="inlineStr">
        <is>
          <t>No</t>
        </is>
      </c>
      <c r="P8" s="51" t="inlineStr">
        <is>
          <t>No</t>
        </is>
      </c>
      <c r="Q8" s="52" t="inlineStr">
        <is>
          <t>Kept benefits and ERGs but ended diversity hiring targets (Feb 2025, citing federal contractor status), scrubbed DEI from its 10-K and AI pages, and deleted Pride Month from Google Calendar defaults. A partial, pressure-driven hollowing-out of a once-loud ally.</t>
        </is>
      </c>
    </row>
    <row r="9" ht="15" customHeight="1" s="42">
      <c r="A9" s="57" t="inlineStr">
        <is>
          <t>Meta</t>
        </is>
      </c>
      <c r="B9" s="58" t="inlineStr">
        <is>
          <t>META</t>
        </is>
      </c>
      <c r="C9" s="59" t="inlineStr">
        <is>
          <t>Technology</t>
        </is>
      </c>
      <c r="D9" s="58" t="n">
        <v>164.5</v>
      </c>
      <c r="E9" s="58" t="n">
        <v>100</v>
      </c>
      <c r="F9" s="58" t="n">
        <v>2024</v>
      </c>
      <c r="G9" s="58" t="inlineStr">
        <is>
          <t>No</t>
        </is>
      </c>
      <c r="H9" s="60">
        <f>MIN(20,SUMIFS(Action_Log!$F:$F,Action_Log!$A:$A,$A9,Action_Log!$D:$D,"Cosmetic")+SUMIFS(Action_Log!$F:$F,Action_Log!$A:$A,$A9,Action_Log!$D:$D,"Commercial"))+SUMIFS(Action_Log!$F:$F,Action_Log!$A:$A,$A9,Action_Log!$D:$D,"Civic")+SUMIFS(Action_Log!$F:$F,Action_Log!$A:$A,$A9,Action_Log!$D:$D,"Financial")+SUMIFS(Action_Log!$F:$F,Action_Log!$A:$A,$A9,Action_Log!$D:$D,"Structural")</f>
        <v/>
      </c>
      <c r="I9" s="61">
        <f>SUMIFS(Action_Log!$F:$F,Action_Log!$A:$A,$A9,Action_Log!$E:$E,"Negative")</f>
        <v/>
      </c>
      <c r="J9" s="62">
        <f>MAX(0,MIN(100,50+H9+I9))</f>
        <v/>
      </c>
      <c r="K9" s="63">
        <f>IF(J9&gt;=80,"Champion",IF(J9&gt;=65,"Ally",IF(J9&gt;=50,"Neutral",IF(J9&gt;=35,"Performative",IF(J9&gt;=20,"Harmful","Adversarial")))))</f>
        <v/>
      </c>
      <c r="L9" s="58" t="inlineStr">
        <is>
          <t>Yes</t>
        </is>
      </c>
      <c r="M9" s="58" t="inlineStr">
        <is>
          <t>Yes</t>
        </is>
      </c>
      <c r="N9" s="58" t="inlineStr">
        <is>
          <t>No</t>
        </is>
      </c>
      <c r="O9" s="58" t="inlineStr">
        <is>
          <t>Yes</t>
        </is>
      </c>
      <c r="P9" s="58" t="inlineStr">
        <is>
          <t>No</t>
        </is>
      </c>
      <c r="Q9" s="59" t="inlineStr">
        <is>
          <t>The most aggressive Big Tech reversal: killed DEI programs days before the 2025 inauguration and rewrote hate-speech rules to explicitly permit calling LGBTQ+ people mentally ill. GLAAD and HRC condemned the changes; trans/nonbinary Messenger themes quietly vanished.</t>
        </is>
      </c>
    </row>
    <row r="10" ht="15" customHeight="1" s="42">
      <c r="A10" s="50" t="inlineStr">
        <is>
          <t>Microsoft</t>
        </is>
      </c>
      <c r="B10" s="51" t="inlineStr">
        <is>
          <t>MSFT</t>
        </is>
      </c>
      <c r="C10" s="52" t="inlineStr">
        <is>
          <t>Technology</t>
        </is>
      </c>
      <c r="D10" s="51" t="n">
        <v>245.1</v>
      </c>
      <c r="E10" s="51" t="n">
        <v>100</v>
      </c>
      <c r="F10" s="51" t="n">
        <v>2025</v>
      </c>
      <c r="G10" s="51" t="inlineStr">
        <is>
          <t>Yes</t>
        </is>
      </c>
      <c r="H10" s="53">
        <f>MIN(20,SUMIFS(Action_Log!$F:$F,Action_Log!$A:$A,$A10,Action_Log!$D:$D,"Cosmetic")+SUMIFS(Action_Log!$F:$F,Action_Log!$A:$A,$A10,Action_Log!$D:$D,"Commercial"))+SUMIFS(Action_Log!$F:$F,Action_Log!$A:$A,$A10,Action_Log!$D:$D,"Civic")+SUMIFS(Action_Log!$F:$F,Action_Log!$A:$A,$A10,Action_Log!$D:$D,"Financial")+SUMIFS(Action_Log!$F:$F,Action_Log!$A:$A,$A10,Action_Log!$D:$D,"Structural")</f>
        <v/>
      </c>
      <c r="I10" s="54">
        <f>SUMIFS(Action_Log!$F:$F,Action_Log!$A:$A,$A10,Action_Log!$E:$E,"Negative")</f>
        <v/>
      </c>
      <c r="J10" s="55">
        <f>MAX(0,MIN(100,50+H10+I10))</f>
        <v/>
      </c>
      <c r="K10" s="56">
        <f>IF(J10&gt;=80,"Champion",IF(J10&gt;=65,"Ally",IF(J10&gt;=50,"Neutral",IF(J10&gt;=35,"Performative",IF(J10&gt;=20,"Harmful","Adversarial")))))</f>
        <v/>
      </c>
      <c r="L10" s="51" t="inlineStr">
        <is>
          <t>No</t>
        </is>
      </c>
      <c r="M10" s="51" t="inlineStr">
        <is>
          <t>No</t>
        </is>
      </c>
      <c r="N10" s="51" t="inlineStr">
        <is>
          <t>No</t>
        </is>
      </c>
      <c r="O10" s="51" t="inlineStr">
        <is>
          <t>No</t>
        </is>
      </c>
      <c r="P10" s="51" t="inlineStr">
        <is>
          <t>No</t>
        </is>
      </c>
      <c r="Q10" s="52" t="inlineStr">
        <is>
          <t>Held its DEI position publicly through 2025 — kept its inclusion report, CEI participation, Pride campaigns and ERG funding. The July 2024 DEI-team layoff drew criticism but was not followed by policy retreat. One of the steadiest large-cap records.</t>
        </is>
      </c>
    </row>
    <row r="11" ht="15" customHeight="1" s="42">
      <c r="A11" s="57" t="inlineStr">
        <is>
          <t>Amazon</t>
        </is>
      </c>
      <c r="B11" s="58" t="inlineStr">
        <is>
          <t>AMZN</t>
        </is>
      </c>
      <c r="C11" s="59" t="inlineStr">
        <is>
          <t>Technology</t>
        </is>
      </c>
      <c r="D11" s="58" t="n">
        <v>638</v>
      </c>
      <c r="E11" s="58" t="n">
        <v>100</v>
      </c>
      <c r="F11" s="58" t="n">
        <v>2024</v>
      </c>
      <c r="G11" s="58" t="inlineStr">
        <is>
          <t>No</t>
        </is>
      </c>
      <c r="H11" s="60">
        <f>MIN(20,SUMIFS(Action_Log!$F:$F,Action_Log!$A:$A,$A11,Action_Log!$D:$D,"Cosmetic")+SUMIFS(Action_Log!$F:$F,Action_Log!$A:$A,$A11,Action_Log!$D:$D,"Commercial"))+SUMIFS(Action_Log!$F:$F,Action_Log!$A:$A,$A11,Action_Log!$D:$D,"Civic")+SUMIFS(Action_Log!$F:$F,Action_Log!$A:$A,$A11,Action_Log!$D:$D,"Financial")+SUMIFS(Action_Log!$F:$F,Action_Log!$A:$A,$A11,Action_Log!$D:$D,"Structural")</f>
        <v/>
      </c>
      <c r="I11" s="61">
        <f>SUMIFS(Action_Log!$F:$F,Action_Log!$A:$A,$A11,Action_Log!$E:$E,"Negative")</f>
        <v/>
      </c>
      <c r="J11" s="62">
        <f>MAX(0,MIN(100,50+H11+I11))</f>
        <v/>
      </c>
      <c r="K11" s="63">
        <f>IF(J11&gt;=80,"Champion",IF(J11&gt;=65,"Ally",IF(J11&gt;=50,"Neutral",IF(J11&gt;=35,"Performative",IF(J11&gt;=20,"Harmful","Adversarial")))))</f>
        <v/>
      </c>
      <c r="L11" s="58" t="inlineStr">
        <is>
          <t>Yes</t>
        </is>
      </c>
      <c r="M11" s="58" t="inlineStr">
        <is>
          <t>Yes</t>
        </is>
      </c>
      <c r="N11" s="58" t="inlineStr">
        <is>
          <t>No</t>
        </is>
      </c>
      <c r="O11" s="58" t="inlineStr">
        <is>
          <t>Yes</t>
        </is>
      </c>
      <c r="P11" s="58" t="inlineStr">
        <is>
          <t>No</t>
        </is>
      </c>
      <c r="Q11" s="59" t="inlineStr">
        <is>
          <t>Wound down DEI programs in Dec 2024 and deleted 'LGBTQ+ rights,' 'transgender' and gender-affirming-care language from its public positions page. Kept glamazon ERG and Pride merchandising. Agreed to forego external benchmarking incl. the CEI.</t>
        </is>
      </c>
    </row>
    <row r="12" ht="15" customHeight="1" s="42">
      <c r="A12" s="50" t="inlineStr">
        <is>
          <t>Salesforce</t>
        </is>
      </c>
      <c r="B12" s="51" t="inlineStr">
        <is>
          <t>CRM</t>
        </is>
      </c>
      <c r="C12" s="52" t="inlineStr">
        <is>
          <t>Technology</t>
        </is>
      </c>
      <c r="D12" s="51" t="n">
        <v>37.9</v>
      </c>
      <c r="E12" s="51" t="n">
        <v>100</v>
      </c>
      <c r="F12" s="51" t="n">
        <v>2025</v>
      </c>
      <c r="G12" s="51" t="inlineStr">
        <is>
          <t>Yes</t>
        </is>
      </c>
      <c r="H12" s="53">
        <f>MIN(20,SUMIFS(Action_Log!$F:$F,Action_Log!$A:$A,$A12,Action_Log!$D:$D,"Cosmetic")+SUMIFS(Action_Log!$F:$F,Action_Log!$A:$A,$A12,Action_Log!$D:$D,"Commercial"))+SUMIFS(Action_Log!$F:$F,Action_Log!$A:$A,$A12,Action_Log!$D:$D,"Civic")+SUMIFS(Action_Log!$F:$F,Action_Log!$A:$A,$A12,Action_Log!$D:$D,"Financial")+SUMIFS(Action_Log!$F:$F,Action_Log!$A:$A,$A12,Action_Log!$D:$D,"Structural")</f>
        <v/>
      </c>
      <c r="I12" s="54">
        <f>SUMIFS(Action_Log!$F:$F,Action_Log!$A:$A,$A12,Action_Log!$E:$E,"Negative")</f>
        <v/>
      </c>
      <c r="J12" s="55">
        <f>MAX(0,MIN(100,50+H12+I12))</f>
        <v/>
      </c>
      <c r="K12" s="56">
        <f>IF(J12&gt;=80,"Champion",IF(J12&gt;=65,"Ally",IF(J12&gt;=50,"Neutral",IF(J12&gt;=35,"Performative",IF(J12&gt;=20,"Harmful","Adversarial")))))</f>
        <v/>
      </c>
      <c r="L12" s="51" t="inlineStr">
        <is>
          <t>Yes</t>
        </is>
      </c>
      <c r="M12" s="51" t="inlineStr">
        <is>
          <t>Yes</t>
        </is>
      </c>
      <c r="N12" s="51" t="inlineStr">
        <is>
          <t>No</t>
        </is>
      </c>
      <c r="O12" s="51" t="inlineStr">
        <is>
          <t>No</t>
        </is>
      </c>
      <c r="P12" s="51" t="inlineStr">
        <is>
          <t>No</t>
        </is>
      </c>
      <c r="Q12" s="52" t="inlineStr">
        <is>
          <t>Dropped diversity hiring goals and cut 'diversity' from its 10-K in March 2025, but Benioff publicly pledged to stand by employees and the company's LGBTQ+ benefits, Outforce ERG and equality branding remain. A partial trim by one of tech's loudest former 'Equality' evangelists.</t>
        </is>
      </c>
    </row>
    <row r="13" ht="15" customHeight="1" s="42">
      <c r="A13" s="57" t="inlineStr">
        <is>
          <t>IBM</t>
        </is>
      </c>
      <c r="B13" s="58" t="inlineStr">
        <is>
          <t>IBM</t>
        </is>
      </c>
      <c r="C13" s="59" t="inlineStr">
        <is>
          <t>Technology</t>
        </is>
      </c>
      <c r="D13" s="58" t="n">
        <v>62.8</v>
      </c>
      <c r="E13" s="58" t="n">
        <v>100</v>
      </c>
      <c r="F13" s="58" t="n">
        <v>2024</v>
      </c>
      <c r="G13" s="58" t="inlineStr">
        <is>
          <t>No</t>
        </is>
      </c>
      <c r="H13" s="60">
        <f>MIN(20,SUMIFS(Action_Log!$F:$F,Action_Log!$A:$A,$A13,Action_Log!$D:$D,"Cosmetic")+SUMIFS(Action_Log!$F:$F,Action_Log!$A:$A,$A13,Action_Log!$D:$D,"Commercial"))+SUMIFS(Action_Log!$F:$F,Action_Log!$A:$A,$A13,Action_Log!$D:$D,"Civic")+SUMIFS(Action_Log!$F:$F,Action_Log!$A:$A,$A13,Action_Log!$D:$D,"Financial")+SUMIFS(Action_Log!$F:$F,Action_Log!$A:$A,$A13,Action_Log!$D:$D,"Structural")</f>
        <v/>
      </c>
      <c r="I13" s="61">
        <f>SUMIFS(Action_Log!$F:$F,Action_Log!$A:$A,$A13,Action_Log!$E:$E,"Negative")</f>
        <v/>
      </c>
      <c r="J13" s="62">
        <f>MAX(0,MIN(100,50+H13+I13))</f>
        <v/>
      </c>
      <c r="K13" s="63">
        <f>IF(J13&gt;=80,"Champion",IF(J13&gt;=65,"Ally",IF(J13&gt;=50,"Neutral",IF(J13&gt;=35,"Performative",IF(J13&gt;=20,"Harmful","Adversarial")))))</f>
        <v/>
      </c>
      <c r="L13" s="58" t="inlineStr">
        <is>
          <t>Yes</t>
        </is>
      </c>
      <c r="M13" s="58" t="inlineStr">
        <is>
          <t>Yes</t>
        </is>
      </c>
      <c r="N13" s="58" t="inlineStr">
        <is>
          <t>No</t>
        </is>
      </c>
      <c r="O13" s="58" t="inlineStr">
        <is>
          <t>No</t>
        </is>
      </c>
      <c r="P13" s="58" t="inlineStr">
        <is>
          <t>No</t>
        </is>
      </c>
      <c r="Q13" s="59" t="inlineStr">
        <is>
          <t>One of the deepest inclusion histories in corporate America (nondiscrimination since 1984, early trans benefits, EAGLE ERG) ended its DEI department, Diversity Council and exec-comp diversity ties in April 2025 after Robby Starbuck-amplified pressure.</t>
        </is>
      </c>
    </row>
    <row r="14" ht="15" customHeight="1" s="42">
      <c r="A14" s="50" t="inlineStr">
        <is>
          <t>Oracle</t>
        </is>
      </c>
      <c r="B14" s="51" t="inlineStr">
        <is>
          <t>ORCL</t>
        </is>
      </c>
      <c r="C14" s="52" t="inlineStr">
        <is>
          <t>Technology</t>
        </is>
      </c>
      <c r="D14" s="51" t="n">
        <v>53</v>
      </c>
      <c r="E14" s="51" t="inlineStr">
        <is>
          <t>Not rated</t>
        </is>
      </c>
      <c r="F14" s="51" t="inlineStr">
        <is>
          <t>—</t>
        </is>
      </c>
      <c r="G14" s="51" t="inlineStr">
        <is>
          <t>No</t>
        </is>
      </c>
      <c r="H14" s="53">
        <f>MIN(20,SUMIFS(Action_Log!$F:$F,Action_Log!$A:$A,$A14,Action_Log!$D:$D,"Cosmetic")+SUMIFS(Action_Log!$F:$F,Action_Log!$A:$A,$A14,Action_Log!$D:$D,"Commercial"))+SUMIFS(Action_Log!$F:$F,Action_Log!$A:$A,$A14,Action_Log!$D:$D,"Civic")+SUMIFS(Action_Log!$F:$F,Action_Log!$A:$A,$A14,Action_Log!$D:$D,"Financial")+SUMIFS(Action_Log!$F:$F,Action_Log!$A:$A,$A14,Action_Log!$D:$D,"Structural")</f>
        <v/>
      </c>
      <c r="I14" s="54">
        <f>SUMIFS(Action_Log!$F:$F,Action_Log!$A:$A,$A14,Action_Log!$E:$E,"Negative")</f>
        <v/>
      </c>
      <c r="J14" s="55">
        <f>MAX(0,MIN(100,50+H14+I14))</f>
        <v/>
      </c>
      <c r="K14" s="56">
        <f>IF(J14&gt;=80,"Champion",IF(J14&gt;=65,"Ally",IF(J14&gt;=50,"Neutral",IF(J14&gt;=35,"Performative",IF(J14&gt;=20,"Harmful","Adversarial")))))</f>
        <v/>
      </c>
      <c r="L14" s="51" t="inlineStr">
        <is>
          <t>No</t>
        </is>
      </c>
      <c r="M14" s="51" t="inlineStr">
        <is>
          <t>No</t>
        </is>
      </c>
      <c r="N14" s="51" t="inlineStr">
        <is>
          <t>No</t>
        </is>
      </c>
      <c r="O14" s="51" t="inlineStr">
        <is>
          <t>No</t>
        </is>
      </c>
      <c r="P14" s="51" t="inlineStr">
        <is>
          <t>No</t>
        </is>
      </c>
      <c r="Q14" s="52" t="inlineStr">
        <is>
          <t>Minimal public engagement either way: a 'Culture and Inclusion' careers page and an internal Pride employee network, but no significant Pride sponsorship, donations or advocacy record — and no major reversal because there was little to reverse. Leadership is politically aligned with the administration.</t>
        </is>
      </c>
    </row>
    <row r="15" ht="15" customHeight="1" s="42">
      <c r="A15" s="57" t="inlineStr">
        <is>
          <t>Dell</t>
        </is>
      </c>
      <c r="B15" s="58" t="inlineStr">
        <is>
          <t>DELL</t>
        </is>
      </c>
      <c r="C15" s="59" t="inlineStr">
        <is>
          <t>Technology</t>
        </is>
      </c>
      <c r="D15" s="58" t="n">
        <v>95.59999999999999</v>
      </c>
      <c r="E15" s="58" t="n">
        <v>100</v>
      </c>
      <c r="F15" s="58" t="n">
        <v>2024</v>
      </c>
      <c r="G15" s="58" t="inlineStr">
        <is>
          <t>No</t>
        </is>
      </c>
      <c r="H15" s="60">
        <f>MIN(20,SUMIFS(Action_Log!$F:$F,Action_Log!$A:$A,$A15,Action_Log!$D:$D,"Cosmetic")+SUMIFS(Action_Log!$F:$F,Action_Log!$A:$A,$A15,Action_Log!$D:$D,"Commercial"))+SUMIFS(Action_Log!$F:$F,Action_Log!$A:$A,$A15,Action_Log!$D:$D,"Civic")+SUMIFS(Action_Log!$F:$F,Action_Log!$A:$A,$A15,Action_Log!$D:$D,"Financial")+SUMIFS(Action_Log!$F:$F,Action_Log!$A:$A,$A15,Action_Log!$D:$D,"Structural")</f>
        <v/>
      </c>
      <c r="I15" s="61">
        <f>SUMIFS(Action_Log!$F:$F,Action_Log!$A:$A,$A15,Action_Log!$E:$E,"Negative")</f>
        <v/>
      </c>
      <c r="J15" s="62">
        <f>MAX(0,MIN(100,50+H15+I15))</f>
        <v/>
      </c>
      <c r="K15" s="63">
        <f>IF(J15&gt;=80,"Champion",IF(J15&gt;=65,"Ally",IF(J15&gt;=50,"Neutral",IF(J15&gt;=35,"Performative",IF(J15&gt;=20,"Harmful","Adversarial")))))</f>
        <v/>
      </c>
      <c r="L15" s="58" t="inlineStr">
        <is>
          <t>Yes</t>
        </is>
      </c>
      <c r="M15" s="58" t="inlineStr">
        <is>
          <t>Yes</t>
        </is>
      </c>
      <c r="N15" s="58" t="inlineStr">
        <is>
          <t>No</t>
        </is>
      </c>
      <c r="O15" s="58" t="inlineStr">
        <is>
          <t>No</t>
        </is>
      </c>
      <c r="P15" s="58" t="inlineStr">
        <is>
          <t>No</t>
        </is>
      </c>
      <c r="Q15" s="59" t="inlineStr">
        <is>
          <t>Rolled back DEI programs and diversity hiring goals amid the 2024-25 activist pressure campaign after years of CEI 100 scores and a funded Pride ERG. Retreat was quieter than peers' but real.</t>
        </is>
      </c>
    </row>
    <row r="16" ht="15" customHeight="1" s="42">
      <c r="A16" s="50" t="inlineStr">
        <is>
          <t>HP</t>
        </is>
      </c>
      <c r="B16" s="51" t="inlineStr">
        <is>
          <t>HPQ</t>
        </is>
      </c>
      <c r="C16" s="52" t="inlineStr">
        <is>
          <t>Technology</t>
        </is>
      </c>
      <c r="D16" s="51" t="n">
        <v>53.6</v>
      </c>
      <c r="E16" s="51" t="n">
        <v>100</v>
      </c>
      <c r="F16" s="51" t="n">
        <v>2024</v>
      </c>
      <c r="G16" s="51" t="inlineStr">
        <is>
          <t>Yes</t>
        </is>
      </c>
      <c r="H16" s="53">
        <f>MIN(20,SUMIFS(Action_Log!$F:$F,Action_Log!$A:$A,$A16,Action_Log!$D:$D,"Cosmetic")+SUMIFS(Action_Log!$F:$F,Action_Log!$A:$A,$A16,Action_Log!$D:$D,"Commercial"))+SUMIFS(Action_Log!$F:$F,Action_Log!$A:$A,$A16,Action_Log!$D:$D,"Civic")+SUMIFS(Action_Log!$F:$F,Action_Log!$A:$A,$A16,Action_Log!$D:$D,"Financial")+SUMIFS(Action_Log!$F:$F,Action_Log!$A:$A,$A16,Action_Log!$D:$D,"Structural")</f>
        <v/>
      </c>
      <c r="I16" s="54">
        <f>SUMIFS(Action_Log!$F:$F,Action_Log!$A:$A,$A16,Action_Log!$E:$E,"Negative")</f>
        <v/>
      </c>
      <c r="J16" s="55">
        <f>MAX(0,MIN(100,50+H16+I16))</f>
        <v/>
      </c>
      <c r="K16" s="56">
        <f>IF(J16&gt;=80,"Champion",IF(J16&gt;=65,"Ally",IF(J16&gt;=50,"Neutral",IF(J16&gt;=35,"Performative",IF(J16&gt;=20,"Harmful","Adversarial")))))</f>
        <v/>
      </c>
      <c r="L16" s="51" t="inlineStr">
        <is>
          <t>No</t>
        </is>
      </c>
      <c r="M16" s="51" t="inlineStr">
        <is>
          <t>No</t>
        </is>
      </c>
      <c r="N16" s="51" t="inlineStr">
        <is>
          <t>No</t>
        </is>
      </c>
      <c r="O16" s="51" t="inlineStr">
        <is>
          <t>No</t>
        </is>
      </c>
      <c r="P16" s="51" t="inlineStr">
        <is>
          <t>No</t>
        </is>
      </c>
      <c r="Q16" s="52" t="inlineStr">
        <is>
          <t>Steady but low-volume: long CEI 100 record, funded Pride ERG, early domestic-partner benefits heritage — and absent from the 2025 rollback lists, suggesting it held its policies without seeking attention.</t>
        </is>
      </c>
    </row>
    <row r="17" ht="15" customHeight="1" s="42">
      <c r="A17" s="57" t="inlineStr">
        <is>
          <t>Walmart</t>
        </is>
      </c>
      <c r="B17" s="58" t="inlineStr">
        <is>
          <t>WMT</t>
        </is>
      </c>
      <c r="C17" s="59" t="inlineStr">
        <is>
          <t>Retail — Big Box</t>
        </is>
      </c>
      <c r="D17" s="58" t="n">
        <v>681</v>
      </c>
      <c r="E17" s="58" t="n">
        <v>90</v>
      </c>
      <c r="F17" s="58" t="n">
        <v>2024</v>
      </c>
      <c r="G17" s="58" t="inlineStr">
        <is>
          <t>No</t>
        </is>
      </c>
      <c r="H17" s="60">
        <f>MIN(20,SUMIFS(Action_Log!$F:$F,Action_Log!$A:$A,$A17,Action_Log!$D:$D,"Cosmetic")+SUMIFS(Action_Log!$F:$F,Action_Log!$A:$A,$A17,Action_Log!$D:$D,"Commercial"))+SUMIFS(Action_Log!$F:$F,Action_Log!$A:$A,$A17,Action_Log!$D:$D,"Civic")+SUMIFS(Action_Log!$F:$F,Action_Log!$A:$A,$A17,Action_Log!$D:$D,"Financial")+SUMIFS(Action_Log!$F:$F,Action_Log!$A:$A,$A17,Action_Log!$D:$D,"Structural")</f>
        <v/>
      </c>
      <c r="I17" s="61">
        <f>SUMIFS(Action_Log!$F:$F,Action_Log!$A:$A,$A17,Action_Log!$E:$E,"Negative")</f>
        <v/>
      </c>
      <c r="J17" s="62">
        <f>MAX(0,MIN(100,50+H17+I17))</f>
        <v/>
      </c>
      <c r="K17" s="63">
        <f>IF(J17&gt;=80,"Champion",IF(J17&gt;=65,"Ally",IF(J17&gt;=50,"Neutral",IF(J17&gt;=35,"Performative",IF(J17&gt;=20,"Harmful","Adversarial")))))</f>
        <v/>
      </c>
      <c r="L17" s="58" t="inlineStr">
        <is>
          <t>Yes</t>
        </is>
      </c>
      <c r="M17" s="58" t="inlineStr">
        <is>
          <t>Yes</t>
        </is>
      </c>
      <c r="N17" s="58" t="inlineStr">
        <is>
          <t>No</t>
        </is>
      </c>
      <c r="O17" s="58" t="inlineStr">
        <is>
          <t>No</t>
        </is>
      </c>
      <c r="P17" s="58" t="inlineStr">
        <is>
          <t>No</t>
        </is>
      </c>
      <c r="Q17" s="59" t="inlineStr">
        <is>
          <t>Nov 2024 sweeping rollback after Robby Starbuck pressure: quit the HRC CEI, ended supplier diversity, erased 'diversity' from documents, and pulled some LGBTQ+ products from shelves. Withdrew Columbus Pride sponsorship in 2025. The largest US retailer chose retreat.</t>
        </is>
      </c>
    </row>
    <row r="18" ht="15" customHeight="1" s="42">
      <c r="A18" s="50" t="inlineStr">
        <is>
          <t>Target</t>
        </is>
      </c>
      <c r="B18" s="51" t="inlineStr">
        <is>
          <t>TGT</t>
        </is>
      </c>
      <c r="C18" s="52" t="inlineStr">
        <is>
          <t>Retail — Big Box</t>
        </is>
      </c>
      <c r="D18" s="51" t="n">
        <v>106.6</v>
      </c>
      <c r="E18" s="51" t="n">
        <v>100</v>
      </c>
      <c r="F18" s="51" t="n">
        <v>2024</v>
      </c>
      <c r="G18" s="51" t="inlineStr">
        <is>
          <t>No</t>
        </is>
      </c>
      <c r="H18" s="53">
        <f>MIN(20,SUMIFS(Action_Log!$F:$F,Action_Log!$A:$A,$A18,Action_Log!$D:$D,"Cosmetic")+SUMIFS(Action_Log!$F:$F,Action_Log!$A:$A,$A18,Action_Log!$D:$D,"Commercial"))+SUMIFS(Action_Log!$F:$F,Action_Log!$A:$A,$A18,Action_Log!$D:$D,"Civic")+SUMIFS(Action_Log!$F:$F,Action_Log!$A:$A,$A18,Action_Log!$D:$D,"Financial")+SUMIFS(Action_Log!$F:$F,Action_Log!$A:$A,$A18,Action_Log!$D:$D,"Structural")</f>
        <v/>
      </c>
      <c r="I18" s="54">
        <f>SUMIFS(Action_Log!$F:$F,Action_Log!$A:$A,$A18,Action_Log!$E:$E,"Negative")</f>
        <v/>
      </c>
      <c r="J18" s="55">
        <f>MAX(0,MIN(100,50+H18+I18))</f>
        <v/>
      </c>
      <c r="K18" s="56">
        <f>IF(J18&gt;=80,"Champion",IF(J18&gt;=65,"Ally",IF(J18&gt;=50,"Neutral",IF(J18&gt;=35,"Performative",IF(J18&gt;=20,"Harmful","Adversarial")))))</f>
        <v/>
      </c>
      <c r="L18" s="51" t="inlineStr">
        <is>
          <t>Yes</t>
        </is>
      </c>
      <c r="M18" s="51" t="inlineStr">
        <is>
          <t>Yes</t>
        </is>
      </c>
      <c r="N18" s="51" t="inlineStr">
        <is>
          <t>No</t>
        </is>
      </c>
      <c r="O18" s="51" t="inlineStr">
        <is>
          <t>No</t>
        </is>
      </c>
      <c r="P18" s="51" t="inlineStr">
        <is>
          <t>No</t>
        </is>
      </c>
      <c r="Q18" s="52" t="inlineStr">
        <is>
          <t>From flagship Pride retailer to case study in retreat: pulled Pride merch under threats in 2023, ended DEI goals and CEI reporting in Jan 2025, then sponsored NYC Pride only as an unlisted 'silent partner.' Twin Cities Pride dropped Target and outraised its pledge in 24 hours.</t>
        </is>
      </c>
    </row>
    <row r="19" ht="15" customHeight="1" s="42">
      <c r="A19" s="57" t="inlineStr">
        <is>
          <t>Costco</t>
        </is>
      </c>
      <c r="B19" s="58" t="inlineStr">
        <is>
          <t>COST</t>
        </is>
      </c>
      <c r="C19" s="59" t="inlineStr">
        <is>
          <t>Retail — Big Box</t>
        </is>
      </c>
      <c r="D19" s="58" t="n">
        <v>254.5</v>
      </c>
      <c r="E19" s="58" t="n">
        <v>90</v>
      </c>
      <c r="F19" s="58" t="n">
        <v>2024</v>
      </c>
      <c r="G19" s="58" t="inlineStr">
        <is>
          <t>Yes</t>
        </is>
      </c>
      <c r="H19" s="60">
        <f>MIN(20,SUMIFS(Action_Log!$F:$F,Action_Log!$A:$A,$A19,Action_Log!$D:$D,"Cosmetic")+SUMIFS(Action_Log!$F:$F,Action_Log!$A:$A,$A19,Action_Log!$D:$D,"Commercial"))+SUMIFS(Action_Log!$F:$F,Action_Log!$A:$A,$A19,Action_Log!$D:$D,"Civic")+SUMIFS(Action_Log!$F:$F,Action_Log!$A:$A,$A19,Action_Log!$D:$D,"Financial")+SUMIFS(Action_Log!$F:$F,Action_Log!$A:$A,$A19,Action_Log!$D:$D,"Structural")</f>
        <v/>
      </c>
      <c r="I19" s="61">
        <f>SUMIFS(Action_Log!$F:$F,Action_Log!$A:$A,$A19,Action_Log!$E:$E,"Negative")</f>
        <v/>
      </c>
      <c r="J19" s="62">
        <f>MAX(0,MIN(100,50+H19+I19))</f>
        <v/>
      </c>
      <c r="K19" s="63">
        <f>IF(J19&gt;=80,"Champion",IF(J19&gt;=65,"Ally",IF(J19&gt;=50,"Neutral",IF(J19&gt;=35,"Performative",IF(J19&gt;=20,"Harmful","Adversarial")))))</f>
        <v/>
      </c>
      <c r="L19" s="58" t="inlineStr">
        <is>
          <t>No</t>
        </is>
      </c>
      <c r="M19" s="58" t="inlineStr">
        <is>
          <t>No</t>
        </is>
      </c>
      <c r="N19" s="58" t="inlineStr">
        <is>
          <t>No</t>
        </is>
      </c>
      <c r="O19" s="58" t="inlineStr">
        <is>
          <t>No</t>
        </is>
      </c>
      <c r="P19" s="58" t="inlineStr">
        <is>
          <t>No</t>
        </is>
      </c>
      <c r="Q19" s="59" t="inlineStr">
        <is>
          <t>The retail counter-example: board unanimously urged shareholders to reject an anti-DEI proposal and 98%+ did (Jan 2025). Little Pride marketing, but structural commitments held under direct attack — substance without spectacle.</t>
        </is>
      </c>
    </row>
    <row r="20" ht="15" customHeight="1" s="42">
      <c r="A20" s="50" t="inlineStr">
        <is>
          <t>Home Depot</t>
        </is>
      </c>
      <c r="B20" s="51" t="inlineStr">
        <is>
          <t>HD</t>
        </is>
      </c>
      <c r="C20" s="52" t="inlineStr">
        <is>
          <t>Retail — Big Box</t>
        </is>
      </c>
      <c r="D20" s="51" t="n">
        <v>159.5</v>
      </c>
      <c r="E20" s="51" t="inlineStr">
        <is>
          <t>Not rated</t>
        </is>
      </c>
      <c r="F20" s="51" t="inlineStr">
        <is>
          <t>—</t>
        </is>
      </c>
      <c r="G20" s="51" t="inlineStr">
        <is>
          <t>No</t>
        </is>
      </c>
      <c r="H20" s="53">
        <f>MIN(20,SUMIFS(Action_Log!$F:$F,Action_Log!$A:$A,$A20,Action_Log!$D:$D,"Cosmetic")+SUMIFS(Action_Log!$F:$F,Action_Log!$A:$A,$A20,Action_Log!$D:$D,"Commercial"))+SUMIFS(Action_Log!$F:$F,Action_Log!$A:$A,$A20,Action_Log!$D:$D,"Civic")+SUMIFS(Action_Log!$F:$F,Action_Log!$A:$A,$A20,Action_Log!$D:$D,"Financial")+SUMIFS(Action_Log!$F:$F,Action_Log!$A:$A,$A20,Action_Log!$D:$D,"Structural")</f>
        <v/>
      </c>
      <c r="I20" s="54">
        <f>SUMIFS(Action_Log!$F:$F,Action_Log!$A:$A,$A20,Action_Log!$E:$E,"Negative")</f>
        <v/>
      </c>
      <c r="J20" s="55">
        <f>MAX(0,MIN(100,50+H20+I20))</f>
        <v/>
      </c>
      <c r="K20" s="56">
        <f>IF(J20&gt;=80,"Champion",IF(J20&gt;=65,"Ally",IF(J20&gt;=50,"Neutral",IF(J20&gt;=35,"Performative",IF(J20&gt;=20,"Harmful","Adversarial")))))</f>
        <v/>
      </c>
      <c r="L20" s="51" t="inlineStr">
        <is>
          <t>No</t>
        </is>
      </c>
      <c r="M20" s="51" t="inlineStr">
        <is>
          <t>No</t>
        </is>
      </c>
      <c r="N20" s="51" t="inlineStr">
        <is>
          <t>No</t>
        </is>
      </c>
      <c r="O20" s="51" t="inlineStr">
        <is>
          <t>No</t>
        </is>
      </c>
      <c r="P20" s="51" t="inlineStr">
        <is>
          <t>No</t>
        </is>
      </c>
      <c r="Q20" s="52" t="inlineStr">
        <is>
          <t>Largely absent from the Pride conversation in both directions: no significant Pride marketing or sponsorship record, no major documented reversal. An orange bystander.</t>
        </is>
      </c>
    </row>
    <row r="21" ht="15" customHeight="1" s="42">
      <c r="A21" s="57" t="inlineStr">
        <is>
          <t>Lowe's</t>
        </is>
      </c>
      <c r="B21" s="58" t="inlineStr">
        <is>
          <t>LOW</t>
        </is>
      </c>
      <c r="C21" s="59" t="inlineStr">
        <is>
          <t>Retail — Big Box</t>
        </is>
      </c>
      <c r="D21" s="58" t="n">
        <v>83.7</v>
      </c>
      <c r="E21" s="58" t="n">
        <v>75</v>
      </c>
      <c r="F21" s="58" t="n">
        <v>2025</v>
      </c>
      <c r="G21" s="58" t="inlineStr">
        <is>
          <t>No</t>
        </is>
      </c>
      <c r="H21" s="60">
        <f>MIN(20,SUMIFS(Action_Log!$F:$F,Action_Log!$A:$A,$A21,Action_Log!$D:$D,"Cosmetic")+SUMIFS(Action_Log!$F:$F,Action_Log!$A:$A,$A21,Action_Log!$D:$D,"Commercial"))+SUMIFS(Action_Log!$F:$F,Action_Log!$A:$A,$A21,Action_Log!$D:$D,"Civic")+SUMIFS(Action_Log!$F:$F,Action_Log!$A:$A,$A21,Action_Log!$D:$D,"Financial")+SUMIFS(Action_Log!$F:$F,Action_Log!$A:$A,$A21,Action_Log!$D:$D,"Structural")</f>
        <v/>
      </c>
      <c r="I21" s="61">
        <f>SUMIFS(Action_Log!$F:$F,Action_Log!$A:$A,$A21,Action_Log!$E:$E,"Negative")</f>
        <v/>
      </c>
      <c r="J21" s="62">
        <f>MAX(0,MIN(100,50+H21+I21))</f>
        <v/>
      </c>
      <c r="K21" s="63">
        <f>IF(J21&gt;=80,"Champion",IF(J21&gt;=65,"Ally",IF(J21&gt;=50,"Neutral",IF(J21&gt;=35,"Performative",IF(J21&gt;=20,"Harmful","Adversarial")))))</f>
        <v/>
      </c>
      <c r="L21" s="58" t="inlineStr">
        <is>
          <t>Yes</t>
        </is>
      </c>
      <c r="M21" s="58" t="inlineStr">
        <is>
          <t>Yes</t>
        </is>
      </c>
      <c r="N21" s="58" t="inlineStr">
        <is>
          <t>No</t>
        </is>
      </c>
      <c r="O21" s="58" t="inlineStr">
        <is>
          <t>No</t>
        </is>
      </c>
      <c r="P21" s="58" t="inlineStr">
        <is>
          <t>No</t>
        </is>
      </c>
      <c r="Q21" s="59" t="inlineStr">
        <is>
          <t>Aug 2024 Starbuck-campaign capitulation: quit the CEI, consolidated ERGs, ended Pride sponsorships — one of seven companies HRC docked -25 points for abandoning commitments. Withdrew Columbus Pride support in 2025 (~$125K with co-withdrawers).</t>
        </is>
      </c>
    </row>
    <row r="22" ht="15" customHeight="1" s="42">
      <c r="A22" s="50" t="inlineStr">
        <is>
          <t>Best Buy</t>
        </is>
      </c>
      <c r="B22" s="51" t="inlineStr">
        <is>
          <t>BBY</t>
        </is>
      </c>
      <c r="C22" s="52" t="inlineStr">
        <is>
          <t>Retail — Big Box</t>
        </is>
      </c>
      <c r="D22" s="51" t="n">
        <v>41.5</v>
      </c>
      <c r="E22" s="51" t="n">
        <v>100</v>
      </c>
      <c r="F22" s="51" t="n">
        <v>2024</v>
      </c>
      <c r="G22" s="51" t="inlineStr">
        <is>
          <t>Yes</t>
        </is>
      </c>
      <c r="H22" s="53">
        <f>MIN(20,SUMIFS(Action_Log!$F:$F,Action_Log!$A:$A,$A22,Action_Log!$D:$D,"Cosmetic")+SUMIFS(Action_Log!$F:$F,Action_Log!$A:$A,$A22,Action_Log!$D:$D,"Commercial"))+SUMIFS(Action_Log!$F:$F,Action_Log!$A:$A,$A22,Action_Log!$D:$D,"Civic")+SUMIFS(Action_Log!$F:$F,Action_Log!$A:$A,$A22,Action_Log!$D:$D,"Financial")+SUMIFS(Action_Log!$F:$F,Action_Log!$A:$A,$A22,Action_Log!$D:$D,"Structural")</f>
        <v/>
      </c>
      <c r="I22" s="54">
        <f>SUMIFS(Action_Log!$F:$F,Action_Log!$A:$A,$A22,Action_Log!$E:$E,"Negative")</f>
        <v/>
      </c>
      <c r="J22" s="55">
        <f>MAX(0,MIN(100,50+H22+I22))</f>
        <v/>
      </c>
      <c r="K22" s="56">
        <f>IF(J22&gt;=80,"Champion",IF(J22&gt;=65,"Ally",IF(J22&gt;=50,"Neutral",IF(J22&gt;=35,"Performative",IF(J22&gt;=20,"Harmful","Adversarial")))))</f>
        <v/>
      </c>
      <c r="L22" s="51" t="inlineStr">
        <is>
          <t>No</t>
        </is>
      </c>
      <c r="M22" s="51" t="inlineStr">
        <is>
          <t>No</t>
        </is>
      </c>
      <c r="N22" s="51" t="inlineStr">
        <is>
          <t>No</t>
        </is>
      </c>
      <c r="O22" s="51" t="inlineStr">
        <is>
          <t>No</t>
        </is>
      </c>
      <c r="P22" s="51" t="inlineStr">
        <is>
          <t>No</t>
        </is>
      </c>
      <c r="Q22" s="52" t="inlineStr">
        <is>
          <t>Quiet softening rather than reversal: dropped measurable diversity hiring goals from its 2024 report but kept its DEI page, ERG and inclusive benefits. Not on the major rollback or Pride-withdrawal lists.</t>
        </is>
      </c>
    </row>
    <row r="23" ht="15" customHeight="1" s="42">
      <c r="A23" s="57" t="inlineStr">
        <is>
          <t>Nike</t>
        </is>
      </c>
      <c r="B23" s="58" t="inlineStr">
        <is>
          <t>NKE</t>
        </is>
      </c>
      <c r="C23" s="59" t="inlineStr">
        <is>
          <t>Fashion &amp; Apparel</t>
        </is>
      </c>
      <c r="D23" s="58" t="n">
        <v>51.4</v>
      </c>
      <c r="E23" s="58" t="n">
        <v>100</v>
      </c>
      <c r="F23" s="58" t="n">
        <v>2024</v>
      </c>
      <c r="G23" s="58" t="inlineStr">
        <is>
          <t>No</t>
        </is>
      </c>
      <c r="H23" s="60">
        <f>MIN(20,SUMIFS(Action_Log!$F:$F,Action_Log!$A:$A,$A23,Action_Log!$D:$D,"Cosmetic")+SUMIFS(Action_Log!$F:$F,Action_Log!$A:$A,$A23,Action_Log!$D:$D,"Commercial"))+SUMIFS(Action_Log!$F:$F,Action_Log!$A:$A,$A23,Action_Log!$D:$D,"Civic")+SUMIFS(Action_Log!$F:$F,Action_Log!$A:$A,$A23,Action_Log!$D:$D,"Financial")+SUMIFS(Action_Log!$F:$F,Action_Log!$A:$A,$A23,Action_Log!$D:$D,"Structural")</f>
        <v/>
      </c>
      <c r="I23" s="61">
        <f>SUMIFS(Action_Log!$F:$F,Action_Log!$A:$A,$A23,Action_Log!$E:$E,"Negative")</f>
        <v/>
      </c>
      <c r="J23" s="62">
        <f>MAX(0,MIN(100,50+H23+I23))</f>
        <v/>
      </c>
      <c r="K23" s="63">
        <f>IF(J23&gt;=80,"Champion",IF(J23&gt;=65,"Ally",IF(J23&gt;=50,"Neutral",IF(J23&gt;=35,"Performative",IF(J23&gt;=20,"Harmful","Adversarial")))))</f>
        <v/>
      </c>
      <c r="L23" s="58" t="inlineStr">
        <is>
          <t>No</t>
        </is>
      </c>
      <c r="M23" s="58" t="inlineStr">
        <is>
          <t>No</t>
        </is>
      </c>
      <c r="N23" s="58" t="inlineStr">
        <is>
          <t>No</t>
        </is>
      </c>
      <c r="O23" s="58" t="inlineStr">
        <is>
          <t>No</t>
        </is>
      </c>
      <c r="P23" s="58" t="inlineStr">
        <is>
          <t>No</t>
        </is>
      </c>
      <c r="Q23" s="59" t="inlineStr">
        <is>
          <t>Ran the pioneering BETRUE line (2012-2023) with LGBTQ+ sport donations, went quiet during the 2024-25 backlash peak, then returned with the 'Love Unites' Pride collection in 2026. Diminished but not reversed.</t>
        </is>
      </c>
    </row>
    <row r="24" ht="15" customHeight="1" s="42">
      <c r="A24" s="50" t="inlineStr">
        <is>
          <t>Abercrombie &amp; Fitch</t>
        </is>
      </c>
      <c r="B24" s="51" t="inlineStr">
        <is>
          <t>ANF</t>
        </is>
      </c>
      <c r="C24" s="52" t="inlineStr">
        <is>
          <t>Fashion &amp; Apparel</t>
        </is>
      </c>
      <c r="D24" s="51" t="n">
        <v>4.95</v>
      </c>
      <c r="E24" s="51" t="n">
        <v>100</v>
      </c>
      <c r="F24" s="51" t="n">
        <v>2024</v>
      </c>
      <c r="G24" s="51" t="inlineStr">
        <is>
          <t>Yes</t>
        </is>
      </c>
      <c r="H24" s="53">
        <f>MIN(20,SUMIFS(Action_Log!$F:$F,Action_Log!$A:$A,$A24,Action_Log!$D:$D,"Cosmetic")+SUMIFS(Action_Log!$F:$F,Action_Log!$A:$A,$A24,Action_Log!$D:$D,"Commercial"))+SUMIFS(Action_Log!$F:$F,Action_Log!$A:$A,$A24,Action_Log!$D:$D,"Civic")+SUMIFS(Action_Log!$F:$F,Action_Log!$A:$A,$A24,Action_Log!$D:$D,"Financial")+SUMIFS(Action_Log!$F:$F,Action_Log!$A:$A,$A24,Action_Log!$D:$D,"Structural")</f>
        <v/>
      </c>
      <c r="I24" s="54">
        <f>SUMIFS(Action_Log!$F:$F,Action_Log!$A:$A,$A24,Action_Log!$E:$E,"Negative")</f>
        <v/>
      </c>
      <c r="J24" s="55">
        <f>MAX(0,MIN(100,50+H24+I24))</f>
        <v/>
      </c>
      <c r="K24" s="56">
        <f>IF(J24&gt;=80,"Champion",IF(J24&gt;=65,"Ally",IF(J24&gt;=50,"Neutral",IF(J24&gt;=35,"Performative",IF(J24&gt;=20,"Harmful","Adversarial")))))</f>
        <v/>
      </c>
      <c r="L24" s="51" t="inlineStr">
        <is>
          <t>No</t>
        </is>
      </c>
      <c r="M24" s="51" t="inlineStr">
        <is>
          <t>No</t>
        </is>
      </c>
      <c r="N24" s="51" t="inlineStr">
        <is>
          <t>No</t>
        </is>
      </c>
      <c r="O24" s="51" t="inlineStr">
        <is>
          <t>No</t>
        </is>
      </c>
      <c r="P24" s="51" t="inlineStr">
        <is>
          <t>No</t>
        </is>
      </c>
      <c r="Q24" s="52" t="inlineStr">
        <is>
          <t>Doubling down in 2026: full Pride collection plus a $400K Trevor Project donation, extending a Trevor partnership running since the 2010s. One of the clearest fashion allies of the backlash era.</t>
        </is>
      </c>
    </row>
    <row r="25" ht="15" customHeight="1" s="42">
      <c r="A25" s="57" t="inlineStr">
        <is>
          <t>American Eagle</t>
        </is>
      </c>
      <c r="B25" s="58" t="inlineStr">
        <is>
          <t>AEO</t>
        </is>
      </c>
      <c r="C25" s="59" t="inlineStr">
        <is>
          <t>Fashion &amp; Apparel</t>
        </is>
      </c>
      <c r="D25" s="58" t="n">
        <v>5.3</v>
      </c>
      <c r="E25" s="58" t="n">
        <v>100</v>
      </c>
      <c r="F25" s="58" t="n">
        <v>2024</v>
      </c>
      <c r="G25" s="58" t="inlineStr">
        <is>
          <t>Yes</t>
        </is>
      </c>
      <c r="H25" s="60">
        <f>MIN(20,SUMIFS(Action_Log!$F:$F,Action_Log!$A:$A,$A25,Action_Log!$D:$D,"Cosmetic")+SUMIFS(Action_Log!$F:$F,Action_Log!$A:$A,$A25,Action_Log!$D:$D,"Commercial"))+SUMIFS(Action_Log!$F:$F,Action_Log!$A:$A,$A25,Action_Log!$D:$D,"Civic")+SUMIFS(Action_Log!$F:$F,Action_Log!$A:$A,$A25,Action_Log!$D:$D,"Financial")+SUMIFS(Action_Log!$F:$F,Action_Log!$A:$A,$A25,Action_Log!$D:$D,"Structural")</f>
        <v/>
      </c>
      <c r="I25" s="61">
        <f>SUMIFS(Action_Log!$F:$F,Action_Log!$A:$A,$A25,Action_Log!$E:$E,"Negative")</f>
        <v/>
      </c>
      <c r="J25" s="62">
        <f>MAX(0,MIN(100,50+H25+I25))</f>
        <v/>
      </c>
      <c r="K25" s="63">
        <f>IF(J25&gt;=80,"Champion",IF(J25&gt;=65,"Ally",IF(J25&gt;=50,"Neutral",IF(J25&gt;=35,"Performative",IF(J25&gt;=20,"Harmful","Adversarial")))))</f>
        <v/>
      </c>
      <c r="L25" s="58" t="inlineStr">
        <is>
          <t>No</t>
        </is>
      </c>
      <c r="M25" s="58" t="inlineStr">
        <is>
          <t>No</t>
        </is>
      </c>
      <c r="N25" s="58" t="inlineStr">
        <is>
          <t>No</t>
        </is>
      </c>
      <c r="O25" s="58" t="inlineStr">
        <is>
          <t>No</t>
        </is>
      </c>
      <c r="P25" s="58" t="inlineStr">
        <is>
          <t>No</t>
        </is>
      </c>
      <c r="Q25" s="59" t="inlineStr">
        <is>
          <t>Long-running Pride Shop with proceeds to It Gets Better since 2018; donating $150K to It Gets Better in 2026. Sustained through the backlash without retreat.</t>
        </is>
      </c>
    </row>
    <row r="26" ht="15" customHeight="1" s="42">
      <c r="A26" s="50" t="inlineStr">
        <is>
          <t>Gap Inc.</t>
        </is>
      </c>
      <c r="B26" s="51" t="inlineStr">
        <is>
          <t>GAP</t>
        </is>
      </c>
      <c r="C26" s="52" t="inlineStr">
        <is>
          <t>Fashion &amp; Apparel</t>
        </is>
      </c>
      <c r="D26" s="51" t="n">
        <v>15.1</v>
      </c>
      <c r="E26" s="51" t="n">
        <v>100</v>
      </c>
      <c r="F26" s="51" t="n">
        <v>2024</v>
      </c>
      <c r="G26" s="51" t="inlineStr">
        <is>
          <t>No</t>
        </is>
      </c>
      <c r="H26" s="53">
        <f>MIN(20,SUMIFS(Action_Log!$F:$F,Action_Log!$A:$A,$A26,Action_Log!$D:$D,"Cosmetic")+SUMIFS(Action_Log!$F:$F,Action_Log!$A:$A,$A26,Action_Log!$D:$D,"Commercial"))+SUMIFS(Action_Log!$F:$F,Action_Log!$A:$A,$A26,Action_Log!$D:$D,"Civic")+SUMIFS(Action_Log!$F:$F,Action_Log!$A:$A,$A26,Action_Log!$D:$D,"Financial")+SUMIFS(Action_Log!$F:$F,Action_Log!$A:$A,$A26,Action_Log!$D:$D,"Structural")</f>
        <v/>
      </c>
      <c r="I26" s="54">
        <f>SUMIFS(Action_Log!$F:$F,Action_Log!$A:$A,$A26,Action_Log!$E:$E,"Negative")</f>
        <v/>
      </c>
      <c r="J26" s="55">
        <f>MAX(0,MIN(100,50+H26+I26))</f>
        <v/>
      </c>
      <c r="K26" s="56">
        <f>IF(J26&gt;=80,"Champion",IF(J26&gt;=65,"Ally",IF(J26&gt;=50,"Neutral",IF(J26&gt;=35,"Performative",IF(J26&gt;=20,"Harmful","Adversarial")))))</f>
        <v/>
      </c>
      <c r="L26" s="51" t="inlineStr">
        <is>
          <t>No</t>
        </is>
      </c>
      <c r="M26" s="51" t="inlineStr">
        <is>
          <t>No</t>
        </is>
      </c>
      <c r="N26" s="51" t="inlineStr">
        <is>
          <t>No</t>
        </is>
      </c>
      <c r="O26" s="51" t="inlineStr">
        <is>
          <t>No</t>
        </is>
      </c>
      <c r="P26" s="51" t="inlineStr">
        <is>
          <t>No</t>
        </is>
      </c>
      <c r="Q26" s="52" t="inlineStr">
        <is>
          <t>Old Navy is running a visible 2026 Pride collection including kids' items — notable in this climate. Gap Inc. itself keeps a low corporate profile; no documented reversal.</t>
        </is>
      </c>
    </row>
    <row r="27" ht="15" customHeight="1" s="42">
      <c r="A27" s="57" t="inlineStr">
        <is>
          <t>H&amp;M</t>
        </is>
      </c>
      <c r="B27" s="58" t="inlineStr">
        <is>
          <t>Private</t>
        </is>
      </c>
      <c r="C27" s="59" t="inlineStr">
        <is>
          <t>Fashion &amp; Apparel</t>
        </is>
      </c>
      <c r="D27" s="58" t="n">
        <v>23</v>
      </c>
      <c r="E27" s="58" t="inlineStr">
        <is>
          <t>Not rated</t>
        </is>
      </c>
      <c r="F27" s="58" t="inlineStr">
        <is>
          <t>—</t>
        </is>
      </c>
      <c r="G27" s="58" t="inlineStr">
        <is>
          <t>Never</t>
        </is>
      </c>
      <c r="H27" s="60">
        <f>MIN(20,SUMIFS(Action_Log!$F:$F,Action_Log!$A:$A,$A27,Action_Log!$D:$D,"Cosmetic")+SUMIFS(Action_Log!$F:$F,Action_Log!$A:$A,$A27,Action_Log!$D:$D,"Commercial"))+SUMIFS(Action_Log!$F:$F,Action_Log!$A:$A,$A27,Action_Log!$D:$D,"Civic")+SUMIFS(Action_Log!$F:$F,Action_Log!$A:$A,$A27,Action_Log!$D:$D,"Financial")+SUMIFS(Action_Log!$F:$F,Action_Log!$A:$A,$A27,Action_Log!$D:$D,"Structural")</f>
        <v/>
      </c>
      <c r="I27" s="61">
        <f>SUMIFS(Action_Log!$F:$F,Action_Log!$A:$A,$A27,Action_Log!$E:$E,"Negative")</f>
        <v/>
      </c>
      <c r="J27" s="62">
        <f>MAX(0,MIN(100,50+H27+I27))</f>
        <v/>
      </c>
      <c r="K27" s="63">
        <f>IF(J27&gt;=80,"Champion",IF(J27&gt;=65,"Ally",IF(J27&gt;=50,"Neutral",IF(J27&gt;=35,"Performative",IF(J27&gt;=20,"Harmful","Adversarial")))))</f>
        <v/>
      </c>
      <c r="L27" s="58" t="inlineStr">
        <is>
          <t>No</t>
        </is>
      </c>
      <c r="M27" s="58" t="inlineStr">
        <is>
          <t>No</t>
        </is>
      </c>
      <c r="N27" s="58" t="inlineStr">
        <is>
          <t>No</t>
        </is>
      </c>
      <c r="O27" s="58" t="inlineStr">
        <is>
          <t>No</t>
        </is>
      </c>
      <c r="P27" s="58" t="inlineStr">
        <is>
          <t>No</t>
        </is>
      </c>
      <c r="Q27" s="59" t="inlineStr">
        <is>
          <t>Global Pride collections since 2018 with a share of proceeds to the UN Free &amp; Equal campaign. As a Swedish retailer it sits outside the US CEI system; no US-style reversal documented.</t>
        </is>
      </c>
    </row>
    <row r="28" ht="15" customHeight="1" s="42">
      <c r="A28" s="50" t="inlineStr">
        <is>
          <t>Vineyard Vines</t>
        </is>
      </c>
      <c r="B28" s="51" t="inlineStr">
        <is>
          <t>Private</t>
        </is>
      </c>
      <c r="C28" s="52" t="inlineStr">
        <is>
          <t>Fashion &amp; Apparel</t>
        </is>
      </c>
      <c r="D28" s="51" t="n"/>
      <c r="E28" s="51" t="inlineStr">
        <is>
          <t>Not rated</t>
        </is>
      </c>
      <c r="F28" s="51" t="inlineStr">
        <is>
          <t>—</t>
        </is>
      </c>
      <c r="G28" s="51" t="inlineStr">
        <is>
          <t>Never</t>
        </is>
      </c>
      <c r="H28" s="53">
        <f>MIN(20,SUMIFS(Action_Log!$F:$F,Action_Log!$A:$A,$A28,Action_Log!$D:$D,"Cosmetic")+SUMIFS(Action_Log!$F:$F,Action_Log!$A:$A,$A28,Action_Log!$D:$D,"Commercial"))+SUMIFS(Action_Log!$F:$F,Action_Log!$A:$A,$A28,Action_Log!$D:$D,"Civic")+SUMIFS(Action_Log!$F:$F,Action_Log!$A:$A,$A28,Action_Log!$D:$D,"Financial")+SUMIFS(Action_Log!$F:$F,Action_Log!$A:$A,$A28,Action_Log!$D:$D,"Structural")</f>
        <v/>
      </c>
      <c r="I28" s="54">
        <f>SUMIFS(Action_Log!$F:$F,Action_Log!$A:$A,$A28,Action_Log!$E:$E,"Negative")</f>
        <v/>
      </c>
      <c r="J28" s="55">
        <f>MAX(0,MIN(100,50+H28+I28))</f>
        <v/>
      </c>
      <c r="K28" s="56">
        <f>IF(J28&gt;=80,"Champion",IF(J28&gt;=65,"Ally",IF(J28&gt;=50,"Neutral",IF(J28&gt;=35,"Performative",IF(J28&gt;=20,"Harmful","Adversarial")))))</f>
        <v/>
      </c>
      <c r="L28" s="51" t="inlineStr">
        <is>
          <t>No</t>
        </is>
      </c>
      <c r="M28" s="51" t="inlineStr">
        <is>
          <t>No</t>
        </is>
      </c>
      <c r="N28" s="51" t="inlineStr">
        <is>
          <t>No</t>
        </is>
      </c>
      <c r="O28" s="51" t="inlineStr">
        <is>
          <t>No</t>
        </is>
      </c>
      <c r="P28" s="51" t="inlineStr">
        <is>
          <t>No</t>
        </is>
      </c>
      <c r="Q28" s="52" t="inlineStr">
        <is>
          <t>No meaningful public LGBTQ+ record found in either direction — no Pride collections, sponsorships, donations, or documented reversals. Score reflects absence of engagement.</t>
        </is>
      </c>
    </row>
    <row r="29" ht="15" customHeight="1" s="42">
      <c r="A29" s="57" t="inlineStr">
        <is>
          <t>Ralph Lauren</t>
        </is>
      </c>
      <c r="B29" s="58" t="inlineStr">
        <is>
          <t>RL</t>
        </is>
      </c>
      <c r="C29" s="59" t="inlineStr">
        <is>
          <t>Fashion &amp; Apparel</t>
        </is>
      </c>
      <c r="D29" s="58" t="n">
        <v>6.6</v>
      </c>
      <c r="E29" s="58" t="n">
        <v>100</v>
      </c>
      <c r="F29" s="58" t="n">
        <v>2024</v>
      </c>
      <c r="G29" s="58" t="inlineStr">
        <is>
          <t>Yes</t>
        </is>
      </c>
      <c r="H29" s="60">
        <f>MIN(20,SUMIFS(Action_Log!$F:$F,Action_Log!$A:$A,$A29,Action_Log!$D:$D,"Cosmetic")+SUMIFS(Action_Log!$F:$F,Action_Log!$A:$A,$A29,Action_Log!$D:$D,"Commercial"))+SUMIFS(Action_Log!$F:$F,Action_Log!$A:$A,$A29,Action_Log!$D:$D,"Civic")+SUMIFS(Action_Log!$F:$F,Action_Log!$A:$A,$A29,Action_Log!$D:$D,"Financial")+SUMIFS(Action_Log!$F:$F,Action_Log!$A:$A,$A29,Action_Log!$D:$D,"Structural")</f>
        <v/>
      </c>
      <c r="I29" s="61">
        <f>SUMIFS(Action_Log!$F:$F,Action_Log!$A:$A,$A29,Action_Log!$E:$E,"Negative")</f>
        <v/>
      </c>
      <c r="J29" s="62">
        <f>MAX(0,MIN(100,50+H29+I29))</f>
        <v/>
      </c>
      <c r="K29" s="63">
        <f>IF(J29&gt;=80,"Champion",IF(J29&gt;=65,"Ally",IF(J29&gt;=50,"Neutral",IF(J29&gt;=35,"Performative",IF(J29&gt;=20,"Harmful","Adversarial")))))</f>
        <v/>
      </c>
      <c r="L29" s="58" t="inlineStr">
        <is>
          <t>No</t>
        </is>
      </c>
      <c r="M29" s="58" t="inlineStr">
        <is>
          <t>No</t>
        </is>
      </c>
      <c r="N29" s="58" t="inlineStr">
        <is>
          <t>No</t>
        </is>
      </c>
      <c r="O29" s="58" t="inlineStr">
        <is>
          <t>No</t>
        </is>
      </c>
      <c r="P29" s="58" t="inlineStr">
        <is>
          <t>No</t>
        </is>
      </c>
      <c r="Q29" s="59" t="inlineStr">
        <is>
          <t>Polo Pride capsule collections with donations benefiting LGBTQ+ organizations (Stonewall Community Foundation), CEI 100 record, steady low-drama support. No documented retreat.</t>
        </is>
      </c>
    </row>
    <row r="30" ht="15" customHeight="1" s="42">
      <c r="A30" s="50" t="inlineStr">
        <is>
          <t>Levi Strauss &amp; Co.</t>
        </is>
      </c>
      <c r="B30" s="51" t="inlineStr">
        <is>
          <t>LEVI</t>
        </is>
      </c>
      <c r="C30" s="52" t="inlineStr">
        <is>
          <t>Fashion &amp; Apparel</t>
        </is>
      </c>
      <c r="D30" s="51" t="n">
        <v>6.4</v>
      </c>
      <c r="E30" s="51" t="n">
        <v>100</v>
      </c>
      <c r="F30" s="51" t="n">
        <v>2025</v>
      </c>
      <c r="G30" s="51" t="inlineStr">
        <is>
          <t>Yes</t>
        </is>
      </c>
      <c r="H30" s="53">
        <f>MIN(20,SUMIFS(Action_Log!$F:$F,Action_Log!$A:$A,$A30,Action_Log!$D:$D,"Cosmetic")+SUMIFS(Action_Log!$F:$F,Action_Log!$A:$A,$A30,Action_Log!$D:$D,"Commercial"))+SUMIFS(Action_Log!$F:$F,Action_Log!$A:$A,$A30,Action_Log!$D:$D,"Civic")+SUMIFS(Action_Log!$F:$F,Action_Log!$A:$A,$A30,Action_Log!$D:$D,"Financial")+SUMIFS(Action_Log!$F:$F,Action_Log!$A:$A,$A30,Action_Log!$D:$D,"Structural")</f>
        <v/>
      </c>
      <c r="I30" s="54">
        <f>SUMIFS(Action_Log!$F:$F,Action_Log!$A:$A,$A30,Action_Log!$E:$E,"Negative")</f>
        <v/>
      </c>
      <c r="J30" s="55">
        <f>MAX(0,MIN(100,50+H30+I30))</f>
        <v/>
      </c>
      <c r="K30" s="56">
        <f>IF(J30&gt;=80,"Champion",IF(J30&gt;=65,"Ally",IF(J30&gt;=50,"Neutral",IF(J30&gt;=35,"Performative",IF(J30&gt;=20,"Harmful","Adversarial")))))</f>
        <v/>
      </c>
      <c r="L30" s="51" t="inlineStr">
        <is>
          <t>No</t>
        </is>
      </c>
      <c r="M30" s="51" t="inlineStr">
        <is>
          <t>No</t>
        </is>
      </c>
      <c r="N30" s="51" t="inlineStr">
        <is>
          <t>No</t>
        </is>
      </c>
      <c r="O30" s="51" t="inlineStr">
        <is>
          <t>No</t>
        </is>
      </c>
      <c r="P30" s="51" t="inlineStr">
        <is>
          <t>No</t>
        </is>
      </c>
      <c r="Q30" s="52" t="inlineStr">
        <is>
          <t>Arguably the deepest record in apparel: domestic-partner benefits in 1992 (first Fortune 500), withdrew Boy Scouts funding over discrimination, $100K annual Outright International donation, shareholders rejected anti-DEI proposal 2025, and a leather-club-inspired 2026 Pride collection.</t>
        </is>
      </c>
    </row>
    <row r="31" ht="15" customHeight="1" s="42">
      <c r="A31" s="57" t="inlineStr">
        <is>
          <t>PVH Corp.</t>
        </is>
      </c>
      <c r="B31" s="58" t="inlineStr">
        <is>
          <t>PVH</t>
        </is>
      </c>
      <c r="C31" s="59" t="inlineStr">
        <is>
          <t>Fashion &amp; Apparel</t>
        </is>
      </c>
      <c r="D31" s="58" t="n">
        <v>8.699999999999999</v>
      </c>
      <c r="E31" s="58" t="n">
        <v>100</v>
      </c>
      <c r="F31" s="58" t="n">
        <v>2024</v>
      </c>
      <c r="G31" s="58" t="inlineStr">
        <is>
          <t>No</t>
        </is>
      </c>
      <c r="H31" s="60">
        <f>MIN(20,SUMIFS(Action_Log!$F:$F,Action_Log!$A:$A,$A31,Action_Log!$D:$D,"Cosmetic")+SUMIFS(Action_Log!$F:$F,Action_Log!$A:$A,$A31,Action_Log!$D:$D,"Commercial"))+SUMIFS(Action_Log!$F:$F,Action_Log!$A:$A,$A31,Action_Log!$D:$D,"Civic")+SUMIFS(Action_Log!$F:$F,Action_Log!$A:$A,$A31,Action_Log!$D:$D,"Financial")+SUMIFS(Action_Log!$F:$F,Action_Log!$A:$A,$A31,Action_Log!$D:$D,"Structural")</f>
        <v/>
      </c>
      <c r="I31" s="61">
        <f>SUMIFS(Action_Log!$F:$F,Action_Log!$A:$A,$A31,Action_Log!$E:$E,"Negative")</f>
        <v/>
      </c>
      <c r="J31" s="62">
        <f>MAX(0,MIN(100,50+H31+I31))</f>
        <v/>
      </c>
      <c r="K31" s="63">
        <f>IF(J31&gt;=80,"Champion",IF(J31&gt;=65,"Ally",IF(J31&gt;=50,"Neutral",IF(J31&gt;=35,"Performative",IF(J31&gt;=20,"Harmful","Adversarial")))))</f>
        <v/>
      </c>
      <c r="L31" s="58" t="inlineStr">
        <is>
          <t>No</t>
        </is>
      </c>
      <c r="M31" s="58" t="inlineStr">
        <is>
          <t>No</t>
        </is>
      </c>
      <c r="N31" s="58" t="inlineStr">
        <is>
          <t>No</t>
        </is>
      </c>
      <c r="O31" s="58" t="inlineStr">
        <is>
          <t>No</t>
        </is>
      </c>
      <c r="P31" s="58" t="inlineStr">
        <is>
          <t>No</t>
        </is>
      </c>
      <c r="Q31" s="59" t="inlineStr">
        <is>
          <t>Calvin Klein and Tommy Hilfiger have run recurring Pride campaigns and collections featuring LGBTQ+ talent for years; CEI 100 record. Lower visibility recently but no documented reversal.</t>
        </is>
      </c>
    </row>
    <row r="32" ht="15" customHeight="1" s="42">
      <c r="A32" s="50" t="inlineStr">
        <is>
          <t>Starbucks</t>
        </is>
      </c>
      <c r="B32" s="51" t="inlineStr">
        <is>
          <t>SBUX</t>
        </is>
      </c>
      <c r="C32" s="52" t="inlineStr">
        <is>
          <t>Food &amp; Beverage</t>
        </is>
      </c>
      <c r="D32" s="51" t="n">
        <v>36.2</v>
      </c>
      <c r="E32" s="51" t="n">
        <v>100</v>
      </c>
      <c r="F32" s="51" t="n">
        <v>2024</v>
      </c>
      <c r="G32" s="51" t="inlineStr">
        <is>
          <t>Yes</t>
        </is>
      </c>
      <c r="H32" s="53">
        <f>MIN(20,SUMIFS(Action_Log!$F:$F,Action_Log!$A:$A,$A32,Action_Log!$D:$D,"Cosmetic")+SUMIFS(Action_Log!$F:$F,Action_Log!$A:$A,$A32,Action_Log!$D:$D,"Commercial"))+SUMIFS(Action_Log!$F:$F,Action_Log!$A:$A,$A32,Action_Log!$D:$D,"Civic")+SUMIFS(Action_Log!$F:$F,Action_Log!$A:$A,$A32,Action_Log!$D:$D,"Financial")+SUMIFS(Action_Log!$F:$F,Action_Log!$A:$A,$A32,Action_Log!$D:$D,"Structural")</f>
        <v/>
      </c>
      <c r="I32" s="54">
        <f>SUMIFS(Action_Log!$F:$F,Action_Log!$A:$A,$A32,Action_Log!$E:$E,"Negative")</f>
        <v/>
      </c>
      <c r="J32" s="55">
        <f>MAX(0,MIN(100,50+H32+I32))</f>
        <v/>
      </c>
      <c r="K32" s="56">
        <f>IF(J32&gt;=80,"Champion",IF(J32&gt;=65,"Ally",IF(J32&gt;=50,"Neutral",IF(J32&gt;=35,"Performative",IF(J32&gt;=20,"Harmful","Adversarial")))))</f>
        <v/>
      </c>
      <c r="L32" s="51" t="inlineStr">
        <is>
          <t>No</t>
        </is>
      </c>
      <c r="M32" s="51" t="inlineStr">
        <is>
          <t>No</t>
        </is>
      </c>
      <c r="N32" s="51" t="inlineStr">
        <is>
          <t>No</t>
        </is>
      </c>
      <c r="O32" s="51" t="inlineStr">
        <is>
          <t>No</t>
        </is>
      </c>
      <c r="P32" s="51" t="inlineStr">
        <is>
          <t>No</t>
        </is>
      </c>
      <c r="Q32" s="52" t="inlineStr">
        <is>
          <t>Kept its 30%/40% diversity goals and landmark trans-inclusive benefits through 2025, though shareholders approved dropping the DEI-specific exec bonus in Mar 2025 and a 2023 union dispute alleged uneven Pride-decor policies. Net: held, with edges sanded.</t>
        </is>
      </c>
    </row>
    <row r="33" ht="15" customHeight="1" s="42">
      <c r="A33" s="57" t="inlineStr">
        <is>
          <t>McDonald's</t>
        </is>
      </c>
      <c r="B33" s="58" t="inlineStr">
        <is>
          <t>MCD</t>
        </is>
      </c>
      <c r="C33" s="59" t="inlineStr">
        <is>
          <t>Food &amp; Beverage</t>
        </is>
      </c>
      <c r="D33" s="58" t="n">
        <v>25.9</v>
      </c>
      <c r="E33" s="58" t="n">
        <v>100</v>
      </c>
      <c r="F33" s="58" t="n">
        <v>2024</v>
      </c>
      <c r="G33" s="58" t="inlineStr">
        <is>
          <t>No</t>
        </is>
      </c>
      <c r="H33" s="60">
        <f>MIN(20,SUMIFS(Action_Log!$F:$F,Action_Log!$A:$A,$A33,Action_Log!$D:$D,"Cosmetic")+SUMIFS(Action_Log!$F:$F,Action_Log!$A:$A,$A33,Action_Log!$D:$D,"Commercial"))+SUMIFS(Action_Log!$F:$F,Action_Log!$A:$A,$A33,Action_Log!$D:$D,"Civic")+SUMIFS(Action_Log!$F:$F,Action_Log!$A:$A,$A33,Action_Log!$D:$D,"Financial")+SUMIFS(Action_Log!$F:$F,Action_Log!$A:$A,$A33,Action_Log!$D:$D,"Structural")</f>
        <v/>
      </c>
      <c r="I33" s="61">
        <f>SUMIFS(Action_Log!$F:$F,Action_Log!$A:$A,$A33,Action_Log!$E:$E,"Negative")</f>
        <v/>
      </c>
      <c r="J33" s="62">
        <f>MAX(0,MIN(100,50+H33+I33))</f>
        <v/>
      </c>
      <c r="K33" s="63">
        <f>IF(J33&gt;=80,"Champion",IF(J33&gt;=65,"Ally",IF(J33&gt;=50,"Neutral",IF(J33&gt;=35,"Performative",IF(J33&gt;=20,"Harmful","Adversarial")))))</f>
        <v/>
      </c>
      <c r="L33" s="58" t="inlineStr">
        <is>
          <t>Yes</t>
        </is>
      </c>
      <c r="M33" s="58" t="inlineStr">
        <is>
          <t>Yes</t>
        </is>
      </c>
      <c r="N33" s="58" t="inlineStr">
        <is>
          <t>No</t>
        </is>
      </c>
      <c r="O33" s="58" t="inlineStr">
        <is>
          <t>No</t>
        </is>
      </c>
      <c r="P33" s="58" t="inlineStr">
        <is>
          <t>No</t>
        </is>
      </c>
      <c r="Q33" s="59" t="inlineStr">
        <is>
          <t>Jan 2025: ended diversity goals for senior leadership, retired supplier-diversity targets, and paused external surveys including HRC's CEI — days after the Trump inauguration. PRIDE Network ERG remains.</t>
        </is>
      </c>
    </row>
    <row r="34" ht="15" customHeight="1" s="42">
      <c r="A34" s="50" t="inlineStr">
        <is>
          <t>Chick-fil-A</t>
        </is>
      </c>
      <c r="B34" s="51" t="inlineStr">
        <is>
          <t>Private</t>
        </is>
      </c>
      <c r="C34" s="52" t="inlineStr">
        <is>
          <t>Food &amp; Beverage</t>
        </is>
      </c>
      <c r="D34" s="51" t="n">
        <v>21.6</v>
      </c>
      <c r="E34" s="51" t="inlineStr">
        <is>
          <t>Not rated</t>
        </is>
      </c>
      <c r="F34" s="51" t="inlineStr">
        <is>
          <t>—</t>
        </is>
      </c>
      <c r="G34" s="51" t="inlineStr">
        <is>
          <t>Never</t>
        </is>
      </c>
      <c r="H34" s="53">
        <f>MIN(20,SUMIFS(Action_Log!$F:$F,Action_Log!$A:$A,$A34,Action_Log!$D:$D,"Cosmetic")+SUMIFS(Action_Log!$F:$F,Action_Log!$A:$A,$A34,Action_Log!$D:$D,"Commercial"))+SUMIFS(Action_Log!$F:$F,Action_Log!$A:$A,$A34,Action_Log!$D:$D,"Civic")+SUMIFS(Action_Log!$F:$F,Action_Log!$A:$A,$A34,Action_Log!$D:$D,"Financial")+SUMIFS(Action_Log!$F:$F,Action_Log!$A:$A,$A34,Action_Log!$D:$D,"Structural")</f>
        <v/>
      </c>
      <c r="I34" s="54">
        <f>SUMIFS(Action_Log!$F:$F,Action_Log!$A:$A,$A34,Action_Log!$E:$E,"Negative")</f>
        <v/>
      </c>
      <c r="J34" s="55">
        <f>MAX(0,MIN(100,50+H34+I34))</f>
        <v/>
      </c>
      <c r="K34" s="56">
        <f>IF(J34&gt;=80,"Champion",IF(J34&gt;=65,"Ally",IF(J34&gt;=50,"Neutral",IF(J34&gt;=35,"Performative",IF(J34&gt;=20,"Harmful","Adversarial")))))</f>
        <v/>
      </c>
      <c r="L34" s="51" t="inlineStr">
        <is>
          <t>No</t>
        </is>
      </c>
      <c r="M34" s="51" t="inlineStr">
        <is>
          <t>No</t>
        </is>
      </c>
      <c r="N34" s="51" t="inlineStr">
        <is>
          <t>No</t>
        </is>
      </c>
      <c r="O34" s="51" t="inlineStr">
        <is>
          <t>No</t>
        </is>
      </c>
      <c r="P34" s="51" t="inlineStr">
        <is>
          <t>No</t>
        </is>
      </c>
      <c r="Q34" s="52" t="inlineStr">
        <is>
          <t>The legacy adversary: WinShape Foundation funded anti-LGBTQ+ organizations for years (Fellowship of Christian Athletes, Salvation Army, and earlier Exodus International) and the CEO publicly opposed marriage equality in 2012. Stopped the flagged donations in 2019; has never offered public LGBTQ+ support.</t>
        </is>
      </c>
    </row>
    <row r="35" ht="15" customHeight="1" s="42">
      <c r="A35" s="57" t="inlineStr">
        <is>
          <t>Subway</t>
        </is>
      </c>
      <c r="B35" s="58" t="inlineStr">
        <is>
          <t>Private</t>
        </is>
      </c>
      <c r="C35" s="59" t="inlineStr">
        <is>
          <t>Food &amp; Beverage</t>
        </is>
      </c>
      <c r="D35" s="58" t="n">
        <v>9.199999999999999</v>
      </c>
      <c r="E35" s="58" t="inlineStr">
        <is>
          <t>Not rated</t>
        </is>
      </c>
      <c r="F35" s="58" t="inlineStr">
        <is>
          <t>—</t>
        </is>
      </c>
      <c r="G35" s="58" t="inlineStr">
        <is>
          <t>Never</t>
        </is>
      </c>
      <c r="H35" s="60">
        <f>MIN(20,SUMIFS(Action_Log!$F:$F,Action_Log!$A:$A,$A35,Action_Log!$D:$D,"Cosmetic")+SUMIFS(Action_Log!$F:$F,Action_Log!$A:$A,$A35,Action_Log!$D:$D,"Commercial"))+SUMIFS(Action_Log!$F:$F,Action_Log!$A:$A,$A35,Action_Log!$D:$D,"Civic")+SUMIFS(Action_Log!$F:$F,Action_Log!$A:$A,$A35,Action_Log!$D:$D,"Financial")+SUMIFS(Action_Log!$F:$F,Action_Log!$A:$A,$A35,Action_Log!$D:$D,"Structural")</f>
        <v/>
      </c>
      <c r="I35" s="61">
        <f>SUMIFS(Action_Log!$F:$F,Action_Log!$A:$A,$A35,Action_Log!$E:$E,"Negative")</f>
        <v/>
      </c>
      <c r="J35" s="62">
        <f>MAX(0,MIN(100,50+H35+I35))</f>
        <v/>
      </c>
      <c r="K35" s="63">
        <f>IF(J35&gt;=80,"Champion",IF(J35&gt;=65,"Ally",IF(J35&gt;=50,"Neutral",IF(J35&gt;=35,"Performative",IF(J35&gt;=20,"Harmful","Adversarial")))))</f>
        <v/>
      </c>
      <c r="L35" s="58" t="inlineStr">
        <is>
          <t>No</t>
        </is>
      </c>
      <c r="M35" s="58" t="inlineStr">
        <is>
          <t>No</t>
        </is>
      </c>
      <c r="N35" s="58" t="inlineStr">
        <is>
          <t>No</t>
        </is>
      </c>
      <c r="O35" s="58" t="inlineStr">
        <is>
          <t>No</t>
        </is>
      </c>
      <c r="P35" s="58" t="inlineStr">
        <is>
          <t>No</t>
        </is>
      </c>
      <c r="Q35" s="59" t="inlineStr">
        <is>
          <t>No meaningful public LGBTQ+ record in either direction — private ownership, minimal cause marketing, no documented reversals or anti-LGBTQ+ activity.</t>
        </is>
      </c>
    </row>
    <row r="36" ht="15" customHeight="1" s="42">
      <c r="A36" s="50" t="inlineStr">
        <is>
          <t>Coca-Cola</t>
        </is>
      </c>
      <c r="B36" s="51" t="inlineStr">
        <is>
          <t>KO</t>
        </is>
      </c>
      <c r="C36" s="52" t="inlineStr">
        <is>
          <t>Food &amp; Beverage</t>
        </is>
      </c>
      <c r="D36" s="51" t="n">
        <v>47.1</v>
      </c>
      <c r="E36" s="51" t="n">
        <v>100</v>
      </c>
      <c r="F36" s="51" t="n">
        <v>2025</v>
      </c>
      <c r="G36" s="51" t="inlineStr">
        <is>
          <t>Yes</t>
        </is>
      </c>
      <c r="H36" s="53">
        <f>MIN(20,SUMIFS(Action_Log!$F:$F,Action_Log!$A:$A,$A36,Action_Log!$D:$D,"Cosmetic")+SUMIFS(Action_Log!$F:$F,Action_Log!$A:$A,$A36,Action_Log!$D:$D,"Commercial"))+SUMIFS(Action_Log!$F:$F,Action_Log!$A:$A,$A36,Action_Log!$D:$D,"Civic")+SUMIFS(Action_Log!$F:$F,Action_Log!$A:$A,$A36,Action_Log!$D:$D,"Financial")+SUMIFS(Action_Log!$F:$F,Action_Log!$A:$A,$A36,Action_Log!$D:$D,"Structural")</f>
        <v/>
      </c>
      <c r="I36" s="54">
        <f>SUMIFS(Action_Log!$F:$F,Action_Log!$A:$A,$A36,Action_Log!$E:$E,"Negative")</f>
        <v/>
      </c>
      <c r="J36" s="55">
        <f>MAX(0,MIN(100,50+H36+I36))</f>
        <v/>
      </c>
      <c r="K36" s="56">
        <f>IF(J36&gt;=80,"Champion",IF(J36&gt;=65,"Ally",IF(J36&gt;=50,"Neutral",IF(J36&gt;=35,"Performative",IF(J36&gt;=20,"Harmful","Adversarial")))))</f>
        <v/>
      </c>
      <c r="L36" s="51" t="inlineStr">
        <is>
          <t>No</t>
        </is>
      </c>
      <c r="M36" s="51" t="inlineStr">
        <is>
          <t>No</t>
        </is>
      </c>
      <c r="N36" s="51" t="inlineStr">
        <is>
          <t>No</t>
        </is>
      </c>
      <c r="O36" s="51" t="inlineStr">
        <is>
          <t>No</t>
        </is>
      </c>
      <c r="P36" s="51" t="inlineStr">
        <is>
          <t>No</t>
        </is>
      </c>
      <c r="Q36" s="52" t="inlineStr">
        <is>
          <t>Maintained DEI through the backlash — kept inclusion language in its risk disclosures, defended programs as shareholders rejected an anti-DEI proposal, and continued its long Atlanta Pride relationship. Historic Olympics-related geo criticisms predate the window.</t>
        </is>
      </c>
    </row>
    <row r="37" ht="15" customHeight="1" s="42">
      <c r="A37" s="57" t="inlineStr">
        <is>
          <t>PepsiCo</t>
        </is>
      </c>
      <c r="B37" s="58" t="inlineStr">
        <is>
          <t>PEP</t>
        </is>
      </c>
      <c r="C37" s="59" t="inlineStr">
        <is>
          <t>Food &amp; Beverage</t>
        </is>
      </c>
      <c r="D37" s="58" t="n">
        <v>91.90000000000001</v>
      </c>
      <c r="E37" s="58" t="n">
        <v>100</v>
      </c>
      <c r="F37" s="58" t="n">
        <v>2024</v>
      </c>
      <c r="G37" s="58" t="inlineStr">
        <is>
          <t>No</t>
        </is>
      </c>
      <c r="H37" s="60">
        <f>MIN(20,SUMIFS(Action_Log!$F:$F,Action_Log!$A:$A,$A37,Action_Log!$D:$D,"Cosmetic")+SUMIFS(Action_Log!$F:$F,Action_Log!$A:$A,$A37,Action_Log!$D:$D,"Commercial"))+SUMIFS(Action_Log!$F:$F,Action_Log!$A:$A,$A37,Action_Log!$D:$D,"Civic")+SUMIFS(Action_Log!$F:$F,Action_Log!$A:$A,$A37,Action_Log!$D:$D,"Financial")+SUMIFS(Action_Log!$F:$F,Action_Log!$A:$A,$A37,Action_Log!$D:$D,"Structural")</f>
        <v/>
      </c>
      <c r="I37" s="61">
        <f>SUMIFS(Action_Log!$F:$F,Action_Log!$A:$A,$A37,Action_Log!$E:$E,"Negative")</f>
        <v/>
      </c>
      <c r="J37" s="62">
        <f>MAX(0,MIN(100,50+H37+I37))</f>
        <v/>
      </c>
      <c r="K37" s="63">
        <f>IF(J37&gt;=80,"Champion",IF(J37&gt;=65,"Ally",IF(J37&gt;=50,"Neutral",IF(J37&gt;=35,"Performative",IF(J37&gt;=20,"Harmful","Adversarial")))))</f>
        <v/>
      </c>
      <c r="L37" s="58" t="inlineStr">
        <is>
          <t>Yes</t>
        </is>
      </c>
      <c r="M37" s="58" t="inlineStr">
        <is>
          <t>Yes</t>
        </is>
      </c>
      <c r="N37" s="58" t="inlineStr">
        <is>
          <t>No</t>
        </is>
      </c>
      <c r="O37" s="58" t="inlineStr">
        <is>
          <t>No</t>
        </is>
      </c>
      <c r="P37" s="58" t="inlineStr">
        <is>
          <t>No</t>
        </is>
      </c>
      <c r="Q37" s="59" t="inlineStr">
        <is>
          <t>Feb 2025: ended DEI workforce-representation goals and transitioned its chief DEI officer role; withdrew or scaled back its longtime NYC Pride sponsorship for 2025. A two-front retreat.</t>
        </is>
      </c>
    </row>
    <row r="38" ht="15" customHeight="1" s="42">
      <c r="A38" s="50" t="inlineStr">
        <is>
          <t>Anheuser-Busch InBev</t>
        </is>
      </c>
      <c r="B38" s="51" t="inlineStr">
        <is>
          <t>BUD</t>
        </is>
      </c>
      <c r="C38" s="52" t="inlineStr">
        <is>
          <t>Food &amp; Beverage</t>
        </is>
      </c>
      <c r="D38" s="51" t="n">
        <v>59.8</v>
      </c>
      <c r="E38" s="51" t="n">
        <v>85</v>
      </c>
      <c r="F38" s="51" t="n">
        <v>2024</v>
      </c>
      <c r="G38" s="51" t="inlineStr">
        <is>
          <t>No</t>
        </is>
      </c>
      <c r="H38" s="53">
        <f>MIN(20,SUMIFS(Action_Log!$F:$F,Action_Log!$A:$A,$A38,Action_Log!$D:$D,"Cosmetic")+SUMIFS(Action_Log!$F:$F,Action_Log!$A:$A,$A38,Action_Log!$D:$D,"Commercial"))+SUMIFS(Action_Log!$F:$F,Action_Log!$A:$A,$A38,Action_Log!$D:$D,"Civic")+SUMIFS(Action_Log!$F:$F,Action_Log!$A:$A,$A38,Action_Log!$D:$D,"Financial")+SUMIFS(Action_Log!$F:$F,Action_Log!$A:$A,$A38,Action_Log!$D:$D,"Structural")</f>
        <v/>
      </c>
      <c r="I38" s="54">
        <f>SUMIFS(Action_Log!$F:$F,Action_Log!$A:$A,$A38,Action_Log!$E:$E,"Negative")</f>
        <v/>
      </c>
      <c r="J38" s="55">
        <f>MAX(0,MIN(100,50+H38+I38))</f>
        <v/>
      </c>
      <c r="K38" s="56">
        <f>IF(J38&gt;=80,"Champion",IF(J38&gt;=65,"Ally",IF(J38&gt;=50,"Neutral",IF(J38&gt;=35,"Performative",IF(J38&gt;=20,"Harmful","Adversarial")))))</f>
        <v/>
      </c>
      <c r="L38" s="51" t="inlineStr">
        <is>
          <t>Yes</t>
        </is>
      </c>
      <c r="M38" s="51" t="inlineStr">
        <is>
          <t>Yes</t>
        </is>
      </c>
      <c r="N38" s="51" t="inlineStr">
        <is>
          <t>No</t>
        </is>
      </c>
      <c r="O38" s="51" t="inlineStr">
        <is>
          <t>Yes</t>
        </is>
      </c>
      <c r="P38" s="51" t="inlineStr">
        <is>
          <t>No</t>
        </is>
      </c>
      <c r="Q38" s="52" t="inlineStr">
        <is>
          <t>The defining commercial reversal: commissioned trans influencer Dylan Mulvaney (Apr 2023), then abandoned her amid violent backlash without support, executives on leave, apology-adjacent messaging to critics. Then quit SF, St. Louis (30-year partner) and Columbus Pride in 2025. HRC docked its CEI score in 2023.</t>
        </is>
      </c>
    </row>
    <row r="39" ht="15" customHeight="1" s="42">
      <c r="A39" s="57" t="inlineStr">
        <is>
          <t>Whole Foods</t>
        </is>
      </c>
      <c r="B39" s="58" t="inlineStr">
        <is>
          <t>AMZN</t>
        </is>
      </c>
      <c r="C39" s="59" t="inlineStr">
        <is>
          <t>Food &amp; Beverage</t>
        </is>
      </c>
      <c r="D39" s="58" t="n">
        <v>22</v>
      </c>
      <c r="E39" s="58" t="inlineStr">
        <is>
          <t>Not rated</t>
        </is>
      </c>
      <c r="F39" s="58" t="inlineStr">
        <is>
          <t>—</t>
        </is>
      </c>
      <c r="G39" s="58" t="inlineStr">
        <is>
          <t>Never</t>
        </is>
      </c>
      <c r="H39" s="60">
        <f>MIN(20,SUMIFS(Action_Log!$F:$F,Action_Log!$A:$A,$A39,Action_Log!$D:$D,"Cosmetic")+SUMIFS(Action_Log!$F:$F,Action_Log!$A:$A,$A39,Action_Log!$D:$D,"Commercial"))+SUMIFS(Action_Log!$F:$F,Action_Log!$A:$A,$A39,Action_Log!$D:$D,"Civic")+SUMIFS(Action_Log!$F:$F,Action_Log!$A:$A,$A39,Action_Log!$D:$D,"Financial")+SUMIFS(Action_Log!$F:$F,Action_Log!$A:$A,$A39,Action_Log!$D:$D,"Structural")</f>
        <v/>
      </c>
      <c r="I39" s="61">
        <f>SUMIFS(Action_Log!$F:$F,Action_Log!$A:$A,$A39,Action_Log!$E:$E,"Negative")</f>
        <v/>
      </c>
      <c r="J39" s="62">
        <f>MAX(0,MIN(100,50+H39+I39))</f>
        <v/>
      </c>
      <c r="K39" s="63">
        <f>IF(J39&gt;=80,"Champion",IF(J39&gt;=65,"Ally",IF(J39&gt;=50,"Neutral",IF(J39&gt;=35,"Performative",IF(J39&gt;=20,"Harmful","Adversarial")))))</f>
        <v/>
      </c>
      <c r="L39" s="58" t="inlineStr">
        <is>
          <t>No</t>
        </is>
      </c>
      <c r="M39" s="58" t="inlineStr">
        <is>
          <t>No</t>
        </is>
      </c>
      <c r="N39" s="58" t="inlineStr">
        <is>
          <t>No</t>
        </is>
      </c>
      <c r="O39" s="58" t="inlineStr">
        <is>
          <t>No</t>
        </is>
      </c>
      <c r="P39" s="58" t="inlineStr">
        <is>
          <t>No</t>
        </is>
      </c>
      <c r="Q39" s="59" t="inlineStr">
        <is>
          <t>Historically LGBTQ+-friendly culture (early domestic-partner benefits among grocers) but minimal distinct public engagement today; corporate policy now flows through Amazon, which scrubbed its LGBTQ+ commitments in 2025.</t>
        </is>
      </c>
    </row>
    <row r="40" ht="15" customHeight="1" s="42">
      <c r="A40" s="50" t="inlineStr">
        <is>
          <t>Tyson Foods</t>
        </is>
      </c>
      <c r="B40" s="51" t="inlineStr">
        <is>
          <t>TSN</t>
        </is>
      </c>
      <c r="C40" s="52" t="inlineStr">
        <is>
          <t>Food &amp; Beverage</t>
        </is>
      </c>
      <c r="D40" s="51" t="n">
        <v>53.3</v>
      </c>
      <c r="E40" s="51" t="inlineStr">
        <is>
          <t>Not rated</t>
        </is>
      </c>
      <c r="F40" s="51" t="inlineStr">
        <is>
          <t>—</t>
        </is>
      </c>
      <c r="G40" s="51" t="inlineStr">
        <is>
          <t>Never</t>
        </is>
      </c>
      <c r="H40" s="53">
        <f>MIN(20,SUMIFS(Action_Log!$F:$F,Action_Log!$A:$A,$A40,Action_Log!$D:$D,"Cosmetic")+SUMIFS(Action_Log!$F:$F,Action_Log!$A:$A,$A40,Action_Log!$D:$D,"Commercial"))+SUMIFS(Action_Log!$F:$F,Action_Log!$A:$A,$A40,Action_Log!$D:$D,"Civic")+SUMIFS(Action_Log!$F:$F,Action_Log!$A:$A,$A40,Action_Log!$D:$D,"Financial")+SUMIFS(Action_Log!$F:$F,Action_Log!$A:$A,$A40,Action_Log!$D:$D,"Structural")</f>
        <v/>
      </c>
      <c r="I40" s="54">
        <f>SUMIFS(Action_Log!$F:$F,Action_Log!$A:$A,$A40,Action_Log!$E:$E,"Negative")</f>
        <v/>
      </c>
      <c r="J40" s="55">
        <f>MAX(0,MIN(100,50+H40+I40))</f>
        <v/>
      </c>
      <c r="K40" s="56">
        <f>IF(J40&gt;=80,"Champion",IF(J40&gt;=65,"Ally",IF(J40&gt;=50,"Neutral",IF(J40&gt;=35,"Performative",IF(J40&gt;=20,"Harmful","Adversarial")))))</f>
        <v/>
      </c>
      <c r="L40" s="51" t="inlineStr">
        <is>
          <t>No</t>
        </is>
      </c>
      <c r="M40" s="51" t="inlineStr">
        <is>
          <t>No</t>
        </is>
      </c>
      <c r="N40" s="51" t="inlineStr">
        <is>
          <t>No</t>
        </is>
      </c>
      <c r="O40" s="51" t="inlineStr">
        <is>
          <t>No</t>
        </is>
      </c>
      <c r="P40" s="51" t="inlineStr">
        <is>
          <t>No</t>
        </is>
      </c>
      <c r="Q40" s="52" t="inlineStr">
        <is>
          <t>No meaningful public LGBTQ+ engagement found in either direction. Standard nondiscrimination employment language; no Pride programs, donations or documented reversals.</t>
        </is>
      </c>
    </row>
    <row r="41" ht="15" customHeight="1" s="42">
      <c r="A41" s="57" t="inlineStr">
        <is>
          <t>JPMorgan Chase</t>
        </is>
      </c>
      <c r="B41" s="58" t="inlineStr">
        <is>
          <t>JPM</t>
        </is>
      </c>
      <c r="C41" s="59" t="inlineStr">
        <is>
          <t>Financial Services</t>
        </is>
      </c>
      <c r="D41" s="58" t="n">
        <v>177.6</v>
      </c>
      <c r="E41" s="58" t="n">
        <v>100</v>
      </c>
      <c r="F41" s="58" t="n">
        <v>2025</v>
      </c>
      <c r="G41" s="58" t="inlineStr">
        <is>
          <t>Yes</t>
        </is>
      </c>
      <c r="H41" s="60">
        <f>MIN(20,SUMIFS(Action_Log!$F:$F,Action_Log!$A:$A,$A41,Action_Log!$D:$D,"Cosmetic")+SUMIFS(Action_Log!$F:$F,Action_Log!$A:$A,$A41,Action_Log!$D:$D,"Commercial"))+SUMIFS(Action_Log!$F:$F,Action_Log!$A:$A,$A41,Action_Log!$D:$D,"Civic")+SUMIFS(Action_Log!$F:$F,Action_Log!$A:$A,$A41,Action_Log!$D:$D,"Financial")+SUMIFS(Action_Log!$F:$F,Action_Log!$A:$A,$A41,Action_Log!$D:$D,"Structural")</f>
        <v/>
      </c>
      <c r="I41" s="61">
        <f>SUMIFS(Action_Log!$F:$F,Action_Log!$A:$A,$A41,Action_Log!$E:$E,"Negative")</f>
        <v/>
      </c>
      <c r="J41" s="62">
        <f>MAX(0,MIN(100,50+H41+I41))</f>
        <v/>
      </c>
      <c r="K41" s="63">
        <f>IF(J41&gt;=80,"Champion",IF(J41&gt;=65,"Ally",IF(J41&gt;=50,"Neutral",IF(J41&gt;=35,"Performative",IF(J41&gt;=20,"Harmful","Adversarial")))))</f>
        <v/>
      </c>
      <c r="L41" s="58" t="inlineStr">
        <is>
          <t>No</t>
        </is>
      </c>
      <c r="M41" s="58" t="inlineStr">
        <is>
          <t>No</t>
        </is>
      </c>
      <c r="N41" s="58" t="inlineStr">
        <is>
          <t>No</t>
        </is>
      </c>
      <c r="O41" s="58" t="inlineStr">
        <is>
          <t>No</t>
        </is>
      </c>
      <c r="P41" s="58" t="inlineStr">
        <is>
          <t>No</t>
        </is>
      </c>
      <c r="Q41" s="59" t="inlineStr">
        <is>
          <t>Renamed DEI to 'Diversity, Opportunity &amp; Inclusion' (dropping 'equity') in Mar 2025 but Dimon publicly affirmed continued LGBT outreach: 'We're not changing that.' PRIDE BRG, benefits and CEI engagement continued.</t>
        </is>
      </c>
    </row>
    <row r="42" ht="15" customHeight="1" s="42">
      <c r="A42" s="50" t="inlineStr">
        <is>
          <t>Bank of America</t>
        </is>
      </c>
      <c r="B42" s="51" t="inlineStr">
        <is>
          <t>BAC</t>
        </is>
      </c>
      <c r="C42" s="52" t="inlineStr">
        <is>
          <t>Financial Services</t>
        </is>
      </c>
      <c r="D42" s="51" t="n">
        <v>101.9</v>
      </c>
      <c r="E42" s="51" t="n">
        <v>100</v>
      </c>
      <c r="F42" s="51" t="n">
        <v>2024</v>
      </c>
      <c r="G42" s="51" t="inlineStr">
        <is>
          <t>No</t>
        </is>
      </c>
      <c r="H42" s="53">
        <f>MIN(20,SUMIFS(Action_Log!$F:$F,Action_Log!$A:$A,$A42,Action_Log!$D:$D,"Cosmetic")+SUMIFS(Action_Log!$F:$F,Action_Log!$A:$A,$A42,Action_Log!$D:$D,"Commercial"))+SUMIFS(Action_Log!$F:$F,Action_Log!$A:$A,$A42,Action_Log!$D:$D,"Civic")+SUMIFS(Action_Log!$F:$F,Action_Log!$A:$A,$A42,Action_Log!$D:$D,"Financial")+SUMIFS(Action_Log!$F:$F,Action_Log!$A:$A,$A42,Action_Log!$D:$D,"Structural")</f>
        <v/>
      </c>
      <c r="I42" s="54">
        <f>SUMIFS(Action_Log!$F:$F,Action_Log!$A:$A,$A42,Action_Log!$E:$E,"Negative")</f>
        <v/>
      </c>
      <c r="J42" s="55">
        <f>MAX(0,MIN(100,50+H42+I42))</f>
        <v/>
      </c>
      <c r="K42" s="56">
        <f>IF(J42&gt;=80,"Champion",IF(J42&gt;=65,"Ally",IF(J42&gt;=50,"Neutral",IF(J42&gt;=35,"Performative",IF(J42&gt;=20,"Harmful","Adversarial")))))</f>
        <v/>
      </c>
      <c r="L42" s="51" t="inlineStr">
        <is>
          <t>Yes</t>
        </is>
      </c>
      <c r="M42" s="51" t="inlineStr">
        <is>
          <t>Yes</t>
        </is>
      </c>
      <c r="N42" s="51" t="inlineStr">
        <is>
          <t>No</t>
        </is>
      </c>
      <c r="O42" s="51" t="inlineStr">
        <is>
          <t>No</t>
        </is>
      </c>
      <c r="P42" s="51" t="inlineStr">
        <is>
          <t>No</t>
        </is>
      </c>
      <c r="Q42" s="52" t="inlineStr">
        <is>
          <t>Scrubbed 'diversity' from its 10-K, renamed its DEI framing to 'talent and opportunity,' and rolled back diverse-slate initiatives in early 2025. ERG and benefits remain.</t>
        </is>
      </c>
    </row>
    <row r="43" ht="15" customHeight="1" s="42">
      <c r="A43" s="57" t="inlineStr">
        <is>
          <t>Wells Fargo</t>
        </is>
      </c>
      <c r="B43" s="58" t="inlineStr">
        <is>
          <t>WFC</t>
        </is>
      </c>
      <c r="C43" s="59" t="inlineStr">
        <is>
          <t>Financial Services</t>
        </is>
      </c>
      <c r="D43" s="58" t="n">
        <v>82.3</v>
      </c>
      <c r="E43" s="58" t="n">
        <v>100</v>
      </c>
      <c r="F43" s="58" t="n">
        <v>2024</v>
      </c>
      <c r="G43" s="58" t="inlineStr">
        <is>
          <t>No</t>
        </is>
      </c>
      <c r="H43" s="60">
        <f>MIN(20,SUMIFS(Action_Log!$F:$F,Action_Log!$A:$A,$A43,Action_Log!$D:$D,"Cosmetic")+SUMIFS(Action_Log!$F:$F,Action_Log!$A:$A,$A43,Action_Log!$D:$D,"Commercial"))+SUMIFS(Action_Log!$F:$F,Action_Log!$A:$A,$A43,Action_Log!$D:$D,"Civic")+SUMIFS(Action_Log!$F:$F,Action_Log!$A:$A,$A43,Action_Log!$D:$D,"Financial")+SUMIFS(Action_Log!$F:$F,Action_Log!$A:$A,$A43,Action_Log!$D:$D,"Structural")</f>
        <v/>
      </c>
      <c r="I43" s="61">
        <f>SUMIFS(Action_Log!$F:$F,Action_Log!$A:$A,$A43,Action_Log!$E:$E,"Negative")</f>
        <v/>
      </c>
      <c r="J43" s="62">
        <f>MAX(0,MIN(100,50+H43+I43))</f>
        <v/>
      </c>
      <c r="K43" s="63">
        <f>IF(J43&gt;=80,"Champion",IF(J43&gt;=65,"Ally",IF(J43&gt;=50,"Neutral",IF(J43&gt;=35,"Performative",IF(J43&gt;=20,"Harmful","Adversarial")))))</f>
        <v/>
      </c>
      <c r="L43" s="58" t="inlineStr">
        <is>
          <t>Yes</t>
        </is>
      </c>
      <c r="M43" s="58" t="inlineStr">
        <is>
          <t>Yes</t>
        </is>
      </c>
      <c r="N43" s="58" t="inlineStr">
        <is>
          <t>No</t>
        </is>
      </c>
      <c r="O43" s="58" t="inlineStr">
        <is>
          <t>No</t>
        </is>
      </c>
      <c r="P43" s="58" t="inlineStr">
        <is>
          <t>No</t>
        </is>
      </c>
      <c r="Q43" s="59" t="inlineStr">
        <is>
          <t>An early LGBTQ+ marketing pioneer among big banks that joined the 2025 retreat: dropped diverse-slate hiring requirements and pared DEI language. ERG and benefits remain.</t>
        </is>
      </c>
    </row>
    <row r="44" ht="15" customHeight="1" s="42">
      <c r="A44" s="50" t="inlineStr">
        <is>
          <t>Goldman Sachs</t>
        </is>
      </c>
      <c r="B44" s="51" t="inlineStr">
        <is>
          <t>GS</t>
        </is>
      </c>
      <c r="C44" s="52" t="inlineStr">
        <is>
          <t>Financial Services</t>
        </is>
      </c>
      <c r="D44" s="51" t="n">
        <v>53.5</v>
      </c>
      <c r="E44" s="51" t="n">
        <v>100</v>
      </c>
      <c r="F44" s="51" t="n">
        <v>2024</v>
      </c>
      <c r="G44" s="51" t="inlineStr">
        <is>
          <t>No</t>
        </is>
      </c>
      <c r="H44" s="53">
        <f>MIN(20,SUMIFS(Action_Log!$F:$F,Action_Log!$A:$A,$A44,Action_Log!$D:$D,"Cosmetic")+SUMIFS(Action_Log!$F:$F,Action_Log!$A:$A,$A44,Action_Log!$D:$D,"Commercial"))+SUMIFS(Action_Log!$F:$F,Action_Log!$A:$A,$A44,Action_Log!$D:$D,"Civic")+SUMIFS(Action_Log!$F:$F,Action_Log!$A:$A,$A44,Action_Log!$D:$D,"Financial")+SUMIFS(Action_Log!$F:$F,Action_Log!$A:$A,$A44,Action_Log!$D:$D,"Structural")</f>
        <v/>
      </c>
      <c r="I44" s="54">
        <f>SUMIFS(Action_Log!$F:$F,Action_Log!$A:$A,$A44,Action_Log!$E:$E,"Negative")</f>
        <v/>
      </c>
      <c r="J44" s="55">
        <f>MAX(0,MIN(100,50+H44+I44))</f>
        <v/>
      </c>
      <c r="K44" s="56">
        <f>IF(J44&gt;=80,"Champion",IF(J44&gt;=65,"Ally",IF(J44&gt;=50,"Neutral",IF(J44&gt;=35,"Performative",IF(J44&gt;=20,"Harmful","Adversarial")))))</f>
        <v/>
      </c>
      <c r="L44" s="51" t="inlineStr">
        <is>
          <t>Yes</t>
        </is>
      </c>
      <c r="M44" s="51" t="inlineStr">
        <is>
          <t>Yes</t>
        </is>
      </c>
      <c r="N44" s="51" t="inlineStr">
        <is>
          <t>No</t>
        </is>
      </c>
      <c r="O44" s="51" t="inlineStr">
        <is>
          <t>No</t>
        </is>
      </c>
      <c r="P44" s="51" t="inlineStr">
        <is>
          <t>No</t>
        </is>
      </c>
      <c r="Q44" s="52" t="inlineStr">
        <is>
          <t>Feb 2025: canceled 2022 diversity targets, ended diverse-slate requirements, dropped its IPO board-diversity rule, and scrubbed equity pages from its site after Trump's DEI order. Shareholders still rejected an anti-DEI proposal.</t>
        </is>
      </c>
    </row>
    <row r="45" ht="15" customHeight="1" s="42">
      <c r="A45" s="57" t="inlineStr">
        <is>
          <t>American Express</t>
        </is>
      </c>
      <c r="B45" s="58" t="inlineStr">
        <is>
          <t>AXP</t>
        </is>
      </c>
      <c r="C45" s="59" t="inlineStr">
        <is>
          <t>Financial Services</t>
        </is>
      </c>
      <c r="D45" s="58" t="n">
        <v>65.90000000000001</v>
      </c>
      <c r="E45" s="58" t="n">
        <v>100</v>
      </c>
      <c r="F45" s="58" t="n">
        <v>2024</v>
      </c>
      <c r="G45" s="58" t="inlineStr">
        <is>
          <t>No</t>
        </is>
      </c>
      <c r="H45" s="60">
        <f>MIN(20,SUMIFS(Action_Log!$F:$F,Action_Log!$A:$A,$A45,Action_Log!$D:$D,"Cosmetic")+SUMIFS(Action_Log!$F:$F,Action_Log!$A:$A,$A45,Action_Log!$D:$D,"Commercial"))+SUMIFS(Action_Log!$F:$F,Action_Log!$A:$A,$A45,Action_Log!$D:$D,"Civic")+SUMIFS(Action_Log!$F:$F,Action_Log!$A:$A,$A45,Action_Log!$D:$D,"Financial")+SUMIFS(Action_Log!$F:$F,Action_Log!$A:$A,$A45,Action_Log!$D:$D,"Structural")</f>
        <v/>
      </c>
      <c r="I45" s="61">
        <f>SUMIFS(Action_Log!$F:$F,Action_Log!$A:$A,$A45,Action_Log!$E:$E,"Negative")</f>
        <v/>
      </c>
      <c r="J45" s="62">
        <f>MAX(0,MIN(100,50+H45+I45))</f>
        <v/>
      </c>
      <c r="K45" s="63">
        <f>IF(J45&gt;=80,"Champion",IF(J45&gt;=65,"Ally",IF(J45&gt;=50,"Neutral",IF(J45&gt;=35,"Performative",IF(J45&gt;=20,"Harmful","Adversarial")))))</f>
        <v/>
      </c>
      <c r="L45" s="58" t="inlineStr">
        <is>
          <t>Yes</t>
        </is>
      </c>
      <c r="M45" s="58" t="inlineStr">
        <is>
          <t>Yes</t>
        </is>
      </c>
      <c r="N45" s="58" t="inlineStr">
        <is>
          <t>No</t>
        </is>
      </c>
      <c r="O45" s="58" t="inlineStr">
        <is>
          <t>No</t>
        </is>
      </c>
      <c r="P45" s="58" t="inlineStr">
        <is>
          <t>No</t>
        </is>
      </c>
      <c r="Q45" s="59" t="inlineStr">
        <is>
          <t>Dropped DEI criteria from board selection and trimmed diversity language under investor pressure in 2025, after a prior $3B DEI spending commitment. PRIDE network and benefits remain.</t>
        </is>
      </c>
    </row>
    <row r="46" ht="15" customHeight="1" s="42">
      <c r="A46" s="50" t="inlineStr">
        <is>
          <t>Visa</t>
        </is>
      </c>
      <c r="B46" s="51" t="inlineStr">
        <is>
          <t>V</t>
        </is>
      </c>
      <c r="C46" s="52" t="inlineStr">
        <is>
          <t>Financial Services</t>
        </is>
      </c>
      <c r="D46" s="51" t="n">
        <v>35.9</v>
      </c>
      <c r="E46" s="51" t="n">
        <v>100</v>
      </c>
      <c r="F46" s="51" t="n">
        <v>2024</v>
      </c>
      <c r="G46" s="51" t="inlineStr">
        <is>
          <t>Yes</t>
        </is>
      </c>
      <c r="H46" s="53">
        <f>MIN(20,SUMIFS(Action_Log!$F:$F,Action_Log!$A:$A,$A46,Action_Log!$D:$D,"Cosmetic")+SUMIFS(Action_Log!$F:$F,Action_Log!$A:$A,$A46,Action_Log!$D:$D,"Commercial"))+SUMIFS(Action_Log!$F:$F,Action_Log!$A:$A,$A46,Action_Log!$D:$D,"Civic")+SUMIFS(Action_Log!$F:$F,Action_Log!$A:$A,$A46,Action_Log!$D:$D,"Financial")+SUMIFS(Action_Log!$F:$F,Action_Log!$A:$A,$A46,Action_Log!$D:$D,"Structural")</f>
        <v/>
      </c>
      <c r="I46" s="54">
        <f>SUMIFS(Action_Log!$F:$F,Action_Log!$A:$A,$A46,Action_Log!$E:$E,"Negative")</f>
        <v/>
      </c>
      <c r="J46" s="55">
        <f>MAX(0,MIN(100,50+H46+I46))</f>
        <v/>
      </c>
      <c r="K46" s="56">
        <f>IF(J46&gt;=80,"Champion",IF(J46&gt;=65,"Ally",IF(J46&gt;=50,"Neutral",IF(J46&gt;=35,"Performative",IF(J46&gt;=20,"Harmful","Adversarial")))))</f>
        <v/>
      </c>
      <c r="L46" s="51" t="inlineStr">
        <is>
          <t>No</t>
        </is>
      </c>
      <c r="M46" s="51" t="inlineStr">
        <is>
          <t>No</t>
        </is>
      </c>
      <c r="N46" s="51" t="inlineStr">
        <is>
          <t>No</t>
        </is>
      </c>
      <c r="O46" s="51" t="inlineStr">
        <is>
          <t>No</t>
        </is>
      </c>
      <c r="P46" s="51" t="inlineStr">
        <is>
          <t>No</t>
        </is>
      </c>
      <c r="Q46" s="52" t="inlineStr">
        <is>
          <t>Quietly steady: shareholders rejected an anti-DEI proposal, no documented program rollbacks or Pride withdrawals, continued ERG and inclusive policies — with characteristically low public volume.</t>
        </is>
      </c>
    </row>
    <row r="47" ht="15" customHeight="1" s="42">
      <c r="A47" s="57" t="inlineStr">
        <is>
          <t>Mastercard</t>
        </is>
      </c>
      <c r="B47" s="58" t="inlineStr">
        <is>
          <t>MA</t>
        </is>
      </c>
      <c r="C47" s="59" t="inlineStr">
        <is>
          <t>Financial Services</t>
        </is>
      </c>
      <c r="D47" s="58" t="n">
        <v>28.2</v>
      </c>
      <c r="E47" s="58" t="n">
        <v>100</v>
      </c>
      <c r="F47" s="58" t="n">
        <v>2024</v>
      </c>
      <c r="G47" s="58" t="inlineStr">
        <is>
          <t>No</t>
        </is>
      </c>
      <c r="H47" s="60">
        <f>MIN(20,SUMIFS(Action_Log!$F:$F,Action_Log!$A:$A,$A47,Action_Log!$D:$D,"Cosmetic")+SUMIFS(Action_Log!$F:$F,Action_Log!$A:$A,$A47,Action_Log!$D:$D,"Commercial"))+SUMIFS(Action_Log!$F:$F,Action_Log!$A:$A,$A47,Action_Log!$D:$D,"Civic")+SUMIFS(Action_Log!$F:$F,Action_Log!$A:$A,$A47,Action_Log!$D:$D,"Financial")+SUMIFS(Action_Log!$F:$F,Action_Log!$A:$A,$A47,Action_Log!$D:$D,"Structural")</f>
        <v/>
      </c>
      <c r="I47" s="61">
        <f>SUMIFS(Action_Log!$F:$F,Action_Log!$A:$A,$A47,Action_Log!$E:$E,"Negative")</f>
        <v/>
      </c>
      <c r="J47" s="62">
        <f>MAX(0,MIN(100,50+H47+I47))</f>
        <v/>
      </c>
      <c r="K47" s="63">
        <f>IF(J47&gt;=80,"Champion",IF(J47&gt;=65,"Ally",IF(J47&gt;=50,"Neutral",IF(J47&gt;=35,"Performative",IF(J47&gt;=20,"Harmful","Adversarial")))))</f>
        <v/>
      </c>
      <c r="L47" s="58" t="inlineStr">
        <is>
          <t>Yes</t>
        </is>
      </c>
      <c r="M47" s="58" t="inlineStr">
        <is>
          <t>Yes</t>
        </is>
      </c>
      <c r="N47" s="58" t="inlineStr">
        <is>
          <t>No</t>
        </is>
      </c>
      <c r="O47" s="58" t="inlineStr">
        <is>
          <t>No</t>
        </is>
      </c>
      <c r="P47" s="58" t="inlineStr">
        <is>
          <t>No</t>
        </is>
      </c>
      <c r="Q47" s="59" t="inlineStr">
        <is>
          <t>Mixed signal-sender: pioneered the True Name card for trans/nonbinary customers and is increasing Pride spending in 2026 (≈100 employees marching), but withdrew its NYC Pride Platinum ($175K) sponsorship in 2025.</t>
        </is>
      </c>
    </row>
    <row r="48" ht="15" customHeight="1" s="42">
      <c r="A48" s="50" t="inlineStr">
        <is>
          <t>Charles Schwab</t>
        </is>
      </c>
      <c r="B48" s="51" t="inlineStr">
        <is>
          <t>SCHW</t>
        </is>
      </c>
      <c r="C48" s="52" t="inlineStr">
        <is>
          <t>Financial Services</t>
        </is>
      </c>
      <c r="D48" s="51" t="n">
        <v>19.6</v>
      </c>
      <c r="E48" s="51" t="inlineStr">
        <is>
          <t>Not rated</t>
        </is>
      </c>
      <c r="F48" s="51" t="inlineStr">
        <is>
          <t>—</t>
        </is>
      </c>
      <c r="G48" s="51" t="inlineStr">
        <is>
          <t>No</t>
        </is>
      </c>
      <c r="H48" s="53">
        <f>MIN(20,SUMIFS(Action_Log!$F:$F,Action_Log!$A:$A,$A48,Action_Log!$D:$D,"Cosmetic")+SUMIFS(Action_Log!$F:$F,Action_Log!$A:$A,$A48,Action_Log!$D:$D,"Commercial"))+SUMIFS(Action_Log!$F:$F,Action_Log!$A:$A,$A48,Action_Log!$D:$D,"Civic")+SUMIFS(Action_Log!$F:$F,Action_Log!$A:$A,$A48,Action_Log!$D:$D,"Financial")+SUMIFS(Action_Log!$F:$F,Action_Log!$A:$A,$A48,Action_Log!$D:$D,"Structural")</f>
        <v/>
      </c>
      <c r="I48" s="54">
        <f>SUMIFS(Action_Log!$F:$F,Action_Log!$A:$A,$A48,Action_Log!$E:$E,"Negative")</f>
        <v/>
      </c>
      <c r="J48" s="55">
        <f>MAX(0,MIN(100,50+H48+I48))</f>
        <v/>
      </c>
      <c r="K48" s="56">
        <f>IF(J48&gt;=80,"Champion",IF(J48&gt;=65,"Ally",IF(J48&gt;=50,"Neutral",IF(J48&gt;=35,"Performative",IF(J48&gt;=20,"Harmful","Adversarial")))))</f>
        <v/>
      </c>
      <c r="L48" s="51" t="inlineStr">
        <is>
          <t>No</t>
        </is>
      </c>
      <c r="M48" s="51" t="inlineStr">
        <is>
          <t>No</t>
        </is>
      </c>
      <c r="N48" s="51" t="inlineStr">
        <is>
          <t>No</t>
        </is>
      </c>
      <c r="O48" s="51" t="inlineStr">
        <is>
          <t>No</t>
        </is>
      </c>
      <c r="P48" s="51" t="inlineStr">
        <is>
          <t>No</t>
        </is>
      </c>
      <c r="Q48" s="52" t="inlineStr">
        <is>
          <t>Minimal public LGBTQ+ engagement either way: no significant Pride programs or documented reversals; DEI language pared quietly in line with the sector.</t>
        </is>
      </c>
    </row>
    <row r="49" ht="15" customHeight="1" s="42">
      <c r="A49" s="57" t="inlineStr">
        <is>
          <t>Citigroup</t>
        </is>
      </c>
      <c r="B49" s="58" t="inlineStr">
        <is>
          <t>C</t>
        </is>
      </c>
      <c r="C49" s="59" t="inlineStr">
        <is>
          <t>Financial Services</t>
        </is>
      </c>
      <c r="D49" s="58" t="n">
        <v>81.09999999999999</v>
      </c>
      <c r="E49" s="58" t="n">
        <v>100</v>
      </c>
      <c r="F49" s="58" t="n">
        <v>2024</v>
      </c>
      <c r="G49" s="58" t="inlineStr">
        <is>
          <t>No</t>
        </is>
      </c>
      <c r="H49" s="60">
        <f>MIN(20,SUMIFS(Action_Log!$F:$F,Action_Log!$A:$A,$A49,Action_Log!$D:$D,"Cosmetic")+SUMIFS(Action_Log!$F:$F,Action_Log!$A:$A,$A49,Action_Log!$D:$D,"Commercial"))+SUMIFS(Action_Log!$F:$F,Action_Log!$A:$A,$A49,Action_Log!$D:$D,"Civic")+SUMIFS(Action_Log!$F:$F,Action_Log!$A:$A,$A49,Action_Log!$D:$D,"Financial")+SUMIFS(Action_Log!$F:$F,Action_Log!$A:$A,$A49,Action_Log!$D:$D,"Structural")</f>
        <v/>
      </c>
      <c r="I49" s="61">
        <f>SUMIFS(Action_Log!$F:$F,Action_Log!$A:$A,$A49,Action_Log!$E:$E,"Negative")</f>
        <v/>
      </c>
      <c r="J49" s="62">
        <f>MAX(0,MIN(100,50+H49+I49))</f>
        <v/>
      </c>
      <c r="K49" s="63">
        <f>IF(J49&gt;=80,"Champion",IF(J49&gt;=65,"Ally",IF(J49&gt;=50,"Neutral",IF(J49&gt;=35,"Performative",IF(J49&gt;=20,"Harmful","Adversarial")))))</f>
        <v/>
      </c>
      <c r="L49" s="58" t="inlineStr">
        <is>
          <t>Yes</t>
        </is>
      </c>
      <c r="M49" s="58" t="inlineStr">
        <is>
          <t>Yes</t>
        </is>
      </c>
      <c r="N49" s="58" t="inlineStr">
        <is>
          <t>No</t>
        </is>
      </c>
      <c r="O49" s="58" t="inlineStr">
        <is>
          <t>No</t>
        </is>
      </c>
      <c r="P49" s="58" t="inlineStr">
        <is>
          <t>No</t>
        </is>
      </c>
      <c r="Q49" s="59" t="inlineStr">
        <is>
          <t>Feb 2025: dropped aspirational diversity goals, ended board-diversity requirements, renamed its DEI team 'Talent Management and Engagement' — then scaled back its NYC Pride sponsorship citing economic caution.</t>
        </is>
      </c>
    </row>
    <row r="50" ht="15" customHeight="1" s="42">
      <c r="A50" s="50" t="inlineStr">
        <is>
          <t>Walt Disney Co.</t>
        </is>
      </c>
      <c r="B50" s="51" t="inlineStr">
        <is>
          <t>DIS</t>
        </is>
      </c>
      <c r="C50" s="52" t="inlineStr">
        <is>
          <t>Media &amp; Entertainment</t>
        </is>
      </c>
      <c r="D50" s="51" t="n">
        <v>91.40000000000001</v>
      </c>
      <c r="E50" s="51" t="n">
        <v>100</v>
      </c>
      <c r="F50" s="51" t="n">
        <v>2024</v>
      </c>
      <c r="G50" s="51" t="inlineStr">
        <is>
          <t>No</t>
        </is>
      </c>
      <c r="H50" s="53">
        <f>MIN(20,SUMIFS(Action_Log!$F:$F,Action_Log!$A:$A,$A50,Action_Log!$D:$D,"Cosmetic")+SUMIFS(Action_Log!$F:$F,Action_Log!$A:$A,$A50,Action_Log!$D:$D,"Commercial"))+SUMIFS(Action_Log!$F:$F,Action_Log!$A:$A,$A50,Action_Log!$D:$D,"Civic")+SUMIFS(Action_Log!$F:$F,Action_Log!$A:$A,$A50,Action_Log!$D:$D,"Financial")+SUMIFS(Action_Log!$F:$F,Action_Log!$A:$A,$A50,Action_Log!$D:$D,"Structural")</f>
        <v/>
      </c>
      <c r="I50" s="54">
        <f>SUMIFS(Action_Log!$F:$F,Action_Log!$A:$A,$A50,Action_Log!$E:$E,"Negative")</f>
        <v/>
      </c>
      <c r="J50" s="55">
        <f>MAX(0,MIN(100,50+H50+I50))</f>
        <v/>
      </c>
      <c r="K50" s="56">
        <f>IF(J50&gt;=80,"Champion",IF(J50&gt;=65,"Ally",IF(J50&gt;=50,"Neutral",IF(J50&gt;=35,"Performative",IF(J50&gt;=20,"Harmful","Adversarial")))))</f>
        <v/>
      </c>
      <c r="L50" s="51" t="inlineStr">
        <is>
          <t>Yes</t>
        </is>
      </c>
      <c r="M50" s="51" t="inlineStr">
        <is>
          <t>Yes</t>
        </is>
      </c>
      <c r="N50" s="51" t="inlineStr">
        <is>
          <t>No</t>
        </is>
      </c>
      <c r="O50" s="51" t="inlineStr">
        <is>
          <t>Yes</t>
        </is>
      </c>
      <c r="P50" s="51" t="inlineStr">
        <is>
          <t>No</t>
        </is>
      </c>
      <c r="Q50" s="52" t="inlineStr">
        <is>
          <t>Deep support and deep retreat coexist: Pride Nite, the Pride Collection and ERGs continue, but Feb 2025 ended Reimagine Tomorrow and DEI pay metrics, a trans storyline was cut from Pixar's 'Win or Lose,' and the 2022 Don't Say Gay response exposed donations to the bill's sponsors.</t>
        </is>
      </c>
    </row>
    <row r="51" ht="15" customHeight="1" s="42">
      <c r="A51" s="57" t="inlineStr">
        <is>
          <t>Netflix</t>
        </is>
      </c>
      <c r="B51" s="58" t="inlineStr">
        <is>
          <t>NFLX</t>
        </is>
      </c>
      <c r="C51" s="59" t="inlineStr">
        <is>
          <t>Media &amp; Entertainment</t>
        </is>
      </c>
      <c r="D51" s="58" t="n">
        <v>39</v>
      </c>
      <c r="E51" s="58" t="n">
        <v>100</v>
      </c>
      <c r="F51" s="58" t="n">
        <v>2024</v>
      </c>
      <c r="G51" s="58" t="inlineStr">
        <is>
          <t>Yes</t>
        </is>
      </c>
      <c r="H51" s="60">
        <f>MIN(20,SUMIFS(Action_Log!$F:$F,Action_Log!$A:$A,$A51,Action_Log!$D:$D,"Cosmetic")+SUMIFS(Action_Log!$F:$F,Action_Log!$A:$A,$A51,Action_Log!$D:$D,"Commercial"))+SUMIFS(Action_Log!$F:$F,Action_Log!$A:$A,$A51,Action_Log!$D:$D,"Civic")+SUMIFS(Action_Log!$F:$F,Action_Log!$A:$A,$A51,Action_Log!$D:$D,"Financial")+SUMIFS(Action_Log!$F:$F,Action_Log!$A:$A,$A51,Action_Log!$D:$D,"Structural")</f>
        <v/>
      </c>
      <c r="I51" s="61">
        <f>SUMIFS(Action_Log!$F:$F,Action_Log!$A:$A,$A51,Action_Log!$E:$E,"Negative")</f>
        <v/>
      </c>
      <c r="J51" s="62">
        <f>MAX(0,MIN(100,50+H51+I51))</f>
        <v/>
      </c>
      <c r="K51" s="63">
        <f>IF(J51&gt;=80,"Champion",IF(J51&gt;=65,"Ally",IF(J51&gt;=50,"Neutral",IF(J51&gt;=35,"Performative",IF(J51&gt;=20,"Harmful","Adversarial")))))</f>
        <v/>
      </c>
      <c r="L51" s="58" t="inlineStr">
        <is>
          <t>No</t>
        </is>
      </c>
      <c r="M51" s="58" t="inlineStr">
        <is>
          <t>No</t>
        </is>
      </c>
      <c r="N51" s="58" t="inlineStr">
        <is>
          <t>No</t>
        </is>
      </c>
      <c r="O51" s="58" t="inlineStr">
        <is>
          <t>No</t>
        </is>
      </c>
      <c r="P51" s="58" t="inlineStr">
        <is>
          <t>No</t>
        </is>
      </c>
      <c r="Q51" s="59" t="inlineStr">
        <is>
          <t>Heavy investment in LGBTQ+ storytelling (Heartstopper, Sex Education) and inclusive policies, with the 2021 Chappelle controversy — defending anti-trans content over employee protest — as the lasting stain. No 2025 rollback documented.</t>
        </is>
      </c>
    </row>
    <row r="52" ht="15" customHeight="1" s="42">
      <c r="A52" s="50" t="inlineStr">
        <is>
          <t>Warner Bros. Discovery</t>
        </is>
      </c>
      <c r="B52" s="51" t="inlineStr">
        <is>
          <t>WBD</t>
        </is>
      </c>
      <c r="C52" s="52" t="inlineStr">
        <is>
          <t>Media &amp; Entertainment</t>
        </is>
      </c>
      <c r="D52" s="51" t="n">
        <v>39.3</v>
      </c>
      <c r="E52" s="51" t="n">
        <v>100</v>
      </c>
      <c r="F52" s="51" t="n">
        <v>2024</v>
      </c>
      <c r="G52" s="51" t="inlineStr">
        <is>
          <t>No</t>
        </is>
      </c>
      <c r="H52" s="53">
        <f>MIN(20,SUMIFS(Action_Log!$F:$F,Action_Log!$A:$A,$A52,Action_Log!$D:$D,"Cosmetic")+SUMIFS(Action_Log!$F:$F,Action_Log!$A:$A,$A52,Action_Log!$D:$D,"Commercial"))+SUMIFS(Action_Log!$F:$F,Action_Log!$A:$A,$A52,Action_Log!$D:$D,"Civic")+SUMIFS(Action_Log!$F:$F,Action_Log!$A:$A,$A52,Action_Log!$D:$D,"Financial")+SUMIFS(Action_Log!$F:$F,Action_Log!$A:$A,$A52,Action_Log!$D:$D,"Structural")</f>
        <v/>
      </c>
      <c r="I52" s="54">
        <f>SUMIFS(Action_Log!$F:$F,Action_Log!$A:$A,$A52,Action_Log!$E:$E,"Negative")</f>
        <v/>
      </c>
      <c r="J52" s="55">
        <f>MAX(0,MIN(100,50+H52+I52))</f>
        <v/>
      </c>
      <c r="K52" s="56">
        <f>IF(J52&gt;=80,"Champion",IF(J52&gt;=65,"Ally",IF(J52&gt;=50,"Neutral",IF(J52&gt;=35,"Performative",IF(J52&gt;=20,"Harmful","Adversarial")))))</f>
        <v/>
      </c>
      <c r="L52" s="51" t="inlineStr">
        <is>
          <t>No</t>
        </is>
      </c>
      <c r="M52" s="51" t="inlineStr">
        <is>
          <t>No</t>
        </is>
      </c>
      <c r="N52" s="51" t="inlineStr">
        <is>
          <t>No</t>
        </is>
      </c>
      <c r="O52" s="51" t="inlineStr">
        <is>
          <t>No</t>
        </is>
      </c>
      <c r="P52" s="51" t="inlineStr">
        <is>
          <t>No</t>
        </is>
      </c>
      <c r="Q52" s="52" t="inlineStr">
        <is>
          <t>HBO's queer-programming legacy ('We're Here,' inclusive prestige content) continues; corporate posture is quiet with no major documented 2025 reversal, but reduced DEI visibility.</t>
        </is>
      </c>
    </row>
    <row r="53" ht="15" customHeight="1" s="42">
      <c r="A53" s="57" t="inlineStr">
        <is>
          <t>NBCUniversal</t>
        </is>
      </c>
      <c r="B53" s="58" t="inlineStr">
        <is>
          <t>CMCSA</t>
        </is>
      </c>
      <c r="C53" s="59" t="inlineStr">
        <is>
          <t>Media &amp; Entertainment</t>
        </is>
      </c>
      <c r="D53" s="58" t="n">
        <v>38.9</v>
      </c>
      <c r="E53" s="58" t="n">
        <v>100</v>
      </c>
      <c r="F53" s="58" t="n">
        <v>2024</v>
      </c>
      <c r="G53" s="58" t="inlineStr">
        <is>
          <t>No</t>
        </is>
      </c>
      <c r="H53" s="60">
        <f>MIN(20,SUMIFS(Action_Log!$F:$F,Action_Log!$A:$A,$A53,Action_Log!$D:$D,"Cosmetic")+SUMIFS(Action_Log!$F:$F,Action_Log!$A:$A,$A53,Action_Log!$D:$D,"Commercial"))+SUMIFS(Action_Log!$F:$F,Action_Log!$A:$A,$A53,Action_Log!$D:$D,"Civic")+SUMIFS(Action_Log!$F:$F,Action_Log!$A:$A,$A53,Action_Log!$D:$D,"Financial")+SUMIFS(Action_Log!$F:$F,Action_Log!$A:$A,$A53,Action_Log!$D:$D,"Structural")</f>
        <v/>
      </c>
      <c r="I53" s="61">
        <f>SUMIFS(Action_Log!$F:$F,Action_Log!$A:$A,$A53,Action_Log!$E:$E,"Negative")</f>
        <v/>
      </c>
      <c r="J53" s="62">
        <f>MAX(0,MIN(100,50+H53+I53))</f>
        <v/>
      </c>
      <c r="K53" s="63">
        <f>IF(J53&gt;=80,"Champion",IF(J53&gt;=65,"Ally",IF(J53&gt;=50,"Neutral",IF(J53&gt;=35,"Performative",IF(J53&gt;=20,"Harmful","Adversarial")))))</f>
        <v/>
      </c>
      <c r="L53" s="58" t="inlineStr">
        <is>
          <t>No</t>
        </is>
      </c>
      <c r="M53" s="58" t="inlineStr">
        <is>
          <t>No</t>
        </is>
      </c>
      <c r="N53" s="58" t="inlineStr">
        <is>
          <t>No</t>
        </is>
      </c>
      <c r="O53" s="58" t="inlineStr">
        <is>
          <t>No</t>
        </is>
      </c>
      <c r="P53" s="58" t="inlineStr">
        <is>
          <t>No</t>
        </is>
      </c>
      <c r="Q53" s="59" t="inlineStr">
        <is>
          <t>Runs NBC Out (a dedicated LGBTQ+ news vertical) and OUT@NBCU ERG; parent Comcast drew an FCC DEI probe in Feb 2025 and pulled SF Pride sponsorship. NBCU's own programs persist.</t>
        </is>
      </c>
    </row>
    <row r="54" ht="15" customHeight="1" s="42">
      <c r="A54" s="50" t="inlineStr">
        <is>
          <t>Paramount Global</t>
        </is>
      </c>
      <c r="B54" s="51" t="inlineStr">
        <is>
          <t>PARA</t>
        </is>
      </c>
      <c r="C54" s="52" t="inlineStr">
        <is>
          <t>Media &amp; Entertainment</t>
        </is>
      </c>
      <c r="D54" s="51" t="n">
        <v>29.2</v>
      </c>
      <c r="E54" s="51" t="n">
        <v>100</v>
      </c>
      <c r="F54" s="51" t="n">
        <v>2024</v>
      </c>
      <c r="G54" s="51" t="inlineStr">
        <is>
          <t>No</t>
        </is>
      </c>
      <c r="H54" s="53">
        <f>MIN(20,SUMIFS(Action_Log!$F:$F,Action_Log!$A:$A,$A54,Action_Log!$D:$D,"Cosmetic")+SUMIFS(Action_Log!$F:$F,Action_Log!$A:$A,$A54,Action_Log!$D:$D,"Commercial"))+SUMIFS(Action_Log!$F:$F,Action_Log!$A:$A,$A54,Action_Log!$D:$D,"Civic")+SUMIFS(Action_Log!$F:$F,Action_Log!$A:$A,$A54,Action_Log!$D:$D,"Financial")+SUMIFS(Action_Log!$F:$F,Action_Log!$A:$A,$A54,Action_Log!$D:$D,"Structural")</f>
        <v/>
      </c>
      <c r="I54" s="54">
        <f>SUMIFS(Action_Log!$F:$F,Action_Log!$A:$A,$A54,Action_Log!$E:$E,"Negative")</f>
        <v/>
      </c>
      <c r="J54" s="55">
        <f>MAX(0,MIN(100,50+H54+I54))</f>
        <v/>
      </c>
      <c r="K54" s="56">
        <f>IF(J54&gt;=80,"Champion",IF(J54&gt;=65,"Ally",IF(J54&gt;=50,"Neutral",IF(J54&gt;=35,"Performative",IF(J54&gt;=20,"Harmful","Adversarial")))))</f>
        <v/>
      </c>
      <c r="L54" s="51" t="inlineStr">
        <is>
          <t>Yes</t>
        </is>
      </c>
      <c r="M54" s="51" t="inlineStr">
        <is>
          <t>Yes</t>
        </is>
      </c>
      <c r="N54" s="51" t="inlineStr">
        <is>
          <t>No</t>
        </is>
      </c>
      <c r="O54" s="51" t="inlineStr">
        <is>
          <t>No</t>
        </is>
      </c>
      <c r="P54" s="51" t="inlineStr">
        <is>
          <t>No</t>
        </is>
      </c>
      <c r="Q54" s="52" t="inlineStr">
        <is>
          <t>Ended numerical DEI hiring goals and applicant demographic collection in Feb 2025 — announced by its two openly gay co-CEOs — as FCC chairman Carr threatened to block the Skydance merger over DEI. Logo TV/MTV queer legacy notwithstanding.</t>
        </is>
      </c>
    </row>
    <row r="55" ht="15" customHeight="1" s="42">
      <c r="A55" s="57" t="inlineStr">
        <is>
          <t>Spotify</t>
        </is>
      </c>
      <c r="B55" s="58" t="inlineStr">
        <is>
          <t>SPOT</t>
        </is>
      </c>
      <c r="C55" s="59" t="inlineStr">
        <is>
          <t>Media &amp; Entertainment</t>
        </is>
      </c>
      <c r="D55" s="58" t="n">
        <v>16</v>
      </c>
      <c r="E55" s="58" t="inlineStr">
        <is>
          <t>Not rated</t>
        </is>
      </c>
      <c r="F55" s="58" t="inlineStr">
        <is>
          <t>—</t>
        </is>
      </c>
      <c r="G55" s="58" t="inlineStr">
        <is>
          <t>Never</t>
        </is>
      </c>
      <c r="H55" s="60">
        <f>MIN(20,SUMIFS(Action_Log!$F:$F,Action_Log!$A:$A,$A55,Action_Log!$D:$D,"Cosmetic")+SUMIFS(Action_Log!$F:$F,Action_Log!$A:$A,$A55,Action_Log!$D:$D,"Commercial"))+SUMIFS(Action_Log!$F:$F,Action_Log!$A:$A,$A55,Action_Log!$D:$D,"Civic")+SUMIFS(Action_Log!$F:$F,Action_Log!$A:$A,$A55,Action_Log!$D:$D,"Financial")+SUMIFS(Action_Log!$F:$F,Action_Log!$A:$A,$A55,Action_Log!$D:$D,"Structural")</f>
        <v/>
      </c>
      <c r="I55" s="61">
        <f>SUMIFS(Action_Log!$F:$F,Action_Log!$A:$A,$A55,Action_Log!$E:$E,"Negative")</f>
        <v/>
      </c>
      <c r="J55" s="62">
        <f>MAX(0,MIN(100,50+H55+I55))</f>
        <v/>
      </c>
      <c r="K55" s="63">
        <f>IF(J55&gt;=80,"Champion",IF(J55&gt;=65,"Ally",IF(J55&gt;=50,"Neutral",IF(J55&gt;=35,"Performative",IF(J55&gt;=20,"Harmful","Adversarial")))))</f>
        <v/>
      </c>
      <c r="L55" s="58" t="inlineStr">
        <is>
          <t>No</t>
        </is>
      </c>
      <c r="M55" s="58" t="inlineStr">
        <is>
          <t>No</t>
        </is>
      </c>
      <c r="N55" s="58" t="inlineStr">
        <is>
          <t>No</t>
        </is>
      </c>
      <c r="O55" s="58" t="inlineStr">
        <is>
          <t>No</t>
        </is>
      </c>
      <c r="P55" s="58" t="inlineStr">
        <is>
          <t>No</t>
        </is>
      </c>
      <c r="Q55" s="59" t="inlineStr">
        <is>
          <t>Annual Pride hubs/playlists and queer-artist campaigns, against the standing criticism that it platforms and pays for anti-trans content (Joe Rogan deal). Branding outweighs structural commitment.</t>
        </is>
      </c>
    </row>
    <row r="56" ht="15" customHeight="1" s="42">
      <c r="A56" s="50" t="inlineStr">
        <is>
          <t>Live Nation</t>
        </is>
      </c>
      <c r="B56" s="51" t="inlineStr">
        <is>
          <t>LYV</t>
        </is>
      </c>
      <c r="C56" s="52" t="inlineStr">
        <is>
          <t>Media &amp; Entertainment</t>
        </is>
      </c>
      <c r="D56" s="51" t="n">
        <v>23.2</v>
      </c>
      <c r="E56" s="51" t="inlineStr">
        <is>
          <t>Not rated</t>
        </is>
      </c>
      <c r="F56" s="51" t="inlineStr">
        <is>
          <t>—</t>
        </is>
      </c>
      <c r="G56" s="51" t="inlineStr">
        <is>
          <t>Never</t>
        </is>
      </c>
      <c r="H56" s="53">
        <f>MIN(20,SUMIFS(Action_Log!$F:$F,Action_Log!$A:$A,$A56,Action_Log!$D:$D,"Cosmetic")+SUMIFS(Action_Log!$F:$F,Action_Log!$A:$A,$A56,Action_Log!$D:$D,"Commercial"))+SUMIFS(Action_Log!$F:$F,Action_Log!$A:$A,$A56,Action_Log!$D:$D,"Civic")+SUMIFS(Action_Log!$F:$F,Action_Log!$A:$A,$A56,Action_Log!$D:$D,"Financial")+SUMIFS(Action_Log!$F:$F,Action_Log!$A:$A,$A56,Action_Log!$D:$D,"Structural")</f>
        <v/>
      </c>
      <c r="I56" s="54">
        <f>SUMIFS(Action_Log!$F:$F,Action_Log!$A:$A,$A56,Action_Log!$E:$E,"Negative")</f>
        <v/>
      </c>
      <c r="J56" s="55">
        <f>MAX(0,MIN(100,50+H56+I56))</f>
        <v/>
      </c>
      <c r="K56" s="56">
        <f>IF(J56&gt;=80,"Champion",IF(J56&gt;=65,"Ally",IF(J56&gt;=50,"Neutral",IF(J56&gt;=35,"Performative",IF(J56&gt;=20,"Harmful","Adversarial")))))</f>
        <v/>
      </c>
      <c r="L56" s="51" t="inlineStr">
        <is>
          <t>No</t>
        </is>
      </c>
      <c r="M56" s="51" t="inlineStr">
        <is>
          <t>No</t>
        </is>
      </c>
      <c r="N56" s="51" t="inlineStr">
        <is>
          <t>No</t>
        </is>
      </c>
      <c r="O56" s="51" t="inlineStr">
        <is>
          <t>No</t>
        </is>
      </c>
      <c r="P56" s="51" t="inlineStr">
        <is>
          <t>No</t>
        </is>
      </c>
      <c r="Q56" s="52" t="inlineStr">
        <is>
          <t>Produces and sponsors Pride-season concerts and festivals and benefits commercially from LGBTQ+ artists; little structural policy visibility either way.</t>
        </is>
      </c>
    </row>
    <row r="57" ht="15" customHeight="1" s="42">
      <c r="A57" s="57" t="inlineStr">
        <is>
          <t>General Motors</t>
        </is>
      </c>
      <c r="B57" s="58" t="inlineStr">
        <is>
          <t>GM</t>
        </is>
      </c>
      <c r="C57" s="59" t="inlineStr">
        <is>
          <t>Automotive</t>
        </is>
      </c>
      <c r="D57" s="58" t="n">
        <v>187.4</v>
      </c>
      <c r="E57" s="58" t="n">
        <v>100</v>
      </c>
      <c r="F57" s="58" t="n">
        <v>2024</v>
      </c>
      <c r="G57" s="58" t="inlineStr">
        <is>
          <t>No</t>
        </is>
      </c>
      <c r="H57" s="60">
        <f>MIN(20,SUMIFS(Action_Log!$F:$F,Action_Log!$A:$A,$A57,Action_Log!$D:$D,"Cosmetic")+SUMIFS(Action_Log!$F:$F,Action_Log!$A:$A,$A57,Action_Log!$D:$D,"Commercial"))+SUMIFS(Action_Log!$F:$F,Action_Log!$A:$A,$A57,Action_Log!$D:$D,"Civic")+SUMIFS(Action_Log!$F:$F,Action_Log!$A:$A,$A57,Action_Log!$D:$D,"Financial")+SUMIFS(Action_Log!$F:$F,Action_Log!$A:$A,$A57,Action_Log!$D:$D,"Structural")</f>
        <v/>
      </c>
      <c r="I57" s="61">
        <f>SUMIFS(Action_Log!$F:$F,Action_Log!$A:$A,$A57,Action_Log!$E:$E,"Negative")</f>
        <v/>
      </c>
      <c r="J57" s="62">
        <f>MAX(0,MIN(100,50+H57+I57))</f>
        <v/>
      </c>
      <c r="K57" s="63">
        <f>IF(J57&gt;=80,"Champion",IF(J57&gt;=65,"Ally",IF(J57&gt;=50,"Neutral",IF(J57&gt;=35,"Performative",IF(J57&gt;=20,"Harmful","Adversarial")))))</f>
        <v/>
      </c>
      <c r="L57" s="58" t="inlineStr">
        <is>
          <t>Yes</t>
        </is>
      </c>
      <c r="M57" s="58" t="inlineStr">
        <is>
          <t>Yes</t>
        </is>
      </c>
      <c r="N57" s="58" t="inlineStr">
        <is>
          <t>No</t>
        </is>
      </c>
      <c r="O57" s="58" t="inlineStr">
        <is>
          <t>No</t>
        </is>
      </c>
      <c r="P57" s="58" t="inlineStr">
        <is>
          <t>No</t>
        </is>
      </c>
      <c r="Q57" s="59" t="inlineStr">
        <is>
          <t>Dropped DEI references from its 2025 annual filing in the sector-wide retreat; GM PLUS ERG and inclusive benefits persist. Quieter on Pride than peers in both directions.</t>
        </is>
      </c>
    </row>
    <row r="58" ht="15" customHeight="1" s="42">
      <c r="A58" s="50" t="inlineStr">
        <is>
          <t>Ford</t>
        </is>
      </c>
      <c r="B58" s="51" t="inlineStr">
        <is>
          <t>F</t>
        </is>
      </c>
      <c r="C58" s="52" t="inlineStr">
        <is>
          <t>Automotive</t>
        </is>
      </c>
      <c r="D58" s="51" t="n">
        <v>185</v>
      </c>
      <c r="E58" s="51" t="n">
        <v>75</v>
      </c>
      <c r="F58" s="51" t="n">
        <v>2025</v>
      </c>
      <c r="G58" s="51" t="inlineStr">
        <is>
          <t>No</t>
        </is>
      </c>
      <c r="H58" s="53">
        <f>MIN(20,SUMIFS(Action_Log!$F:$F,Action_Log!$A:$A,$A58,Action_Log!$D:$D,"Cosmetic")+SUMIFS(Action_Log!$F:$F,Action_Log!$A:$A,$A58,Action_Log!$D:$D,"Commercial"))+SUMIFS(Action_Log!$F:$F,Action_Log!$A:$A,$A58,Action_Log!$D:$D,"Civic")+SUMIFS(Action_Log!$F:$F,Action_Log!$A:$A,$A58,Action_Log!$D:$D,"Financial")+SUMIFS(Action_Log!$F:$F,Action_Log!$A:$A,$A58,Action_Log!$D:$D,"Structural")</f>
        <v/>
      </c>
      <c r="I58" s="54">
        <f>SUMIFS(Action_Log!$F:$F,Action_Log!$A:$A,$A58,Action_Log!$E:$E,"Negative")</f>
        <v/>
      </c>
      <c r="J58" s="55">
        <f>MAX(0,MIN(100,50+H58+I58))</f>
        <v/>
      </c>
      <c r="K58" s="56">
        <f>IF(J58&gt;=80,"Champion",IF(J58&gt;=65,"Ally",IF(J58&gt;=50,"Neutral",IF(J58&gt;=35,"Performative",IF(J58&gt;=20,"Harmful","Adversarial")))))</f>
        <v/>
      </c>
      <c r="L58" s="51" t="inlineStr">
        <is>
          <t>No</t>
        </is>
      </c>
      <c r="M58" s="51" t="inlineStr">
        <is>
          <t>Yes</t>
        </is>
      </c>
      <c r="N58" s="51" t="inlineStr">
        <is>
          <t>No</t>
        </is>
      </c>
      <c r="O58" s="51" t="inlineStr">
        <is>
          <t>No</t>
        </is>
      </c>
      <c r="P58" s="51" t="inlineStr">
        <is>
          <t>No</t>
        </is>
      </c>
      <c r="Q58" s="52" t="inlineStr">
        <is>
          <t>Aug 2024: quit the HRC CEI after 20+ years of top scores and pulled back from 'external culture surveys' under the Starbuck campaign — one of seven companies HRC formally docked -25. GLOBE ERG survives. Reversal predates Jan 2025 but defines the record.</t>
        </is>
      </c>
    </row>
    <row r="59" ht="15" customHeight="1" s="42">
      <c r="A59" s="57" t="inlineStr">
        <is>
          <t>Tesla</t>
        </is>
      </c>
      <c r="B59" s="58" t="inlineStr">
        <is>
          <t>TSLA</t>
        </is>
      </c>
      <c r="C59" s="59" t="inlineStr">
        <is>
          <t>Automotive</t>
        </is>
      </c>
      <c r="D59" s="58" t="n">
        <v>97.7</v>
      </c>
      <c r="E59" s="58" t="inlineStr">
        <is>
          <t>Not rated</t>
        </is>
      </c>
      <c r="F59" s="58" t="inlineStr">
        <is>
          <t>—</t>
        </is>
      </c>
      <c r="G59" s="58" t="inlineStr">
        <is>
          <t>Never</t>
        </is>
      </c>
      <c r="H59" s="60">
        <f>MIN(20,SUMIFS(Action_Log!$F:$F,Action_Log!$A:$A,$A59,Action_Log!$D:$D,"Cosmetic")+SUMIFS(Action_Log!$F:$F,Action_Log!$A:$A,$A59,Action_Log!$D:$D,"Commercial"))+SUMIFS(Action_Log!$F:$F,Action_Log!$A:$A,$A59,Action_Log!$D:$D,"Civic")+SUMIFS(Action_Log!$F:$F,Action_Log!$A:$A,$A59,Action_Log!$D:$D,"Financial")+SUMIFS(Action_Log!$F:$F,Action_Log!$A:$A,$A59,Action_Log!$D:$D,"Structural")</f>
        <v/>
      </c>
      <c r="I59" s="61">
        <f>SUMIFS(Action_Log!$F:$F,Action_Log!$A:$A,$A59,Action_Log!$E:$E,"Negative")</f>
        <v/>
      </c>
      <c r="J59" s="62">
        <f>MAX(0,MIN(100,50+H59+I59))</f>
        <v/>
      </c>
      <c r="K59" s="63">
        <f>IF(J59&gt;=80,"Champion",IF(J59&gt;=65,"Ally",IF(J59&gt;=50,"Neutral",IF(J59&gt;=35,"Performative",IF(J59&gt;=20,"Harmful","Adversarial")))))</f>
        <v/>
      </c>
      <c r="L59" s="58" t="inlineStr">
        <is>
          <t>No</t>
        </is>
      </c>
      <c r="M59" s="58" t="inlineStr">
        <is>
          <t>No</t>
        </is>
      </c>
      <c r="N59" s="58" t="inlineStr">
        <is>
          <t>No</t>
        </is>
      </c>
      <c r="O59" s="58" t="inlineStr">
        <is>
          <t>Yes</t>
        </is>
      </c>
      <c r="P59" s="58" t="inlineStr">
        <is>
          <t>No</t>
        </is>
      </c>
      <c r="Q59" s="59" t="inlineStr">
        <is>
          <t>First mover in the DEI scrub (removed from 10-K in 2024 filing season under Musk, an outspoken DEI and 'cisgender'-slur critic with documented anti-trans rhetoric). No Pride support record at any point.</t>
        </is>
      </c>
    </row>
    <row r="60" ht="15" customHeight="1" s="42">
      <c r="A60" s="50" t="inlineStr">
        <is>
          <t>Toyota USA</t>
        </is>
      </c>
      <c r="B60" s="51" t="inlineStr">
        <is>
          <t>TM</t>
        </is>
      </c>
      <c r="C60" s="52" t="inlineStr">
        <is>
          <t>Automotive</t>
        </is>
      </c>
      <c r="D60" s="51" t="n">
        <v>307</v>
      </c>
      <c r="E60" s="51" t="n">
        <v>100</v>
      </c>
      <c r="F60" s="51" t="n">
        <v>2024</v>
      </c>
      <c r="G60" s="51" t="inlineStr">
        <is>
          <t>No</t>
        </is>
      </c>
      <c r="H60" s="53">
        <f>MIN(20,SUMIFS(Action_Log!$F:$F,Action_Log!$A:$A,$A60,Action_Log!$D:$D,"Cosmetic")+SUMIFS(Action_Log!$F:$F,Action_Log!$A:$A,$A60,Action_Log!$D:$D,"Commercial"))+SUMIFS(Action_Log!$F:$F,Action_Log!$A:$A,$A60,Action_Log!$D:$D,"Civic")+SUMIFS(Action_Log!$F:$F,Action_Log!$A:$A,$A60,Action_Log!$D:$D,"Financial")+SUMIFS(Action_Log!$F:$F,Action_Log!$A:$A,$A60,Action_Log!$D:$D,"Structural")</f>
        <v/>
      </c>
      <c r="I60" s="54">
        <f>SUMIFS(Action_Log!$F:$F,Action_Log!$A:$A,$A60,Action_Log!$E:$E,"Negative")</f>
        <v/>
      </c>
      <c r="J60" s="55">
        <f>MAX(0,MIN(100,50+H60+I60))</f>
        <v/>
      </c>
      <c r="K60" s="56">
        <f>IF(J60&gt;=80,"Champion",IF(J60&gt;=65,"Ally",IF(J60&gt;=50,"Neutral",IF(J60&gt;=35,"Performative",IF(J60&gt;=20,"Harmful","Adversarial")))))</f>
        <v/>
      </c>
      <c r="L60" s="51" t="inlineStr">
        <is>
          <t>No</t>
        </is>
      </c>
      <c r="M60" s="51" t="inlineStr">
        <is>
          <t>Yes</t>
        </is>
      </c>
      <c r="N60" s="51" t="inlineStr">
        <is>
          <t>No</t>
        </is>
      </c>
      <c r="O60" s="51" t="inlineStr">
        <is>
          <t>No</t>
        </is>
      </c>
      <c r="P60" s="51" t="inlineStr">
        <is>
          <t>No</t>
        </is>
      </c>
      <c r="Q60" s="52" t="inlineStr">
        <is>
          <t>Oct 2024 Starbuck-campaign capitulation: ended sponsorship of LGBTQ+ events, quit the HRC CEI, and narrowed ERGs to 'professional development' — after years of CEI 100s and visible Pride sponsorship.</t>
        </is>
      </c>
    </row>
    <row r="61" ht="15" customHeight="1" s="42">
      <c r="A61" s="57" t="inlineStr">
        <is>
          <t>Honda USA</t>
        </is>
      </c>
      <c r="B61" s="58" t="inlineStr">
        <is>
          <t>HMC</t>
        </is>
      </c>
      <c r="C61" s="59" t="inlineStr">
        <is>
          <t>Automotive</t>
        </is>
      </c>
      <c r="D61" s="58" t="n">
        <v>138</v>
      </c>
      <c r="E61" s="58" t="n">
        <v>100</v>
      </c>
      <c r="F61" s="58" t="n">
        <v>2024</v>
      </c>
      <c r="G61" s="58" t="inlineStr">
        <is>
          <t>Yes</t>
        </is>
      </c>
      <c r="H61" s="60">
        <f>MIN(20,SUMIFS(Action_Log!$F:$F,Action_Log!$A:$A,$A61,Action_Log!$D:$D,"Cosmetic")+SUMIFS(Action_Log!$F:$F,Action_Log!$A:$A,$A61,Action_Log!$D:$D,"Commercial"))+SUMIFS(Action_Log!$F:$F,Action_Log!$A:$A,$A61,Action_Log!$D:$D,"Civic")+SUMIFS(Action_Log!$F:$F,Action_Log!$A:$A,$A61,Action_Log!$D:$D,"Financial")+SUMIFS(Action_Log!$F:$F,Action_Log!$A:$A,$A61,Action_Log!$D:$D,"Structural")</f>
        <v/>
      </c>
      <c r="I61" s="61">
        <f>SUMIFS(Action_Log!$F:$F,Action_Log!$A:$A,$A61,Action_Log!$E:$E,"Negative")</f>
        <v/>
      </c>
      <c r="J61" s="62">
        <f>MAX(0,MIN(100,50+H61+I61))</f>
        <v/>
      </c>
      <c r="K61" s="63">
        <f>IF(J61&gt;=80,"Champion",IF(J61&gt;=65,"Ally",IF(J61&gt;=50,"Neutral",IF(J61&gt;=35,"Performative",IF(J61&gt;=20,"Harmful","Adversarial")))))</f>
        <v/>
      </c>
      <c r="L61" s="58" t="inlineStr">
        <is>
          <t>No</t>
        </is>
      </c>
      <c r="M61" s="58" t="inlineStr">
        <is>
          <t>No</t>
        </is>
      </c>
      <c r="N61" s="58" t="inlineStr">
        <is>
          <t>No</t>
        </is>
      </c>
      <c r="O61" s="58" t="inlineStr">
        <is>
          <t>No</t>
        </is>
      </c>
      <c r="P61" s="58" t="inlineStr">
        <is>
          <t>No</t>
        </is>
      </c>
      <c r="Q61" s="59" t="inlineStr">
        <is>
          <t>Quiet steadiness: CEI 100 record and ERG support maintained; absent from rollback lists and from Pride headlines alike.</t>
        </is>
      </c>
    </row>
    <row r="62" ht="15" customHeight="1" s="42">
      <c r="A62" s="50" t="inlineStr">
        <is>
          <t>Stellantis</t>
        </is>
      </c>
      <c r="B62" s="51" t="inlineStr">
        <is>
          <t>STLA</t>
        </is>
      </c>
      <c r="C62" s="52" t="inlineStr">
        <is>
          <t>Automotive</t>
        </is>
      </c>
      <c r="D62" s="51" t="n">
        <v>170</v>
      </c>
      <c r="E62" s="51" t="n">
        <v>100</v>
      </c>
      <c r="F62" s="51" t="n">
        <v>2024</v>
      </c>
      <c r="G62" s="51" t="inlineStr">
        <is>
          <t>No</t>
        </is>
      </c>
      <c r="H62" s="53">
        <f>MIN(20,SUMIFS(Action_Log!$F:$F,Action_Log!$A:$A,$A62,Action_Log!$D:$D,"Cosmetic")+SUMIFS(Action_Log!$F:$F,Action_Log!$A:$A,$A62,Action_Log!$D:$D,"Commercial"))+SUMIFS(Action_Log!$F:$F,Action_Log!$A:$A,$A62,Action_Log!$D:$D,"Civic")+SUMIFS(Action_Log!$F:$F,Action_Log!$A:$A,$A62,Action_Log!$D:$D,"Financial")+SUMIFS(Action_Log!$F:$F,Action_Log!$A:$A,$A62,Action_Log!$D:$D,"Structural")</f>
        <v/>
      </c>
      <c r="I62" s="54">
        <f>SUMIFS(Action_Log!$F:$F,Action_Log!$A:$A,$A62,Action_Log!$E:$E,"Negative")</f>
        <v/>
      </c>
      <c r="J62" s="55">
        <f>MAX(0,MIN(100,50+H62+I62))</f>
        <v/>
      </c>
      <c r="K62" s="56">
        <f>IF(J62&gt;=80,"Champion",IF(J62&gt;=65,"Ally",IF(J62&gt;=50,"Neutral",IF(J62&gt;=35,"Performative",IF(J62&gt;=20,"Harmful","Adversarial")))))</f>
        <v/>
      </c>
      <c r="L62" s="51" t="inlineStr">
        <is>
          <t>No</t>
        </is>
      </c>
      <c r="M62" s="51" t="inlineStr">
        <is>
          <t>No</t>
        </is>
      </c>
      <c r="N62" s="51" t="inlineStr">
        <is>
          <t>No</t>
        </is>
      </c>
      <c r="O62" s="51" t="inlineStr">
        <is>
          <t>No</t>
        </is>
      </c>
      <c r="P62" s="51" t="inlineStr">
        <is>
          <t>No</t>
        </is>
      </c>
      <c r="Q62" s="52" t="inlineStr">
        <is>
          <t>Minimal distinct US Pride engagement; no major documented reversal. Jeep's occasional Pride nods aside, the record is thin in both directions.</t>
        </is>
      </c>
    </row>
    <row r="63" ht="15" customHeight="1" s="42">
      <c r="A63" s="57" t="inlineStr">
        <is>
          <t>CVS Health</t>
        </is>
      </c>
      <c r="B63" s="58" t="inlineStr">
        <is>
          <t>CVS</t>
        </is>
      </c>
      <c r="C63" s="59" t="inlineStr">
        <is>
          <t>Healthcare &amp; Pharma</t>
        </is>
      </c>
      <c r="D63" s="58" t="n">
        <v>372.8</v>
      </c>
      <c r="E63" s="58" t="n">
        <v>100</v>
      </c>
      <c r="F63" s="58" t="n">
        <v>2024</v>
      </c>
      <c r="G63" s="58" t="inlineStr">
        <is>
          <t>Yes</t>
        </is>
      </c>
      <c r="H63" s="60">
        <f>MIN(20,SUMIFS(Action_Log!$F:$F,Action_Log!$A:$A,$A63,Action_Log!$D:$D,"Cosmetic")+SUMIFS(Action_Log!$F:$F,Action_Log!$A:$A,$A63,Action_Log!$D:$D,"Commercial"))+SUMIFS(Action_Log!$F:$F,Action_Log!$A:$A,$A63,Action_Log!$D:$D,"Civic")+SUMIFS(Action_Log!$F:$F,Action_Log!$A:$A,$A63,Action_Log!$D:$D,"Financial")+SUMIFS(Action_Log!$F:$F,Action_Log!$A:$A,$A63,Action_Log!$D:$D,"Structural")</f>
        <v/>
      </c>
      <c r="I63" s="61">
        <f>SUMIFS(Action_Log!$F:$F,Action_Log!$A:$A,$A63,Action_Log!$E:$E,"Negative")</f>
        <v/>
      </c>
      <c r="J63" s="62">
        <f>MAX(0,MIN(100,50+H63+I63))</f>
        <v/>
      </c>
      <c r="K63" s="63">
        <f>IF(J63&gt;=80,"Champion",IF(J63&gt;=65,"Ally",IF(J63&gt;=50,"Neutral",IF(J63&gt;=35,"Performative",IF(J63&gt;=20,"Harmful","Adversarial")))))</f>
        <v/>
      </c>
      <c r="L63" s="58" t="inlineStr">
        <is>
          <t>No</t>
        </is>
      </c>
      <c r="M63" s="58" t="inlineStr">
        <is>
          <t>No</t>
        </is>
      </c>
      <c r="N63" s="58" t="inlineStr">
        <is>
          <t>No</t>
        </is>
      </c>
      <c r="O63" s="58" t="inlineStr">
        <is>
          <t>No</t>
        </is>
      </c>
      <c r="P63" s="58" t="inlineStr">
        <is>
          <t>No</t>
        </is>
      </c>
      <c r="Q63" s="59" t="inlineStr">
        <is>
          <t>Quiet holder: CEI 100 record, inclusive benefits and colleague resource groups maintained; absent from rollback lists. Low Pride-marketing profile.</t>
        </is>
      </c>
    </row>
    <row r="64" ht="15" customHeight="1" s="42">
      <c r="A64" s="50" t="inlineStr">
        <is>
          <t>Walgreens</t>
        </is>
      </c>
      <c r="B64" s="51" t="inlineStr">
        <is>
          <t>WBA</t>
        </is>
      </c>
      <c r="C64" s="52" t="inlineStr">
        <is>
          <t>Healthcare &amp; Pharma</t>
        </is>
      </c>
      <c r="D64" s="51" t="n">
        <v>147.7</v>
      </c>
      <c r="E64" s="51" t="n">
        <v>100</v>
      </c>
      <c r="F64" s="51" t="n">
        <v>2024</v>
      </c>
      <c r="G64" s="51" t="inlineStr">
        <is>
          <t>No</t>
        </is>
      </c>
      <c r="H64" s="53">
        <f>MIN(20,SUMIFS(Action_Log!$F:$F,Action_Log!$A:$A,$A64,Action_Log!$D:$D,"Cosmetic")+SUMIFS(Action_Log!$F:$F,Action_Log!$A:$A,$A64,Action_Log!$D:$D,"Commercial"))+SUMIFS(Action_Log!$F:$F,Action_Log!$A:$A,$A64,Action_Log!$D:$D,"Civic")+SUMIFS(Action_Log!$F:$F,Action_Log!$A:$A,$A64,Action_Log!$D:$D,"Financial")+SUMIFS(Action_Log!$F:$F,Action_Log!$A:$A,$A64,Action_Log!$D:$D,"Structural")</f>
        <v/>
      </c>
      <c r="I64" s="54">
        <f>SUMIFS(Action_Log!$F:$F,Action_Log!$A:$A,$A64,Action_Log!$E:$E,"Negative")</f>
        <v/>
      </c>
      <c r="J64" s="55">
        <f>MAX(0,MIN(100,50+H64+I64))</f>
        <v/>
      </c>
      <c r="K64" s="56">
        <f>IF(J64&gt;=80,"Champion",IF(J64&gt;=65,"Ally",IF(J64&gt;=50,"Neutral",IF(J64&gt;=35,"Performative",IF(J64&gt;=20,"Harmful","Adversarial")))))</f>
        <v/>
      </c>
      <c r="L64" s="51" t="inlineStr">
        <is>
          <t>No</t>
        </is>
      </c>
      <c r="M64" s="51" t="inlineStr">
        <is>
          <t>No</t>
        </is>
      </c>
      <c r="N64" s="51" t="inlineStr">
        <is>
          <t>No</t>
        </is>
      </c>
      <c r="O64" s="51" t="inlineStr">
        <is>
          <t>No</t>
        </is>
      </c>
      <c r="P64" s="51" t="inlineStr">
        <is>
          <t>No</t>
        </is>
      </c>
      <c r="Q64" s="52" t="inlineStr">
        <is>
          <t>CEI 100 history and inclusive benefits; corporate distress (store closures, take-private) has muted all cause engagement. No documented LGBTQ+ reversal.</t>
        </is>
      </c>
    </row>
    <row r="65" ht="15" customHeight="1" s="42">
      <c r="A65" s="57" t="inlineStr">
        <is>
          <t>Johnson &amp; Johnson</t>
        </is>
      </c>
      <c r="B65" s="58" t="inlineStr">
        <is>
          <t>JNJ</t>
        </is>
      </c>
      <c r="C65" s="59" t="inlineStr">
        <is>
          <t>Healthcare &amp; Pharma</t>
        </is>
      </c>
      <c r="D65" s="58" t="n">
        <v>88.8</v>
      </c>
      <c r="E65" s="58" t="n">
        <v>100</v>
      </c>
      <c r="F65" s="58" t="n">
        <v>2024</v>
      </c>
      <c r="G65" s="58" t="inlineStr">
        <is>
          <t>Yes</t>
        </is>
      </c>
      <c r="H65" s="60">
        <f>MIN(20,SUMIFS(Action_Log!$F:$F,Action_Log!$A:$A,$A65,Action_Log!$D:$D,"Cosmetic")+SUMIFS(Action_Log!$F:$F,Action_Log!$A:$A,$A65,Action_Log!$D:$D,"Commercial"))+SUMIFS(Action_Log!$F:$F,Action_Log!$A:$A,$A65,Action_Log!$D:$D,"Civic")+SUMIFS(Action_Log!$F:$F,Action_Log!$A:$A,$A65,Action_Log!$D:$D,"Financial")+SUMIFS(Action_Log!$F:$F,Action_Log!$A:$A,$A65,Action_Log!$D:$D,"Structural")</f>
        <v/>
      </c>
      <c r="I65" s="61">
        <f>SUMIFS(Action_Log!$F:$F,Action_Log!$A:$A,$A65,Action_Log!$E:$E,"Negative")</f>
        <v/>
      </c>
      <c r="J65" s="62">
        <f>MAX(0,MIN(100,50+H65+I65))</f>
        <v/>
      </c>
      <c r="K65" s="63">
        <f>IF(J65&gt;=80,"Champion",IF(J65&gt;=65,"Ally",IF(J65&gt;=50,"Neutral",IF(J65&gt;=35,"Performative",IF(J65&gt;=20,"Harmful","Adversarial")))))</f>
        <v/>
      </c>
      <c r="L65" s="58" t="inlineStr">
        <is>
          <t>No</t>
        </is>
      </c>
      <c r="M65" s="58" t="inlineStr">
        <is>
          <t>No</t>
        </is>
      </c>
      <c r="N65" s="58" t="inlineStr">
        <is>
          <t>No</t>
        </is>
      </c>
      <c r="O65" s="58" t="inlineStr">
        <is>
          <t>No</t>
        </is>
      </c>
      <c r="P65" s="58" t="inlineStr">
        <is>
          <t>No</t>
        </is>
      </c>
      <c r="Q65" s="59" t="inlineStr">
        <is>
          <t>Maintained Open&amp;Out ERG and inclusive benefits; softened some DEI language in 2025 filings like most of pharma, but no programmatic LGBTQ+ retreat documented.</t>
        </is>
      </c>
    </row>
    <row r="66" ht="15" customHeight="1" s="42">
      <c r="A66" s="50" t="inlineStr">
        <is>
          <t>Pfizer</t>
        </is>
      </c>
      <c r="B66" s="51" t="inlineStr">
        <is>
          <t>PFE</t>
        </is>
      </c>
      <c r="C66" s="52" t="inlineStr">
        <is>
          <t>Healthcare &amp; Pharma</t>
        </is>
      </c>
      <c r="D66" s="51" t="n">
        <v>63.6</v>
      </c>
      <c r="E66" s="51" t="n">
        <v>100</v>
      </c>
      <c r="F66" s="51" t="n">
        <v>2024</v>
      </c>
      <c r="G66" s="51" t="inlineStr">
        <is>
          <t>Yes</t>
        </is>
      </c>
      <c r="H66" s="53">
        <f>MIN(20,SUMIFS(Action_Log!$F:$F,Action_Log!$A:$A,$A66,Action_Log!$D:$D,"Cosmetic")+SUMIFS(Action_Log!$F:$F,Action_Log!$A:$A,$A66,Action_Log!$D:$D,"Commercial"))+SUMIFS(Action_Log!$F:$F,Action_Log!$A:$A,$A66,Action_Log!$D:$D,"Civic")+SUMIFS(Action_Log!$F:$F,Action_Log!$A:$A,$A66,Action_Log!$D:$D,"Financial")+SUMIFS(Action_Log!$F:$F,Action_Log!$A:$A,$A66,Action_Log!$D:$D,"Structural")</f>
        <v/>
      </c>
      <c r="I66" s="54">
        <f>SUMIFS(Action_Log!$F:$F,Action_Log!$A:$A,$A66,Action_Log!$E:$E,"Negative")</f>
        <v/>
      </c>
      <c r="J66" s="55">
        <f>MAX(0,MIN(100,50+H66+I66))</f>
        <v/>
      </c>
      <c r="K66" s="56">
        <f>IF(J66&gt;=80,"Champion",IF(J66&gt;=65,"Ally",IF(J66&gt;=50,"Neutral",IF(J66&gt;=35,"Performative",IF(J66&gt;=20,"Harmful","Adversarial")))))</f>
        <v/>
      </c>
      <c r="L66" s="51" t="inlineStr">
        <is>
          <t>No</t>
        </is>
      </c>
      <c r="M66" s="51" t="inlineStr">
        <is>
          <t>No</t>
        </is>
      </c>
      <c r="N66" s="51" t="inlineStr">
        <is>
          <t>No</t>
        </is>
      </c>
      <c r="O66" s="51" t="inlineStr">
        <is>
          <t>No</t>
        </is>
      </c>
      <c r="P66" s="51" t="inlineStr">
        <is>
          <t>No</t>
        </is>
      </c>
      <c r="Q66" s="52" t="inlineStr">
        <is>
          <t>Targeted by anti-DEI activists but kept its OPEN ERG, inclusive benefits and CEI engagement. No documented LGBTQ+ rollback.</t>
        </is>
      </c>
    </row>
    <row r="67" ht="15" customHeight="1" s="42">
      <c r="A67" s="57" t="inlineStr">
        <is>
          <t>UnitedHealth Group</t>
        </is>
      </c>
      <c r="B67" s="58" t="inlineStr">
        <is>
          <t>UNH</t>
        </is>
      </c>
      <c r="C67" s="59" t="inlineStr">
        <is>
          <t>Healthcare &amp; Pharma</t>
        </is>
      </c>
      <c r="D67" s="58" t="n">
        <v>400.3</v>
      </c>
      <c r="E67" s="58" t="n">
        <v>100</v>
      </c>
      <c r="F67" s="58" t="n">
        <v>2024</v>
      </c>
      <c r="G67" s="58" t="inlineStr">
        <is>
          <t>No</t>
        </is>
      </c>
      <c r="H67" s="60">
        <f>MIN(20,SUMIFS(Action_Log!$F:$F,Action_Log!$A:$A,$A67,Action_Log!$D:$D,"Cosmetic")+SUMIFS(Action_Log!$F:$F,Action_Log!$A:$A,$A67,Action_Log!$D:$D,"Commercial"))+SUMIFS(Action_Log!$F:$F,Action_Log!$A:$A,$A67,Action_Log!$D:$D,"Civic")+SUMIFS(Action_Log!$F:$F,Action_Log!$A:$A,$A67,Action_Log!$D:$D,"Financial")+SUMIFS(Action_Log!$F:$F,Action_Log!$A:$A,$A67,Action_Log!$D:$D,"Structural")</f>
        <v/>
      </c>
      <c r="I67" s="61">
        <f>SUMIFS(Action_Log!$F:$F,Action_Log!$A:$A,$A67,Action_Log!$E:$E,"Negative")</f>
        <v/>
      </c>
      <c r="J67" s="62">
        <f>MAX(0,MIN(100,50+H67+I67))</f>
        <v/>
      </c>
      <c r="K67" s="63">
        <f>IF(J67&gt;=80,"Champion",IF(J67&gt;=65,"Ally",IF(J67&gt;=50,"Neutral",IF(J67&gt;=35,"Performative",IF(J67&gt;=20,"Harmful","Adversarial")))))</f>
        <v/>
      </c>
      <c r="L67" s="58" t="inlineStr">
        <is>
          <t>Yes</t>
        </is>
      </c>
      <c r="M67" s="58" t="inlineStr">
        <is>
          <t>Yes</t>
        </is>
      </c>
      <c r="N67" s="58" t="inlineStr">
        <is>
          <t>No</t>
        </is>
      </c>
      <c r="O67" s="58" t="inlineStr">
        <is>
          <t>No</t>
        </is>
      </c>
      <c r="P67" s="58" t="inlineStr">
        <is>
          <t>No</t>
        </is>
      </c>
      <c r="Q67" s="59" t="inlineStr">
        <is>
          <t>Scrubbed DEI mentions from much of its website in March 2025 — pages no longer load, a 2022 DEI blog post removed (TechCrunch). Benefits remain; the public commitment evaporated.</t>
        </is>
      </c>
    </row>
    <row r="68" ht="15" customHeight="1" s="42">
      <c r="A68" s="50" t="inlineStr">
        <is>
          <t>Cigna</t>
        </is>
      </c>
      <c r="B68" s="51" t="inlineStr">
        <is>
          <t>CI</t>
        </is>
      </c>
      <c r="C68" s="52" t="inlineStr">
        <is>
          <t>Healthcare &amp; Pharma</t>
        </is>
      </c>
      <c r="D68" s="51" t="n">
        <v>247.1</v>
      </c>
      <c r="E68" s="51" t="n">
        <v>100</v>
      </c>
      <c r="F68" s="51" t="n">
        <v>2024</v>
      </c>
      <c r="G68" s="51" t="inlineStr">
        <is>
          <t>No</t>
        </is>
      </c>
      <c r="H68" s="53">
        <f>MIN(20,SUMIFS(Action_Log!$F:$F,Action_Log!$A:$A,$A68,Action_Log!$D:$D,"Cosmetic")+SUMIFS(Action_Log!$F:$F,Action_Log!$A:$A,$A68,Action_Log!$D:$D,"Commercial"))+SUMIFS(Action_Log!$F:$F,Action_Log!$A:$A,$A68,Action_Log!$D:$D,"Civic")+SUMIFS(Action_Log!$F:$F,Action_Log!$A:$A,$A68,Action_Log!$D:$D,"Financial")+SUMIFS(Action_Log!$F:$F,Action_Log!$A:$A,$A68,Action_Log!$D:$D,"Structural")</f>
        <v/>
      </c>
      <c r="I68" s="54">
        <f>SUMIFS(Action_Log!$F:$F,Action_Log!$A:$A,$A68,Action_Log!$E:$E,"Negative")</f>
        <v/>
      </c>
      <c r="J68" s="55">
        <f>MAX(0,MIN(100,50+H68+I68))</f>
        <v/>
      </c>
      <c r="K68" s="56">
        <f>IF(J68&gt;=80,"Champion",IF(J68&gt;=65,"Ally",IF(J68&gt;=50,"Neutral",IF(J68&gt;=35,"Performative",IF(J68&gt;=20,"Harmful","Adversarial")))))</f>
        <v/>
      </c>
      <c r="L68" s="51" t="inlineStr">
        <is>
          <t>Yes</t>
        </is>
      </c>
      <c r="M68" s="51" t="inlineStr">
        <is>
          <t>Yes</t>
        </is>
      </c>
      <c r="N68" s="51" t="inlineStr">
        <is>
          <t>No</t>
        </is>
      </c>
      <c r="O68" s="51" t="inlineStr">
        <is>
          <t>No</t>
        </is>
      </c>
      <c r="P68" s="51" t="inlineStr">
        <is>
          <t>No</t>
        </is>
      </c>
      <c r="Q68" s="52" t="inlineStr">
        <is>
          <t>Tucked DEI strategy changes into its 2025 annual report alongside UnitedHealth and Humana (Modern Healthcare) while keeping gender-affirming-care clinical resources public. A hedge, leaning retreat.</t>
        </is>
      </c>
    </row>
    <row r="69" ht="15" customHeight="1" s="42">
      <c r="A69" s="57" t="inlineStr">
        <is>
          <t>Humana</t>
        </is>
      </c>
      <c r="B69" s="58" t="inlineStr">
        <is>
          <t>HUM</t>
        </is>
      </c>
      <c r="C69" s="59" t="inlineStr">
        <is>
          <t>Healthcare &amp; Pharma</t>
        </is>
      </c>
      <c r="D69" s="58" t="n">
        <v>117.8</v>
      </c>
      <c r="E69" s="58" t="n">
        <v>100</v>
      </c>
      <c r="F69" s="58" t="n">
        <v>2024</v>
      </c>
      <c r="G69" s="58" t="inlineStr">
        <is>
          <t>No</t>
        </is>
      </c>
      <c r="H69" s="60">
        <f>MIN(20,SUMIFS(Action_Log!$F:$F,Action_Log!$A:$A,$A69,Action_Log!$D:$D,"Cosmetic")+SUMIFS(Action_Log!$F:$F,Action_Log!$A:$A,$A69,Action_Log!$D:$D,"Commercial"))+SUMIFS(Action_Log!$F:$F,Action_Log!$A:$A,$A69,Action_Log!$D:$D,"Civic")+SUMIFS(Action_Log!$F:$F,Action_Log!$A:$A,$A69,Action_Log!$D:$D,"Financial")+SUMIFS(Action_Log!$F:$F,Action_Log!$A:$A,$A69,Action_Log!$D:$D,"Structural")</f>
        <v/>
      </c>
      <c r="I69" s="61">
        <f>SUMIFS(Action_Log!$F:$F,Action_Log!$A:$A,$A69,Action_Log!$E:$E,"Negative")</f>
        <v/>
      </c>
      <c r="J69" s="62">
        <f>MAX(0,MIN(100,50+H69+I69))</f>
        <v/>
      </c>
      <c r="K69" s="63">
        <f>IF(J69&gt;=80,"Champion",IF(J69&gt;=65,"Ally",IF(J69&gt;=50,"Neutral",IF(J69&gt;=35,"Performative",IF(J69&gt;=20,"Harmful","Adversarial")))))</f>
        <v/>
      </c>
      <c r="L69" s="58" t="inlineStr">
        <is>
          <t>Yes</t>
        </is>
      </c>
      <c r="M69" s="58" t="inlineStr">
        <is>
          <t>Yes</t>
        </is>
      </c>
      <c r="N69" s="58" t="inlineStr">
        <is>
          <t>No</t>
        </is>
      </c>
      <c r="O69" s="58" t="inlineStr">
        <is>
          <t>No</t>
        </is>
      </c>
      <c r="P69" s="58" t="inlineStr">
        <is>
          <t>No</t>
        </is>
      </c>
      <c r="Q69" s="59" t="inlineStr">
        <is>
          <t>Joined the insurer pattern of tucking DEI changes into 2025 annual-report language. Inclusive benefits remain; public commitment language thinned.</t>
        </is>
      </c>
    </row>
    <row r="70" ht="15" customHeight="1" s="42">
      <c r="A70" s="50" t="inlineStr">
        <is>
          <t>ExxonMobil</t>
        </is>
      </c>
      <c r="B70" s="51" t="inlineStr">
        <is>
          <t>XOM</t>
        </is>
      </c>
      <c r="C70" s="52" t="inlineStr">
        <is>
          <t>Energy</t>
        </is>
      </c>
      <c r="D70" s="51" t="n">
        <v>339.2</v>
      </c>
      <c r="E70" s="51" t="n">
        <v>85</v>
      </c>
      <c r="F70" s="51" t="n">
        <v>2024</v>
      </c>
      <c r="G70" s="51" t="inlineStr">
        <is>
          <t>No</t>
        </is>
      </c>
      <c r="H70" s="53">
        <f>MIN(20,SUMIFS(Action_Log!$F:$F,Action_Log!$A:$A,$A70,Action_Log!$D:$D,"Cosmetic")+SUMIFS(Action_Log!$F:$F,Action_Log!$A:$A,$A70,Action_Log!$D:$D,"Commercial"))+SUMIFS(Action_Log!$F:$F,Action_Log!$A:$A,$A70,Action_Log!$D:$D,"Civic")+SUMIFS(Action_Log!$F:$F,Action_Log!$A:$A,$A70,Action_Log!$D:$D,"Financial")+SUMIFS(Action_Log!$F:$F,Action_Log!$A:$A,$A70,Action_Log!$D:$D,"Structural")</f>
        <v/>
      </c>
      <c r="I70" s="54">
        <f>SUMIFS(Action_Log!$F:$F,Action_Log!$A:$A,$A70,Action_Log!$E:$E,"Negative")</f>
        <v/>
      </c>
      <c r="J70" s="55">
        <f>MAX(0,MIN(100,50+H70+I70))</f>
        <v/>
      </c>
      <c r="K70" s="56">
        <f>IF(J70&gt;=80,"Champion",IF(J70&gt;=65,"Ally",IF(J70&gt;=50,"Neutral",IF(J70&gt;=35,"Performative",IF(J70&gt;=20,"Harmful","Adversarial")))))</f>
        <v/>
      </c>
      <c r="L70" s="51" t="inlineStr">
        <is>
          <t>No</t>
        </is>
      </c>
      <c r="M70" s="51" t="inlineStr">
        <is>
          <t>No</t>
        </is>
      </c>
      <c r="N70" s="51" t="inlineStr">
        <is>
          <t>No</t>
        </is>
      </c>
      <c r="O70" s="51" t="inlineStr">
        <is>
          <t>No</t>
        </is>
      </c>
      <c r="P70" s="51" t="inlineStr">
        <is>
          <t>No</t>
        </is>
      </c>
      <c r="Q70" s="52" t="inlineStr">
        <is>
          <t>The legacy laggard: rescinded Mobil's domestic-partner benefits after the 1999 merger, refused LGBTQ+ protections for 15+ years (HRC's only negative CEI score), added them in 2015 only under federal-contractor mandate, and banned the Pride flag from its flagpoles in 2022.</t>
        </is>
      </c>
    </row>
    <row r="71" ht="15" customHeight="1" s="42">
      <c r="A71" s="57" t="inlineStr">
        <is>
          <t>Chevron</t>
        </is>
      </c>
      <c r="B71" s="58" t="inlineStr">
        <is>
          <t>CVX</t>
        </is>
      </c>
      <c r="C71" s="59" t="inlineStr">
        <is>
          <t>Energy</t>
        </is>
      </c>
      <c r="D71" s="58" t="n">
        <v>193.4</v>
      </c>
      <c r="E71" s="58" t="n">
        <v>100</v>
      </c>
      <c r="F71" s="58" t="n">
        <v>2024</v>
      </c>
      <c r="G71" s="58" t="inlineStr">
        <is>
          <t>Yes</t>
        </is>
      </c>
      <c r="H71" s="60">
        <f>MIN(20,SUMIFS(Action_Log!$F:$F,Action_Log!$A:$A,$A71,Action_Log!$D:$D,"Cosmetic")+SUMIFS(Action_Log!$F:$F,Action_Log!$A:$A,$A71,Action_Log!$D:$D,"Commercial"))+SUMIFS(Action_Log!$F:$F,Action_Log!$A:$A,$A71,Action_Log!$D:$D,"Civic")+SUMIFS(Action_Log!$F:$F,Action_Log!$A:$A,$A71,Action_Log!$D:$D,"Financial")+SUMIFS(Action_Log!$F:$F,Action_Log!$A:$A,$A71,Action_Log!$D:$D,"Structural")</f>
        <v/>
      </c>
      <c r="I71" s="61">
        <f>SUMIFS(Action_Log!$F:$F,Action_Log!$A:$A,$A71,Action_Log!$E:$E,"Negative")</f>
        <v/>
      </c>
      <c r="J71" s="62">
        <f>MAX(0,MIN(100,50+H71+I71))</f>
        <v/>
      </c>
      <c r="K71" s="63">
        <f>IF(J71&gt;=80,"Champion",IF(J71&gt;=65,"Ally",IF(J71&gt;=50,"Neutral",IF(J71&gt;=35,"Performative",IF(J71&gt;=20,"Harmful","Adversarial")))))</f>
        <v/>
      </c>
      <c r="L71" s="58" t="inlineStr">
        <is>
          <t>No</t>
        </is>
      </c>
      <c r="M71" s="58" t="inlineStr">
        <is>
          <t>No</t>
        </is>
      </c>
      <c r="N71" s="58" t="inlineStr">
        <is>
          <t>No</t>
        </is>
      </c>
      <c r="O71" s="58" t="inlineStr">
        <is>
          <t>No</t>
        </is>
      </c>
      <c r="P71" s="58" t="inlineStr">
        <is>
          <t>No</t>
        </is>
      </c>
      <c r="Q71" s="59" t="inlineStr">
        <is>
          <t>The energy outlier: long CEI 100 record, funded PRIDE ERG, early partner benefits among oil majors. Quiet but durable internal inclusion.</t>
        </is>
      </c>
    </row>
    <row r="72" ht="15" customHeight="1" s="42">
      <c r="A72" s="50" t="inlineStr">
        <is>
          <t>NextEra Energy</t>
        </is>
      </c>
      <c r="B72" s="51" t="inlineStr">
        <is>
          <t>NEE</t>
        </is>
      </c>
      <c r="C72" s="52" t="inlineStr">
        <is>
          <t>Energy</t>
        </is>
      </c>
      <c r="D72" s="51" t="n">
        <v>24.8</v>
      </c>
      <c r="E72" s="51" t="inlineStr">
        <is>
          <t>Not rated</t>
        </is>
      </c>
      <c r="F72" s="51" t="inlineStr">
        <is>
          <t>—</t>
        </is>
      </c>
      <c r="G72" s="51" t="inlineStr">
        <is>
          <t>Never</t>
        </is>
      </c>
      <c r="H72" s="53">
        <f>MIN(20,SUMIFS(Action_Log!$F:$F,Action_Log!$A:$A,$A72,Action_Log!$D:$D,"Cosmetic")+SUMIFS(Action_Log!$F:$F,Action_Log!$A:$A,$A72,Action_Log!$D:$D,"Commercial"))+SUMIFS(Action_Log!$F:$F,Action_Log!$A:$A,$A72,Action_Log!$D:$D,"Civic")+SUMIFS(Action_Log!$F:$F,Action_Log!$A:$A,$A72,Action_Log!$D:$D,"Financial")+SUMIFS(Action_Log!$F:$F,Action_Log!$A:$A,$A72,Action_Log!$D:$D,"Structural")</f>
        <v/>
      </c>
      <c r="I72" s="54">
        <f>SUMIFS(Action_Log!$F:$F,Action_Log!$A:$A,$A72,Action_Log!$E:$E,"Negative")</f>
        <v/>
      </c>
      <c r="J72" s="55">
        <f>MAX(0,MIN(100,50+H72+I72))</f>
        <v/>
      </c>
      <c r="K72" s="56">
        <f>IF(J72&gt;=80,"Champion",IF(J72&gt;=65,"Ally",IF(J72&gt;=50,"Neutral",IF(J72&gt;=35,"Performative",IF(J72&gt;=20,"Harmful","Adversarial")))))</f>
        <v/>
      </c>
      <c r="L72" s="51" t="inlineStr">
        <is>
          <t>No</t>
        </is>
      </c>
      <c r="M72" s="51" t="inlineStr">
        <is>
          <t>No</t>
        </is>
      </c>
      <c r="N72" s="51" t="inlineStr">
        <is>
          <t>No</t>
        </is>
      </c>
      <c r="O72" s="51" t="inlineStr">
        <is>
          <t>No</t>
        </is>
      </c>
      <c r="P72" s="51" t="inlineStr">
        <is>
          <t>No</t>
        </is>
      </c>
      <c r="Q72" s="52" t="inlineStr">
        <is>
          <t>No meaningful public LGBTQ+ record located in either direction.</t>
        </is>
      </c>
    </row>
    <row r="73" ht="15" customHeight="1" s="42">
      <c r="A73" s="57" t="inlineStr">
        <is>
          <t>Southern Company</t>
        </is>
      </c>
      <c r="B73" s="58" t="inlineStr">
        <is>
          <t>SO</t>
        </is>
      </c>
      <c r="C73" s="59" t="inlineStr">
        <is>
          <t>Energy</t>
        </is>
      </c>
      <c r="D73" s="58" t="n">
        <v>26.7</v>
      </c>
      <c r="E73" s="58" t="inlineStr">
        <is>
          <t>Not rated</t>
        </is>
      </c>
      <c r="F73" s="58" t="inlineStr">
        <is>
          <t>—</t>
        </is>
      </c>
      <c r="G73" s="58" t="inlineStr">
        <is>
          <t>Never</t>
        </is>
      </c>
      <c r="H73" s="60">
        <f>MIN(20,SUMIFS(Action_Log!$F:$F,Action_Log!$A:$A,$A73,Action_Log!$D:$D,"Cosmetic")+SUMIFS(Action_Log!$F:$F,Action_Log!$A:$A,$A73,Action_Log!$D:$D,"Commercial"))+SUMIFS(Action_Log!$F:$F,Action_Log!$A:$A,$A73,Action_Log!$D:$D,"Civic")+SUMIFS(Action_Log!$F:$F,Action_Log!$A:$A,$A73,Action_Log!$D:$D,"Financial")+SUMIFS(Action_Log!$F:$F,Action_Log!$A:$A,$A73,Action_Log!$D:$D,"Structural")</f>
        <v/>
      </c>
      <c r="I73" s="61">
        <f>SUMIFS(Action_Log!$F:$F,Action_Log!$A:$A,$A73,Action_Log!$E:$E,"Negative")</f>
        <v/>
      </c>
      <c r="J73" s="62">
        <f>MAX(0,MIN(100,50+H73+I73))</f>
        <v/>
      </c>
      <c r="K73" s="63">
        <f>IF(J73&gt;=80,"Champion",IF(J73&gt;=65,"Ally",IF(J73&gt;=50,"Neutral",IF(J73&gt;=35,"Performative",IF(J73&gt;=20,"Harmful","Adversarial")))))</f>
        <v/>
      </c>
      <c r="L73" s="58" t="inlineStr">
        <is>
          <t>No</t>
        </is>
      </c>
      <c r="M73" s="58" t="inlineStr">
        <is>
          <t>No</t>
        </is>
      </c>
      <c r="N73" s="58" t="inlineStr">
        <is>
          <t>No</t>
        </is>
      </c>
      <c r="O73" s="58" t="inlineStr">
        <is>
          <t>No</t>
        </is>
      </c>
      <c r="P73" s="58" t="inlineStr">
        <is>
          <t>No</t>
        </is>
      </c>
      <c r="Q73" s="59" t="inlineStr">
        <is>
          <t>No meaningful public LGBTQ+ record located in either direction.</t>
        </is>
      </c>
    </row>
    <row r="74" ht="15" customHeight="1" s="42">
      <c r="A74" s="50" t="inlineStr">
        <is>
          <t>Marriott</t>
        </is>
      </c>
      <c r="B74" s="51" t="inlineStr">
        <is>
          <t>MAR</t>
        </is>
      </c>
      <c r="C74" s="52" t="inlineStr">
        <is>
          <t>Hospitality &amp; Travel</t>
        </is>
      </c>
      <c r="D74" s="51" t="n">
        <v>25.1</v>
      </c>
      <c r="E74" s="51" t="n">
        <v>100</v>
      </c>
      <c r="F74" s="51" t="n">
        <v>2025</v>
      </c>
      <c r="G74" s="51" t="inlineStr">
        <is>
          <t>Yes</t>
        </is>
      </c>
      <c r="H74" s="53">
        <f>MIN(20,SUMIFS(Action_Log!$F:$F,Action_Log!$A:$A,$A74,Action_Log!$D:$D,"Cosmetic")+SUMIFS(Action_Log!$F:$F,Action_Log!$A:$A,$A74,Action_Log!$D:$D,"Commercial"))+SUMIFS(Action_Log!$F:$F,Action_Log!$A:$A,$A74,Action_Log!$D:$D,"Civic")+SUMIFS(Action_Log!$F:$F,Action_Log!$A:$A,$A74,Action_Log!$D:$D,"Financial")+SUMIFS(Action_Log!$F:$F,Action_Log!$A:$A,$A74,Action_Log!$D:$D,"Structural")</f>
        <v/>
      </c>
      <c r="I74" s="54">
        <f>SUMIFS(Action_Log!$F:$F,Action_Log!$A:$A,$A74,Action_Log!$E:$E,"Negative")</f>
        <v/>
      </c>
      <c r="J74" s="55">
        <f>MAX(0,MIN(100,50+H74+I74))</f>
        <v/>
      </c>
      <c r="K74" s="56">
        <f>IF(J74&gt;=80,"Champion",IF(J74&gt;=65,"Ally",IF(J74&gt;=50,"Neutral",IF(J74&gt;=35,"Performative",IF(J74&gt;=20,"Harmful","Adversarial")))))</f>
        <v/>
      </c>
      <c r="L74" s="51" t="inlineStr">
        <is>
          <t>No</t>
        </is>
      </c>
      <c r="M74" s="51" t="inlineStr">
        <is>
          <t>No</t>
        </is>
      </c>
      <c r="N74" s="51" t="inlineStr">
        <is>
          <t>No</t>
        </is>
      </c>
      <c r="O74" s="51" t="inlineStr">
        <is>
          <t>No</t>
        </is>
      </c>
      <c r="P74" s="51" t="inlineStr">
        <is>
          <t>No</t>
        </is>
      </c>
      <c r="Q74" s="52" t="inlineStr">
        <is>
          <t>Hospitality's standard-bearer: #LoveTravels platform since 2014, 25 years of CEI engagement, and leadership that publicly reaffirmed inclusion as 'core to who we are' through the 2025 backlash.</t>
        </is>
      </c>
    </row>
    <row r="75" ht="15" customHeight="1" s="42">
      <c r="A75" s="57" t="inlineStr">
        <is>
          <t>Hilton</t>
        </is>
      </c>
      <c r="B75" s="58" t="inlineStr">
        <is>
          <t>HLT</t>
        </is>
      </c>
      <c r="C75" s="59" t="inlineStr">
        <is>
          <t>Hospitality &amp; Travel</t>
        </is>
      </c>
      <c r="D75" s="58" t="n">
        <v>11.2</v>
      </c>
      <c r="E75" s="58" t="n">
        <v>100</v>
      </c>
      <c r="F75" s="58" t="n">
        <v>2024</v>
      </c>
      <c r="G75" s="58" t="inlineStr">
        <is>
          <t>Yes</t>
        </is>
      </c>
      <c r="H75" s="60">
        <f>MIN(20,SUMIFS(Action_Log!$F:$F,Action_Log!$A:$A,$A75,Action_Log!$D:$D,"Cosmetic")+SUMIFS(Action_Log!$F:$F,Action_Log!$A:$A,$A75,Action_Log!$D:$D,"Commercial"))+SUMIFS(Action_Log!$F:$F,Action_Log!$A:$A,$A75,Action_Log!$D:$D,"Civic")+SUMIFS(Action_Log!$F:$F,Action_Log!$A:$A,$A75,Action_Log!$D:$D,"Financial")+SUMIFS(Action_Log!$F:$F,Action_Log!$A:$A,$A75,Action_Log!$D:$D,"Structural")</f>
        <v/>
      </c>
      <c r="I75" s="61">
        <f>SUMIFS(Action_Log!$F:$F,Action_Log!$A:$A,$A75,Action_Log!$E:$E,"Negative")</f>
        <v/>
      </c>
      <c r="J75" s="62">
        <f>MAX(0,MIN(100,50+H75+I75))</f>
        <v/>
      </c>
      <c r="K75" s="63">
        <f>IF(J75&gt;=80,"Champion",IF(J75&gt;=65,"Ally",IF(J75&gt;=50,"Neutral",IF(J75&gt;=35,"Performative",IF(J75&gt;=20,"Harmful","Adversarial")))))</f>
        <v/>
      </c>
      <c r="L75" s="58" t="inlineStr">
        <is>
          <t>No</t>
        </is>
      </c>
      <c r="M75" s="58" t="inlineStr">
        <is>
          <t>No</t>
        </is>
      </c>
      <c r="N75" s="58" t="inlineStr">
        <is>
          <t>No</t>
        </is>
      </c>
      <c r="O75" s="58" t="inlineStr">
        <is>
          <t>No</t>
        </is>
      </c>
      <c r="P75" s="58" t="inlineStr">
        <is>
          <t>No</t>
        </is>
      </c>
      <c r="Q75" s="59" t="inlineStr">
        <is>
          <t>Maintained Pride engagement through the trough — a WorldPride 2025 supporter with CEI 100 record and 'Stay Hilton. Go Out.' LGBTQ+ marketing heritage.</t>
        </is>
      </c>
    </row>
    <row r="76" ht="15" customHeight="1" s="42">
      <c r="A76" s="50" t="inlineStr">
        <is>
          <t>Delta Air Lines</t>
        </is>
      </c>
      <c r="B76" s="51" t="inlineStr">
        <is>
          <t>DAL</t>
        </is>
      </c>
      <c r="C76" s="52" t="inlineStr">
        <is>
          <t>Hospitality &amp; Travel</t>
        </is>
      </c>
      <c r="D76" s="51" t="n">
        <v>61.6</v>
      </c>
      <c r="E76" s="51" t="n">
        <v>100</v>
      </c>
      <c r="F76" s="51" t="n">
        <v>2025</v>
      </c>
      <c r="G76" s="51" t="inlineStr">
        <is>
          <t>Yes</t>
        </is>
      </c>
      <c r="H76" s="53">
        <f>MIN(20,SUMIFS(Action_Log!$F:$F,Action_Log!$A:$A,$A76,Action_Log!$D:$D,"Cosmetic")+SUMIFS(Action_Log!$F:$F,Action_Log!$A:$A,$A76,Action_Log!$D:$D,"Commercial"))+SUMIFS(Action_Log!$F:$F,Action_Log!$A:$A,$A76,Action_Log!$D:$D,"Civic")+SUMIFS(Action_Log!$F:$F,Action_Log!$A:$A,$A76,Action_Log!$D:$D,"Financial")+SUMIFS(Action_Log!$F:$F,Action_Log!$A:$A,$A76,Action_Log!$D:$D,"Structural")</f>
        <v/>
      </c>
      <c r="I76" s="54">
        <f>SUMIFS(Action_Log!$F:$F,Action_Log!$A:$A,$A76,Action_Log!$E:$E,"Negative")</f>
        <v/>
      </c>
      <c r="J76" s="55">
        <f>MAX(0,MIN(100,50+H76+I76))</f>
        <v/>
      </c>
      <c r="K76" s="56">
        <f>IF(J76&gt;=80,"Champion",IF(J76&gt;=65,"Ally",IF(J76&gt;=50,"Neutral",IF(J76&gt;=35,"Performative",IF(J76&gt;=20,"Harmful","Adversarial")))))</f>
        <v/>
      </c>
      <c r="L76" s="51" t="inlineStr">
        <is>
          <t>No</t>
        </is>
      </c>
      <c r="M76" s="51" t="inlineStr">
        <is>
          <t>No</t>
        </is>
      </c>
      <c r="N76" s="51" t="inlineStr">
        <is>
          <t>No</t>
        </is>
      </c>
      <c r="O76" s="51" t="inlineStr">
        <is>
          <t>No</t>
        </is>
      </c>
      <c r="P76" s="51" t="inlineStr">
        <is>
          <t>No</t>
        </is>
      </c>
      <c r="Q76" s="52" t="inlineStr">
        <is>
          <t>Publicly committed to DEI when asked directly in 2025 ('our values are not for sale'-tier stance), marched at Pride events from NYC to Amsterdam and Brighton in 2025-26, and retains deep LGBTQ+ workforce culture. The airline that didn't blink.</t>
        </is>
      </c>
    </row>
    <row r="77" ht="15" customHeight="1" s="42">
      <c r="A77" s="57" t="inlineStr">
        <is>
          <t>American Airlines</t>
        </is>
      </c>
      <c r="B77" s="58" t="inlineStr">
        <is>
          <t>AAL</t>
        </is>
      </c>
      <c r="C77" s="59" t="inlineStr">
        <is>
          <t>Hospitality &amp; Travel</t>
        </is>
      </c>
      <c r="D77" s="58" t="n">
        <v>54.2</v>
      </c>
      <c r="E77" s="58" t="n">
        <v>100</v>
      </c>
      <c r="F77" s="58" t="n">
        <v>2024</v>
      </c>
      <c r="G77" s="58" t="inlineStr">
        <is>
          <t>Yes</t>
        </is>
      </c>
      <c r="H77" s="60">
        <f>MIN(20,SUMIFS(Action_Log!$F:$F,Action_Log!$A:$A,$A77,Action_Log!$D:$D,"Cosmetic")+SUMIFS(Action_Log!$F:$F,Action_Log!$A:$A,$A77,Action_Log!$D:$D,"Commercial"))+SUMIFS(Action_Log!$F:$F,Action_Log!$A:$A,$A77,Action_Log!$D:$D,"Civic")+SUMIFS(Action_Log!$F:$F,Action_Log!$A:$A,$A77,Action_Log!$D:$D,"Financial")+SUMIFS(Action_Log!$F:$F,Action_Log!$A:$A,$A77,Action_Log!$D:$D,"Structural")</f>
        <v/>
      </c>
      <c r="I77" s="61">
        <f>SUMIFS(Action_Log!$F:$F,Action_Log!$A:$A,$A77,Action_Log!$E:$E,"Negative")</f>
        <v/>
      </c>
      <c r="J77" s="62">
        <f>MAX(0,MIN(100,50+H77+I77))</f>
        <v/>
      </c>
      <c r="K77" s="63">
        <f>IF(J77&gt;=80,"Champion",IF(J77&gt;=65,"Ally",IF(J77&gt;=50,"Neutral",IF(J77&gt;=35,"Performative",IF(J77&gt;=20,"Harmful","Adversarial")))))</f>
        <v/>
      </c>
      <c r="L77" s="58" t="inlineStr">
        <is>
          <t>No</t>
        </is>
      </c>
      <c r="M77" s="58" t="inlineStr">
        <is>
          <t>No</t>
        </is>
      </c>
      <c r="N77" s="58" t="inlineStr">
        <is>
          <t>No</t>
        </is>
      </c>
      <c r="O77" s="58" t="inlineStr">
        <is>
          <t>No</t>
        </is>
      </c>
      <c r="P77" s="58" t="inlineStr">
        <is>
          <t>No</t>
        </is>
      </c>
      <c r="Q77" s="59" t="inlineStr">
        <is>
          <t>Board defended DEI against an anti-DEI shareholder proposal; PRIDE ERG (one of the industry's oldest) continues. Quieter than Delta but no retreat documented.</t>
        </is>
      </c>
    </row>
    <row r="78" ht="15" customHeight="1" s="42">
      <c r="A78" s="50" t="inlineStr">
        <is>
          <t>United Airlines</t>
        </is>
      </c>
      <c r="B78" s="51" t="inlineStr">
        <is>
          <t>UAL</t>
        </is>
      </c>
      <c r="C78" s="52" t="inlineStr">
        <is>
          <t>Hospitality &amp; Travel</t>
        </is>
      </c>
      <c r="D78" s="51" t="n">
        <v>57.1</v>
      </c>
      <c r="E78" s="51" t="n">
        <v>100</v>
      </c>
      <c r="F78" s="51" t="n">
        <v>2024</v>
      </c>
      <c r="G78" s="51" t="inlineStr">
        <is>
          <t>Yes</t>
        </is>
      </c>
      <c r="H78" s="53">
        <f>MIN(20,SUMIFS(Action_Log!$F:$F,Action_Log!$A:$A,$A78,Action_Log!$D:$D,"Cosmetic")+SUMIFS(Action_Log!$F:$F,Action_Log!$A:$A,$A78,Action_Log!$D:$D,"Commercial"))+SUMIFS(Action_Log!$F:$F,Action_Log!$A:$A,$A78,Action_Log!$D:$D,"Civic")+SUMIFS(Action_Log!$F:$F,Action_Log!$A:$A,$A78,Action_Log!$D:$D,"Financial")+SUMIFS(Action_Log!$F:$F,Action_Log!$A:$A,$A78,Action_Log!$D:$D,"Structural")</f>
        <v/>
      </c>
      <c r="I78" s="54">
        <f>SUMIFS(Action_Log!$F:$F,Action_Log!$A:$A,$A78,Action_Log!$E:$E,"Negative")</f>
        <v/>
      </c>
      <c r="J78" s="55">
        <f>MAX(0,MIN(100,50+H78+I78))</f>
        <v/>
      </c>
      <c r="K78" s="56">
        <f>IF(J78&gt;=80,"Champion",IF(J78&gt;=65,"Ally",IF(J78&gt;=50,"Neutral",IF(J78&gt;=35,"Performative",IF(J78&gt;=20,"Harmful","Adversarial")))))</f>
        <v/>
      </c>
      <c r="L78" s="51" t="inlineStr">
        <is>
          <t>No</t>
        </is>
      </c>
      <c r="M78" s="51" t="inlineStr">
        <is>
          <t>No</t>
        </is>
      </c>
      <c r="N78" s="51" t="inlineStr">
        <is>
          <t>No</t>
        </is>
      </c>
      <c r="O78" s="51" t="inlineStr">
        <is>
          <t>No</t>
        </is>
      </c>
      <c r="P78" s="51" t="inlineStr">
        <is>
          <t>No</t>
        </is>
      </c>
      <c r="Q78" s="52" t="inlineStr">
        <is>
          <t>WorldPride 2025 supporter; continued Pride engagement and ERG support through the backlash. No retreat documented.</t>
        </is>
      </c>
    </row>
    <row r="79" ht="15" customHeight="1" s="42">
      <c r="A79" s="57" t="inlineStr">
        <is>
          <t>Airbnb</t>
        </is>
      </c>
      <c r="B79" s="58" t="inlineStr">
        <is>
          <t>ABNB</t>
        </is>
      </c>
      <c r="C79" s="59" t="inlineStr">
        <is>
          <t>Hospitality &amp; Travel</t>
        </is>
      </c>
      <c r="D79" s="58" t="n">
        <v>11.1</v>
      </c>
      <c r="E79" s="58" t="n">
        <v>100</v>
      </c>
      <c r="F79" s="58" t="n">
        <v>2024</v>
      </c>
      <c r="G79" s="58" t="inlineStr">
        <is>
          <t>Yes</t>
        </is>
      </c>
      <c r="H79" s="60">
        <f>MIN(20,SUMIFS(Action_Log!$F:$F,Action_Log!$A:$A,$A79,Action_Log!$D:$D,"Cosmetic")+SUMIFS(Action_Log!$F:$F,Action_Log!$A:$A,$A79,Action_Log!$D:$D,"Commercial"))+SUMIFS(Action_Log!$F:$F,Action_Log!$A:$A,$A79,Action_Log!$D:$D,"Civic")+SUMIFS(Action_Log!$F:$F,Action_Log!$A:$A,$A79,Action_Log!$D:$D,"Financial")+SUMIFS(Action_Log!$F:$F,Action_Log!$A:$A,$A79,Action_Log!$D:$D,"Structural")</f>
        <v/>
      </c>
      <c r="I79" s="61">
        <f>SUMIFS(Action_Log!$F:$F,Action_Log!$A:$A,$A79,Action_Log!$E:$E,"Negative")</f>
        <v/>
      </c>
      <c r="J79" s="62">
        <f>MAX(0,MIN(100,50+H79+I79))</f>
        <v/>
      </c>
      <c r="K79" s="63">
        <f>IF(J79&gt;=80,"Champion",IF(J79&gt;=65,"Ally",IF(J79&gt;=50,"Neutral",IF(J79&gt;=35,"Performative",IF(J79&gt;=20,"Harmful","Adversarial")))))</f>
        <v/>
      </c>
      <c r="L79" s="58" t="inlineStr">
        <is>
          <t>No</t>
        </is>
      </c>
      <c r="M79" s="58" t="inlineStr">
        <is>
          <t>No</t>
        </is>
      </c>
      <c r="N79" s="58" t="inlineStr">
        <is>
          <t>No</t>
        </is>
      </c>
      <c r="O79" s="58" t="inlineStr">
        <is>
          <t>No</t>
        </is>
      </c>
      <c r="P79" s="58" t="inlineStr">
        <is>
          <t>No</t>
        </is>
      </c>
      <c r="Q79" s="59" t="inlineStr">
        <is>
          <t>Platform-level inclusion is the product: a binding Community Commitment nondiscrimination policy for all users, LGBTQ+ travel-safety features, and marriage-equality campaign history ('Until We All Belong'). No retreat documented.</t>
        </is>
      </c>
    </row>
    <row r="80" ht="15" customHeight="1" s="42">
      <c r="A80" s="50" t="inlineStr">
        <is>
          <t>Expedia</t>
        </is>
      </c>
      <c r="B80" s="51" t="inlineStr">
        <is>
          <t>EXPE</t>
        </is>
      </c>
      <c r="C80" s="52" t="inlineStr">
        <is>
          <t>Hospitality &amp; Travel</t>
        </is>
      </c>
      <c r="D80" s="51" t="n">
        <v>13.7</v>
      </c>
      <c r="E80" s="51" t="n">
        <v>100</v>
      </c>
      <c r="F80" s="51" t="n">
        <v>2024</v>
      </c>
      <c r="G80" s="51" t="inlineStr">
        <is>
          <t>No</t>
        </is>
      </c>
      <c r="H80" s="53">
        <f>MIN(20,SUMIFS(Action_Log!$F:$F,Action_Log!$A:$A,$A80,Action_Log!$D:$D,"Cosmetic")+SUMIFS(Action_Log!$F:$F,Action_Log!$A:$A,$A80,Action_Log!$D:$D,"Commercial"))+SUMIFS(Action_Log!$F:$F,Action_Log!$A:$A,$A80,Action_Log!$D:$D,"Civic")+SUMIFS(Action_Log!$F:$F,Action_Log!$A:$A,$A80,Action_Log!$D:$D,"Financial")+SUMIFS(Action_Log!$F:$F,Action_Log!$A:$A,$A80,Action_Log!$D:$D,"Structural")</f>
        <v/>
      </c>
      <c r="I80" s="54">
        <f>SUMIFS(Action_Log!$F:$F,Action_Log!$A:$A,$A80,Action_Log!$E:$E,"Negative")</f>
        <v/>
      </c>
      <c r="J80" s="55">
        <f>MAX(0,MIN(100,50+H80+I80))</f>
        <v/>
      </c>
      <c r="K80" s="56">
        <f>IF(J80&gt;=80,"Champion",IF(J80&gt;=65,"Ally",IF(J80&gt;=50,"Neutral",IF(J80&gt;=35,"Performative",IF(J80&gt;=20,"Harmful","Adversarial")))))</f>
        <v/>
      </c>
      <c r="L80" s="51" t="inlineStr">
        <is>
          <t>No</t>
        </is>
      </c>
      <c r="M80" s="51" t="inlineStr">
        <is>
          <t>No</t>
        </is>
      </c>
      <c r="N80" s="51" t="inlineStr">
        <is>
          <t>No</t>
        </is>
      </c>
      <c r="O80" s="51" t="inlineStr">
        <is>
          <t>No</t>
        </is>
      </c>
      <c r="P80" s="51" t="inlineStr">
        <is>
          <t>No</t>
        </is>
      </c>
      <c r="Q80" s="52" t="inlineStr">
        <is>
          <t>Inherited Orbitz's pioneering LGBT-travel marketing legacy; maintains inclusive policies with modest current visibility. No retreat documented.</t>
        </is>
      </c>
    </row>
    <row r="81" ht="15" customHeight="1" s="42">
      <c r="A81" s="57" t="inlineStr">
        <is>
          <t>Procter &amp; Gamble</t>
        </is>
      </c>
      <c r="B81" s="58" t="inlineStr">
        <is>
          <t>PG</t>
        </is>
      </c>
      <c r="C81" s="59" t="inlineStr">
        <is>
          <t>Consumer Goods</t>
        </is>
      </c>
      <c r="D81" s="58" t="n">
        <v>84</v>
      </c>
      <c r="E81" s="58" t="n">
        <v>100</v>
      </c>
      <c r="F81" s="58" t="n">
        <v>2025</v>
      </c>
      <c r="G81" s="58" t="inlineStr">
        <is>
          <t>Yes</t>
        </is>
      </c>
      <c r="H81" s="60">
        <f>MIN(20,SUMIFS(Action_Log!$F:$F,Action_Log!$A:$A,$A81,Action_Log!$D:$D,"Cosmetic")+SUMIFS(Action_Log!$F:$F,Action_Log!$A:$A,$A81,Action_Log!$D:$D,"Commercial"))+SUMIFS(Action_Log!$F:$F,Action_Log!$A:$A,$A81,Action_Log!$D:$D,"Civic")+SUMIFS(Action_Log!$F:$F,Action_Log!$A:$A,$A81,Action_Log!$D:$D,"Financial")+SUMIFS(Action_Log!$F:$F,Action_Log!$A:$A,$A81,Action_Log!$D:$D,"Structural")</f>
        <v/>
      </c>
      <c r="I81" s="61">
        <f>SUMIFS(Action_Log!$F:$F,Action_Log!$A:$A,$A81,Action_Log!$E:$E,"Negative")</f>
        <v/>
      </c>
      <c r="J81" s="62">
        <f>MAX(0,MIN(100,50+H81+I81))</f>
        <v/>
      </c>
      <c r="K81" s="63">
        <f>IF(J81&gt;=80,"Champion",IF(J81&gt;=65,"Ally",IF(J81&gt;=50,"Neutral",IF(J81&gt;=35,"Performative",IF(J81&gt;=20,"Harmful","Adversarial")))))</f>
        <v/>
      </c>
      <c r="L81" s="58" t="inlineStr">
        <is>
          <t>No</t>
        </is>
      </c>
      <c r="M81" s="58" t="inlineStr">
        <is>
          <t>No</t>
        </is>
      </c>
      <c r="N81" s="58" t="inlineStr">
        <is>
          <t>No</t>
        </is>
      </c>
      <c r="O81" s="58" t="inlineStr">
        <is>
          <t>No</t>
        </is>
      </c>
      <c r="P81" s="58" t="inlineStr">
        <is>
          <t>No</t>
        </is>
      </c>
      <c r="Q81" s="59" t="inlineStr">
        <is>
          <t>Doubled down while peers fled: 'This cannot change' on workforce inclusion, CEI 100 in 2025, GLAAD research partnership on LGBTQ+ ad visibility, and queer-inclusive brand campaigns (Pantene, Gillette) sustained.</t>
        </is>
      </c>
    </row>
    <row r="82" ht="15" customHeight="1" s="42">
      <c r="A82" s="50" t="inlineStr">
        <is>
          <t>Unilever</t>
        </is>
      </c>
      <c r="B82" s="51" t="inlineStr">
        <is>
          <t>UL</t>
        </is>
      </c>
      <c r="C82" s="52" t="inlineStr">
        <is>
          <t>Consumer Goods</t>
        </is>
      </c>
      <c r="D82" s="51" t="n">
        <v>65.7</v>
      </c>
      <c r="E82" s="51" t="n">
        <v>100</v>
      </c>
      <c r="F82" s="51" t="n">
        <v>2024</v>
      </c>
      <c r="G82" s="51" t="inlineStr">
        <is>
          <t>Yes</t>
        </is>
      </c>
      <c r="H82" s="53">
        <f>MIN(20,SUMIFS(Action_Log!$F:$F,Action_Log!$A:$A,$A82,Action_Log!$D:$D,"Cosmetic")+SUMIFS(Action_Log!$F:$F,Action_Log!$A:$A,$A82,Action_Log!$D:$D,"Commercial"))+SUMIFS(Action_Log!$F:$F,Action_Log!$A:$A,$A82,Action_Log!$D:$D,"Civic")+SUMIFS(Action_Log!$F:$F,Action_Log!$A:$A,$A82,Action_Log!$D:$D,"Financial")+SUMIFS(Action_Log!$F:$F,Action_Log!$A:$A,$A82,Action_Log!$D:$D,"Structural")</f>
        <v/>
      </c>
      <c r="I82" s="54">
        <f>SUMIFS(Action_Log!$F:$F,Action_Log!$A:$A,$A82,Action_Log!$E:$E,"Negative")</f>
        <v/>
      </c>
      <c r="J82" s="55">
        <f>MAX(0,MIN(100,50+H82+I82))</f>
        <v/>
      </c>
      <c r="K82" s="56">
        <f>IF(J82&gt;=80,"Champion",IF(J82&gt;=65,"Ally",IF(J82&gt;=50,"Neutral",IF(J82&gt;=35,"Performative",IF(J82&gt;=20,"Harmful","Adversarial")))))</f>
        <v/>
      </c>
      <c r="L82" s="51" t="inlineStr">
        <is>
          <t>No</t>
        </is>
      </c>
      <c r="M82" s="51" t="inlineStr">
        <is>
          <t>No</t>
        </is>
      </c>
      <c r="N82" s="51" t="inlineStr">
        <is>
          <t>No</t>
        </is>
      </c>
      <c r="O82" s="51" t="inlineStr">
        <is>
          <t>No</t>
        </is>
      </c>
      <c r="P82" s="51" t="inlineStr">
        <is>
          <t>No</t>
        </is>
      </c>
      <c r="Q82" s="52" t="inlineStr">
        <is>
          <t>Brand-level support continues (Dove, Ben &amp; Jerry's long LGBTQ+ activism) though the 2025 dispute over muzzling Ben &amp; Jerry's political voice clouds the parent's credibility. No LGBTQ+-specific retreat documented.</t>
        </is>
      </c>
    </row>
    <row r="83" ht="15" customHeight="1" s="42">
      <c r="A83" s="57" t="inlineStr">
        <is>
          <t>Kellanova</t>
        </is>
      </c>
      <c r="B83" s="58" t="inlineStr">
        <is>
          <t>K</t>
        </is>
      </c>
      <c r="C83" s="59" t="inlineStr">
        <is>
          <t>Consumer Goods</t>
        </is>
      </c>
      <c r="D83" s="58" t="n">
        <v>12.9</v>
      </c>
      <c r="E83" s="58" t="n">
        <v>100</v>
      </c>
      <c r="F83" s="58" t="n">
        <v>2024</v>
      </c>
      <c r="G83" s="58" t="inlineStr">
        <is>
          <t>Yes</t>
        </is>
      </c>
      <c r="H83" s="60">
        <f>MIN(20,SUMIFS(Action_Log!$F:$F,Action_Log!$A:$A,$A83,Action_Log!$D:$D,"Cosmetic")+SUMIFS(Action_Log!$F:$F,Action_Log!$A:$A,$A83,Action_Log!$D:$D,"Commercial"))+SUMIFS(Action_Log!$F:$F,Action_Log!$A:$A,$A83,Action_Log!$D:$D,"Civic")+SUMIFS(Action_Log!$F:$F,Action_Log!$A:$A,$A83,Action_Log!$D:$D,"Financial")+SUMIFS(Action_Log!$F:$F,Action_Log!$A:$A,$A83,Action_Log!$D:$D,"Structural")</f>
        <v/>
      </c>
      <c r="I83" s="61">
        <f>SUMIFS(Action_Log!$F:$F,Action_Log!$A:$A,$A83,Action_Log!$E:$E,"Negative")</f>
        <v/>
      </c>
      <c r="J83" s="62">
        <f>MAX(0,MIN(100,50+H83+I83))</f>
        <v/>
      </c>
      <c r="K83" s="63">
        <f>IF(J83&gt;=80,"Champion",IF(J83&gt;=65,"Ally",IF(J83&gt;=50,"Neutral",IF(J83&gt;=35,"Performative",IF(J83&gt;=20,"Harmful","Adversarial")))))</f>
        <v/>
      </c>
      <c r="L83" s="58" t="inlineStr">
        <is>
          <t>No</t>
        </is>
      </c>
      <c r="M83" s="58" t="inlineStr">
        <is>
          <t>No</t>
        </is>
      </c>
      <c r="N83" s="58" t="inlineStr">
        <is>
          <t>No</t>
        </is>
      </c>
      <c r="O83" s="58" t="inlineStr">
        <is>
          <t>No</t>
        </is>
      </c>
      <c r="P83" s="58" t="inlineStr">
        <is>
          <t>No</t>
        </is>
      </c>
      <c r="Q83" s="59" t="inlineStr">
        <is>
          <t>Made the 'Together With Pride' GLAAD-benefiting cereal (2021, as Kellogg's) and has kept inclusive policies without joining the retreat. Modest but genuine.</t>
        </is>
      </c>
    </row>
    <row r="84" ht="15" customHeight="1" s="42">
      <c r="A84" s="50" t="inlineStr">
        <is>
          <t>General Mills</t>
        </is>
      </c>
      <c r="B84" s="51" t="inlineStr">
        <is>
          <t>GIS</t>
        </is>
      </c>
      <c r="C84" s="52" t="inlineStr">
        <is>
          <t>Consumer Goods</t>
        </is>
      </c>
      <c r="D84" s="51" t="n">
        <v>19.9</v>
      </c>
      <c r="E84" s="51" t="n">
        <v>100</v>
      </c>
      <c r="F84" s="51" t="n">
        <v>2024</v>
      </c>
      <c r="G84" s="51" t="inlineStr">
        <is>
          <t>Yes</t>
        </is>
      </c>
      <c r="H84" s="53">
        <f>MIN(20,SUMIFS(Action_Log!$F:$F,Action_Log!$A:$A,$A84,Action_Log!$D:$D,"Cosmetic")+SUMIFS(Action_Log!$F:$F,Action_Log!$A:$A,$A84,Action_Log!$D:$D,"Commercial"))+SUMIFS(Action_Log!$F:$F,Action_Log!$A:$A,$A84,Action_Log!$D:$D,"Civic")+SUMIFS(Action_Log!$F:$F,Action_Log!$A:$A,$A84,Action_Log!$D:$D,"Financial")+SUMIFS(Action_Log!$F:$F,Action_Log!$A:$A,$A84,Action_Log!$D:$D,"Structural")</f>
        <v/>
      </c>
      <c r="I84" s="54">
        <f>SUMIFS(Action_Log!$F:$F,Action_Log!$A:$A,$A84,Action_Log!$E:$E,"Negative")</f>
        <v/>
      </c>
      <c r="J84" s="55">
        <f>MAX(0,MIN(100,50+H84+I84))</f>
        <v/>
      </c>
      <c r="K84" s="56">
        <f>IF(J84&gt;=80,"Champion",IF(J84&gt;=65,"Ally",IF(J84&gt;=50,"Neutral",IF(J84&gt;=35,"Performative",IF(J84&gt;=20,"Harmful","Adversarial")))))</f>
        <v/>
      </c>
      <c r="L84" s="51" t="inlineStr">
        <is>
          <t>No</t>
        </is>
      </c>
      <c r="M84" s="51" t="inlineStr">
        <is>
          <t>No</t>
        </is>
      </c>
      <c r="N84" s="51" t="inlineStr">
        <is>
          <t>No</t>
        </is>
      </c>
      <c r="O84" s="51" t="inlineStr">
        <is>
          <t>No</t>
        </is>
      </c>
      <c r="P84" s="51" t="inlineStr">
        <is>
          <t>No</t>
        </is>
      </c>
      <c r="Q84" s="52" t="inlineStr">
        <is>
          <t>Twin Cities-headquartered holder: long CEI 100 record, betty Crocker/Lucky Charms inclusive campaigns history, no documented retreat — notable given hometown Target's collapse.</t>
        </is>
      </c>
    </row>
    <row r="85" ht="15" customHeight="1" s="42">
      <c r="A85" s="57" t="inlineStr">
        <is>
          <t>Colgate-Palmolive</t>
        </is>
      </c>
      <c r="B85" s="58" t="inlineStr">
        <is>
          <t>CL</t>
        </is>
      </c>
      <c r="C85" s="59" t="inlineStr">
        <is>
          <t>Consumer Goods</t>
        </is>
      </c>
      <c r="D85" s="58" t="n">
        <v>20.1</v>
      </c>
      <c r="E85" s="58" t="n">
        <v>100</v>
      </c>
      <c r="F85" s="58" t="n">
        <v>2024</v>
      </c>
      <c r="G85" s="58" t="inlineStr">
        <is>
          <t>Yes</t>
        </is>
      </c>
      <c r="H85" s="60">
        <f>MIN(20,SUMIFS(Action_Log!$F:$F,Action_Log!$A:$A,$A85,Action_Log!$D:$D,"Cosmetic")+SUMIFS(Action_Log!$F:$F,Action_Log!$A:$A,$A85,Action_Log!$D:$D,"Commercial"))+SUMIFS(Action_Log!$F:$F,Action_Log!$A:$A,$A85,Action_Log!$D:$D,"Civic")+SUMIFS(Action_Log!$F:$F,Action_Log!$A:$A,$A85,Action_Log!$D:$D,"Financial")+SUMIFS(Action_Log!$F:$F,Action_Log!$A:$A,$A85,Action_Log!$D:$D,"Structural")</f>
        <v/>
      </c>
      <c r="I85" s="61">
        <f>SUMIFS(Action_Log!$F:$F,Action_Log!$A:$A,$A85,Action_Log!$E:$E,"Negative")</f>
        <v/>
      </c>
      <c r="J85" s="62">
        <f>MAX(0,MIN(100,50+H85+I85))</f>
        <v/>
      </c>
      <c r="K85" s="63">
        <f>IF(J85&gt;=80,"Champion",IF(J85&gt;=65,"Ally",IF(J85&gt;=50,"Neutral",IF(J85&gt;=35,"Performative",IF(J85&gt;=20,"Harmful","Adversarial")))))</f>
        <v/>
      </c>
      <c r="L85" s="58" t="inlineStr">
        <is>
          <t>No</t>
        </is>
      </c>
      <c r="M85" s="58" t="inlineStr">
        <is>
          <t>No</t>
        </is>
      </c>
      <c r="N85" s="58" t="inlineStr">
        <is>
          <t>No</t>
        </is>
      </c>
      <c r="O85" s="58" t="inlineStr">
        <is>
          <t>No</t>
        </is>
      </c>
      <c r="P85" s="58" t="inlineStr">
        <is>
          <t>No</t>
        </is>
      </c>
      <c r="Q85" s="59" t="inlineStr">
        <is>
          <t>Quiet CEI 100 stalwart with inclusive benefits; minimal Pride marketing, no documented retreat.</t>
        </is>
      </c>
    </row>
    <row r="86" ht="23.25" customHeight="1" s="42">
      <c r="A86" s="50" t="inlineStr">
        <is>
          <t>Lockheed Martin</t>
        </is>
      </c>
      <c r="B86" s="51" t="inlineStr">
        <is>
          <t>LMT</t>
        </is>
      </c>
      <c r="C86" s="52" t="inlineStr">
        <is>
          <t>Defense &amp; Gov Contracting</t>
        </is>
      </c>
      <c r="D86" s="51" t="n">
        <v>71</v>
      </c>
      <c r="E86" s="51" t="n">
        <v>100</v>
      </c>
      <c r="F86" s="51" t="n">
        <v>2024</v>
      </c>
      <c r="G86" s="51" t="inlineStr">
        <is>
          <t>No</t>
        </is>
      </c>
      <c r="H86" s="53">
        <f>MIN(20,SUMIFS(Action_Log!$F:$F,Action_Log!$A:$A,$A86,Action_Log!$D:$D,"Cosmetic")+SUMIFS(Action_Log!$F:$F,Action_Log!$A:$A,$A86,Action_Log!$D:$D,"Commercial"))+SUMIFS(Action_Log!$F:$F,Action_Log!$A:$A,$A86,Action_Log!$D:$D,"Civic")+SUMIFS(Action_Log!$F:$F,Action_Log!$A:$A,$A86,Action_Log!$D:$D,"Financial")+SUMIFS(Action_Log!$F:$F,Action_Log!$A:$A,$A86,Action_Log!$D:$D,"Structural")</f>
        <v/>
      </c>
      <c r="I86" s="54">
        <f>SUMIFS(Action_Log!$F:$F,Action_Log!$A:$A,$A86,Action_Log!$E:$E,"Negative")</f>
        <v/>
      </c>
      <c r="J86" s="55">
        <f>MAX(0,MIN(100,50+H86+I86))</f>
        <v/>
      </c>
      <c r="K86" s="56">
        <f>IF(J86&gt;=80,"Champion",IF(J86&gt;=65,"Ally",IF(J86&gt;=50,"Neutral",IF(J86&gt;=35,"Performative",IF(J86&gt;=20,"Harmful","Adversarial")))))</f>
        <v/>
      </c>
      <c r="L86" s="51" t="inlineStr">
        <is>
          <t>Yes</t>
        </is>
      </c>
      <c r="M86" s="51" t="inlineStr">
        <is>
          <t>Yes</t>
        </is>
      </c>
      <c r="N86" s="51" t="inlineStr">
        <is>
          <t>No</t>
        </is>
      </c>
      <c r="O86" s="51" t="inlineStr">
        <is>
          <t>No</t>
        </is>
      </c>
      <c r="P86" s="51" t="inlineStr">
        <is>
          <t>No</t>
        </is>
      </c>
      <c r="Q86" s="52" t="inlineStr">
        <is>
          <t>First major defense contractor to publicly announce compliance with Trump's anti-DEI executive order (Jan 2025), unwinding years of CEI 100 standing and ERG visibility.</t>
        </is>
      </c>
    </row>
    <row r="87" ht="23.25" customHeight="1" s="42">
      <c r="A87" s="57" t="inlineStr">
        <is>
          <t>RTX (Raytheon)</t>
        </is>
      </c>
      <c r="B87" s="58" t="inlineStr">
        <is>
          <t>RTX</t>
        </is>
      </c>
      <c r="C87" s="59" t="inlineStr">
        <is>
          <t>Defense &amp; Gov Contracting</t>
        </is>
      </c>
      <c r="D87" s="58" t="n">
        <v>80.7</v>
      </c>
      <c r="E87" s="58" t="n">
        <v>100</v>
      </c>
      <c r="F87" s="58" t="n">
        <v>2024</v>
      </c>
      <c r="G87" s="58" t="inlineStr">
        <is>
          <t>No</t>
        </is>
      </c>
      <c r="H87" s="60">
        <f>MIN(20,SUMIFS(Action_Log!$F:$F,Action_Log!$A:$A,$A87,Action_Log!$D:$D,"Cosmetic")+SUMIFS(Action_Log!$F:$F,Action_Log!$A:$A,$A87,Action_Log!$D:$D,"Commercial"))+SUMIFS(Action_Log!$F:$F,Action_Log!$A:$A,$A87,Action_Log!$D:$D,"Civic")+SUMIFS(Action_Log!$F:$F,Action_Log!$A:$A,$A87,Action_Log!$D:$D,"Financial")+SUMIFS(Action_Log!$F:$F,Action_Log!$A:$A,$A87,Action_Log!$D:$D,"Structural")</f>
        <v/>
      </c>
      <c r="I87" s="61">
        <f>SUMIFS(Action_Log!$F:$F,Action_Log!$A:$A,$A87,Action_Log!$E:$E,"Negative")</f>
        <v/>
      </c>
      <c r="J87" s="62">
        <f>MAX(0,MIN(100,50+H87+I87))</f>
        <v/>
      </c>
      <c r="K87" s="63">
        <f>IF(J87&gt;=80,"Champion",IF(J87&gt;=65,"Ally",IF(J87&gt;=50,"Neutral",IF(J87&gt;=35,"Performative",IF(J87&gt;=20,"Harmful","Adversarial")))))</f>
        <v/>
      </c>
      <c r="L87" s="58" t="inlineStr">
        <is>
          <t>Yes</t>
        </is>
      </c>
      <c r="M87" s="58" t="inlineStr">
        <is>
          <t>Yes</t>
        </is>
      </c>
      <c r="N87" s="58" t="inlineStr">
        <is>
          <t>No</t>
        </is>
      </c>
      <c r="O87" s="58" t="inlineStr">
        <is>
          <t>No</t>
        </is>
      </c>
      <c r="P87" s="58" t="inlineStr">
        <is>
          <t>No</t>
        </is>
      </c>
      <c r="Q87" s="59" t="inlineStr">
        <is>
          <t>Quietly removed its DEI webpages (now dead links) in the early-2025 defense-sector scramble. Previously CEI 100 with an active Pride ERG.</t>
        </is>
      </c>
    </row>
    <row r="88" ht="23.25" customHeight="1" s="42">
      <c r="A88" s="50" t="inlineStr">
        <is>
          <t>Boeing</t>
        </is>
      </c>
      <c r="B88" s="51" t="inlineStr">
        <is>
          <t>BA</t>
        </is>
      </c>
      <c r="C88" s="52" t="inlineStr">
        <is>
          <t>Defense &amp; Gov Contracting</t>
        </is>
      </c>
      <c r="D88" s="51" t="n">
        <v>66.5</v>
      </c>
      <c r="E88" s="51" t="n">
        <v>100</v>
      </c>
      <c r="F88" s="51" t="n">
        <v>2024</v>
      </c>
      <c r="G88" s="51" t="inlineStr">
        <is>
          <t>No</t>
        </is>
      </c>
      <c r="H88" s="53">
        <f>MIN(20,SUMIFS(Action_Log!$F:$F,Action_Log!$A:$A,$A88,Action_Log!$D:$D,"Cosmetic")+SUMIFS(Action_Log!$F:$F,Action_Log!$A:$A,$A88,Action_Log!$D:$D,"Commercial"))+SUMIFS(Action_Log!$F:$F,Action_Log!$A:$A,$A88,Action_Log!$D:$D,"Civic")+SUMIFS(Action_Log!$F:$F,Action_Log!$A:$A,$A88,Action_Log!$D:$D,"Financial")+SUMIFS(Action_Log!$F:$F,Action_Log!$A:$A,$A88,Action_Log!$D:$D,"Structural")</f>
        <v/>
      </c>
      <c r="I88" s="54">
        <f>SUMIFS(Action_Log!$F:$F,Action_Log!$A:$A,$A88,Action_Log!$E:$E,"Negative")</f>
        <v/>
      </c>
      <c r="J88" s="55">
        <f>MAX(0,MIN(100,50+H88+I88))</f>
        <v/>
      </c>
      <c r="K88" s="56">
        <f>IF(J88&gt;=80,"Champion",IF(J88&gt;=65,"Ally",IF(J88&gt;=50,"Neutral",IF(J88&gt;=35,"Performative",IF(J88&gt;=20,"Harmful","Adversarial")))))</f>
        <v/>
      </c>
      <c r="L88" s="51" t="inlineStr">
        <is>
          <t>Yes</t>
        </is>
      </c>
      <c r="M88" s="51" t="inlineStr">
        <is>
          <t>Yes</t>
        </is>
      </c>
      <c r="N88" s="51" t="inlineStr">
        <is>
          <t>No</t>
        </is>
      </c>
      <c r="O88" s="51" t="inlineStr">
        <is>
          <t>No</t>
        </is>
      </c>
      <c r="P88" s="51" t="inlineStr">
        <is>
          <t>No</t>
        </is>
      </c>
      <c r="Q88" s="52" t="inlineStr">
        <is>
          <t>Dismantled its global DEI department in Nov 2024 under new CEO Ortberg — before the inauguration — then joined the sector's webpage scrub. Previously CEI 100 with a Pride ERG.</t>
        </is>
      </c>
    </row>
    <row r="89" ht="23.25" customHeight="1" s="42">
      <c r="A89" s="57" t="inlineStr">
        <is>
          <t>Palantir Technologies</t>
        </is>
      </c>
      <c r="B89" s="58" t="inlineStr">
        <is>
          <t>PLTR</t>
        </is>
      </c>
      <c r="C89" s="59" t="inlineStr">
        <is>
          <t>Defense &amp; Gov Contracting</t>
        </is>
      </c>
      <c r="D89" s="58" t="n">
        <v>2.9</v>
      </c>
      <c r="E89" s="58" t="inlineStr">
        <is>
          <t>Not rated</t>
        </is>
      </c>
      <c r="F89" s="58" t="inlineStr">
        <is>
          <t>—</t>
        </is>
      </c>
      <c r="G89" s="58" t="inlineStr">
        <is>
          <t>Never</t>
        </is>
      </c>
      <c r="H89" s="60">
        <f>MIN(20,SUMIFS(Action_Log!$F:$F,Action_Log!$A:$A,$A89,Action_Log!$D:$D,"Cosmetic")+SUMIFS(Action_Log!$F:$F,Action_Log!$A:$A,$A89,Action_Log!$D:$D,"Commercial"))+SUMIFS(Action_Log!$F:$F,Action_Log!$A:$A,$A89,Action_Log!$D:$D,"Civic")+SUMIFS(Action_Log!$F:$F,Action_Log!$A:$A,$A89,Action_Log!$D:$D,"Financial")+SUMIFS(Action_Log!$F:$F,Action_Log!$A:$A,$A89,Action_Log!$D:$D,"Structural")</f>
        <v/>
      </c>
      <c r="I89" s="61">
        <f>SUMIFS(Action_Log!$F:$F,Action_Log!$A:$A,$A89,Action_Log!$E:$E,"Negative")</f>
        <v/>
      </c>
      <c r="J89" s="62">
        <f>MAX(0,MIN(100,50+H89+I89))</f>
        <v/>
      </c>
      <c r="K89" s="63">
        <f>IF(J89&gt;=80,"Champion",IF(J89&gt;=65,"Ally",IF(J89&gt;=50,"Neutral",IF(J89&gt;=35,"Performative",IF(J89&gt;=20,"Harmful","Adversarial")))))</f>
        <v/>
      </c>
      <c r="L89" s="58" t="inlineStr">
        <is>
          <t>No</t>
        </is>
      </c>
      <c r="M89" s="58" t="inlineStr">
        <is>
          <t>No</t>
        </is>
      </c>
      <c r="N89" s="58" t="inlineStr">
        <is>
          <t>No</t>
        </is>
      </c>
      <c r="O89" s="58" t="inlineStr">
        <is>
          <t>No</t>
        </is>
      </c>
      <c r="P89" s="58" t="inlineStr">
        <is>
          <t>No</t>
        </is>
      </c>
      <c r="Q89" s="59" t="inlineStr">
        <is>
          <t>Never engaged: no Pride programs, no CEI participation, no DEI infrastructure to remove. CEO Karp brags it was 'the first company to be completely anti-woke' (Nov 2025). Scores neutral only because the taxonomy scores actions, not attitude.</t>
        </is>
      </c>
    </row>
    <row r="90" ht="15" customHeight="1" s="42">
      <c r="A90" s="57" t="inlineStr">
        <is>
          <t>Adobe</t>
        </is>
      </c>
      <c r="B90" s="58" t="inlineStr">
        <is>
          <t>ADBE</t>
        </is>
      </c>
      <c r="C90" s="59" t="inlineStr">
        <is>
          <t>Technology</t>
        </is>
      </c>
      <c r="D90" s="58" t="n">
        <v>21.5</v>
      </c>
      <c r="E90" s="58" t="n">
        <v>100</v>
      </c>
      <c r="F90" s="58" t="n">
        <v>2024</v>
      </c>
      <c r="G90" s="58" t="inlineStr">
        <is>
          <t>Yes</t>
        </is>
      </c>
      <c r="H90" s="60">
        <f>MIN(20,SUMIFS(Action_Log!$F:$F,Action_Log!$A:$A,$A90,Action_Log!$D:$D,"Cosmetic")+SUMIFS(Action_Log!$F:$F,Action_Log!$A:$A,$A90,Action_Log!$D:$D,"Commercial"))+SUMIFS(Action_Log!$F:$F,Action_Log!$A:$A,$A90,Action_Log!$D:$D,"Civic")+SUMIFS(Action_Log!$F:$F,Action_Log!$A:$A,$A90,Action_Log!$D:$D,"Financial")+SUMIFS(Action_Log!$F:$F,Action_Log!$A:$A,$A90,Action_Log!$D:$D,"Structural")</f>
        <v/>
      </c>
      <c r="I90" s="61">
        <f>SUMIFS(Action_Log!$F:$F,Action_Log!$A:$A,$A90,Action_Log!$E:$E,"Negative")</f>
        <v/>
      </c>
      <c r="J90" s="62">
        <f>MAX(0,MIN(100,50+H90+I90))</f>
        <v/>
      </c>
      <c r="K90" s="63">
        <f>IF(J90&gt;=80,"Champion",IF(J90&gt;=65,"Ally",IF(J90&gt;=50,"Neutral",IF(J90&gt;=35,"Performative",IF(J90&gt;=20,"Harmful","Adversarial")))))</f>
        <v/>
      </c>
      <c r="L90" s="58" t="inlineStr">
        <is>
          <t>No</t>
        </is>
      </c>
      <c r="M90" s="58" t="inlineStr">
        <is>
          <t>No</t>
        </is>
      </c>
      <c r="N90" s="58" t="inlineStr">
        <is>
          <t>No</t>
        </is>
      </c>
      <c r="O90" s="58" t="inlineStr">
        <is>
          <t>No</t>
        </is>
      </c>
      <c r="P90" s="58" t="inlineStr">
        <is>
          <t>No</t>
        </is>
      </c>
      <c r="Q90" s="59" t="inlineStr">
        <is>
          <t>Quiet holder: long CEI 100 record, inclusive benefits, Pride engagement maintained; absent from rollback lists.</t>
        </is>
      </c>
    </row>
    <row r="91" ht="15" customHeight="1" s="42">
      <c r="A91" s="57" t="inlineStr">
        <is>
          <t>Intel</t>
        </is>
      </c>
      <c r="B91" s="58" t="inlineStr">
        <is>
          <t>INTC</t>
        </is>
      </c>
      <c r="C91" s="59" t="inlineStr">
        <is>
          <t>Technology</t>
        </is>
      </c>
      <c r="D91" s="58" t="n">
        <v>53.1</v>
      </c>
      <c r="E91" s="58" t="n">
        <v>100</v>
      </c>
      <c r="F91" s="58" t="n">
        <v>2024</v>
      </c>
      <c r="G91" s="58" t="inlineStr">
        <is>
          <t>No</t>
        </is>
      </c>
      <c r="H91" s="60">
        <f>MIN(20,SUMIFS(Action_Log!$F:$F,Action_Log!$A:$A,$A91,Action_Log!$D:$D,"Cosmetic")+SUMIFS(Action_Log!$F:$F,Action_Log!$A:$A,$A91,Action_Log!$D:$D,"Commercial"))+SUMIFS(Action_Log!$F:$F,Action_Log!$A:$A,$A91,Action_Log!$D:$D,"Civic")+SUMIFS(Action_Log!$F:$F,Action_Log!$A:$A,$A91,Action_Log!$D:$D,"Financial")+SUMIFS(Action_Log!$F:$F,Action_Log!$A:$A,$A91,Action_Log!$D:$D,"Structural")</f>
        <v/>
      </c>
      <c r="I91" s="61">
        <f>SUMIFS(Action_Log!$F:$F,Action_Log!$A:$A,$A91,Action_Log!$E:$E,"Negative")</f>
        <v/>
      </c>
      <c r="J91" s="62">
        <f>MAX(0,MIN(100,50+H91+I91))</f>
        <v/>
      </c>
      <c r="K91" s="63">
        <f>IF(J91&gt;=80,"Champion",IF(J91&gt;=65,"Ally",IF(J91&gt;=50,"Neutral",IF(J91&gt;=35,"Performative",IF(J91&gt;=20,"Harmful","Adversarial")))))</f>
        <v/>
      </c>
      <c r="L91" s="58" t="inlineStr">
        <is>
          <t>Yes</t>
        </is>
      </c>
      <c r="M91" s="58" t="inlineStr">
        <is>
          <t>Yes</t>
        </is>
      </c>
      <c r="N91" s="58" t="inlineStr">
        <is>
          <t>No</t>
        </is>
      </c>
      <c r="O91" s="58" t="inlineStr">
        <is>
          <t>No</t>
        </is>
      </c>
      <c r="P91" s="58" t="inlineStr">
        <is>
          <t>No</t>
        </is>
      </c>
      <c r="Q91" s="59" t="inlineStr">
        <is>
          <t>Trimmed DEI language and some diversity targets from its 10-K in early 2025 while keeping its inclusion webpage and ERGs — a hedge under federal-contractor pressure.</t>
        </is>
      </c>
    </row>
    <row r="92" ht="15" customHeight="1" s="42">
      <c r="A92" s="57" t="inlineStr">
        <is>
          <t>Cisco Systems</t>
        </is>
      </c>
      <c r="B92" s="58" t="inlineStr">
        <is>
          <t>CSCO</t>
        </is>
      </c>
      <c r="C92" s="59" t="inlineStr">
        <is>
          <t>Technology</t>
        </is>
      </c>
      <c r="D92" s="58" t="n">
        <v>53.8</v>
      </c>
      <c r="E92" s="58" t="n">
        <v>100</v>
      </c>
      <c r="F92" s="58" t="n">
        <v>2025</v>
      </c>
      <c r="G92" s="58" t="inlineStr">
        <is>
          <t>Yes</t>
        </is>
      </c>
      <c r="H92" s="60">
        <f>MIN(20,SUMIFS(Action_Log!$F:$F,Action_Log!$A:$A,$A92,Action_Log!$D:$D,"Cosmetic")+SUMIFS(Action_Log!$F:$F,Action_Log!$A:$A,$A92,Action_Log!$D:$D,"Commercial"))+SUMIFS(Action_Log!$F:$F,Action_Log!$A:$A,$A92,Action_Log!$D:$D,"Civic")+SUMIFS(Action_Log!$F:$F,Action_Log!$A:$A,$A92,Action_Log!$D:$D,"Financial")+SUMIFS(Action_Log!$F:$F,Action_Log!$A:$A,$A92,Action_Log!$D:$D,"Structural")</f>
        <v/>
      </c>
      <c r="I92" s="61">
        <f>SUMIFS(Action_Log!$F:$F,Action_Log!$A:$A,$A92,Action_Log!$E:$E,"Negative")</f>
        <v/>
      </c>
      <c r="J92" s="62">
        <f>MAX(0,MIN(100,50+H92+I92))</f>
        <v/>
      </c>
      <c r="K92" s="63">
        <f>IF(J92&gt;=80,"Champion",IF(J92&gt;=65,"Ally",IF(J92&gt;=50,"Neutral",IF(J92&gt;=35,"Performative",IF(J92&gt;=20,"Harmful","Adversarial")))))</f>
        <v/>
      </c>
      <c r="L92" s="58" t="inlineStr">
        <is>
          <t>No</t>
        </is>
      </c>
      <c r="M92" s="58" t="inlineStr">
        <is>
          <t>No</t>
        </is>
      </c>
      <c r="N92" s="58" t="inlineStr">
        <is>
          <t>No</t>
        </is>
      </c>
      <c r="O92" s="58" t="inlineStr">
        <is>
          <t>No</t>
        </is>
      </c>
      <c r="P92" s="58" t="inlineStr">
        <is>
          <t>No</t>
        </is>
      </c>
      <c r="Q92" s="59" t="inlineStr">
        <is>
          <t>One of the most explicit tech holders: CEO Chuck Robbins publicly defended DEI after the January 2025 executive orders ('too much business value'). CEI 100 streak and benefits intact.</t>
        </is>
      </c>
    </row>
    <row r="93" ht="15" customHeight="1" s="42">
      <c r="A93" s="57" t="inlineStr">
        <is>
          <t>NVIDIA</t>
        </is>
      </c>
      <c r="B93" s="58" t="inlineStr">
        <is>
          <t>NVDA</t>
        </is>
      </c>
      <c r="C93" s="59" t="inlineStr">
        <is>
          <t>Technology</t>
        </is>
      </c>
      <c r="D93" s="58" t="n">
        <v>130.5</v>
      </c>
      <c r="E93" s="58" t="n">
        <v>100</v>
      </c>
      <c r="F93" s="58" t="n">
        <v>2024</v>
      </c>
      <c r="G93" s="58" t="inlineStr">
        <is>
          <t>Yes</t>
        </is>
      </c>
      <c r="H93" s="60">
        <f>MIN(20,SUMIFS(Action_Log!$F:$F,Action_Log!$A:$A,$A93,Action_Log!$D:$D,"Cosmetic")+SUMIFS(Action_Log!$F:$F,Action_Log!$A:$A,$A93,Action_Log!$D:$D,"Commercial"))+SUMIFS(Action_Log!$F:$F,Action_Log!$A:$A,$A93,Action_Log!$D:$D,"Civic")+SUMIFS(Action_Log!$F:$F,Action_Log!$A:$A,$A93,Action_Log!$D:$D,"Financial")+SUMIFS(Action_Log!$F:$F,Action_Log!$A:$A,$A93,Action_Log!$D:$D,"Structural")</f>
        <v/>
      </c>
      <c r="I93" s="61">
        <f>SUMIFS(Action_Log!$F:$F,Action_Log!$A:$A,$A93,Action_Log!$E:$E,"Negative")</f>
        <v/>
      </c>
      <c r="J93" s="62">
        <f>MAX(0,MIN(100,50+H93+I93))</f>
        <v/>
      </c>
      <c r="K93" s="63">
        <f>IF(J93&gt;=80,"Champion",IF(J93&gt;=65,"Ally",IF(J93&gt;=50,"Neutral",IF(J93&gt;=35,"Performative",IF(J93&gt;=20,"Harmful","Adversarial")))))</f>
        <v/>
      </c>
      <c r="L93" s="58" t="inlineStr">
        <is>
          <t>No</t>
        </is>
      </c>
      <c r="M93" s="58" t="inlineStr">
        <is>
          <t>No</t>
        </is>
      </c>
      <c r="N93" s="58" t="inlineStr">
        <is>
          <t>No</t>
        </is>
      </c>
      <c r="O93" s="58" t="inlineStr">
        <is>
          <t>No</t>
        </is>
      </c>
      <c r="P93" s="58" t="inlineStr">
        <is>
          <t>No</t>
        </is>
      </c>
      <c r="Q93" s="59" t="inlineStr">
        <is>
          <t>Kept its diversity, inclusion and belonging page and sustainability-report DEI section through the retreat wave (TechCrunch). Quiet, no reversal.</t>
        </is>
      </c>
    </row>
    <row r="94" ht="15" customHeight="1" s="42">
      <c r="A94" s="57" t="inlineStr">
        <is>
          <t>Qualcomm</t>
        </is>
      </c>
      <c r="B94" s="58" t="inlineStr">
        <is>
          <t>QCOM</t>
        </is>
      </c>
      <c r="C94" s="59" t="inlineStr">
        <is>
          <t>Technology</t>
        </is>
      </c>
      <c r="D94" s="58" t="n">
        <v>39</v>
      </c>
      <c r="E94" s="58" t="n">
        <v>100</v>
      </c>
      <c r="F94" s="58" t="n">
        <v>2024</v>
      </c>
      <c r="G94" s="58" t="inlineStr">
        <is>
          <t>No</t>
        </is>
      </c>
      <c r="H94" s="60">
        <f>MIN(20,SUMIFS(Action_Log!$F:$F,Action_Log!$A:$A,$A94,Action_Log!$D:$D,"Cosmetic")+SUMIFS(Action_Log!$F:$F,Action_Log!$A:$A,$A94,Action_Log!$D:$D,"Commercial"))+SUMIFS(Action_Log!$F:$F,Action_Log!$A:$A,$A94,Action_Log!$D:$D,"Civic")+SUMIFS(Action_Log!$F:$F,Action_Log!$A:$A,$A94,Action_Log!$D:$D,"Financial")+SUMIFS(Action_Log!$F:$F,Action_Log!$A:$A,$A94,Action_Log!$D:$D,"Structural")</f>
        <v/>
      </c>
      <c r="I94" s="61">
        <f>SUMIFS(Action_Log!$F:$F,Action_Log!$A:$A,$A94,Action_Log!$E:$E,"Negative")</f>
        <v/>
      </c>
      <c r="J94" s="62">
        <f>MAX(0,MIN(100,50+H94+I94))</f>
        <v/>
      </c>
      <c r="K94" s="63">
        <f>IF(J94&gt;=80,"Champion",IF(J94&gt;=65,"Ally",IF(J94&gt;=50,"Neutral",IF(J94&gt;=35,"Performative",IF(J94&gt;=20,"Harmful","Adversarial")))))</f>
        <v/>
      </c>
      <c r="L94" s="58" t="inlineStr">
        <is>
          <t>No</t>
        </is>
      </c>
      <c r="M94" s="58" t="inlineStr">
        <is>
          <t>No</t>
        </is>
      </c>
      <c r="N94" s="58" t="inlineStr">
        <is>
          <t>No</t>
        </is>
      </c>
      <c r="O94" s="58" t="inlineStr">
        <is>
          <t>No</t>
        </is>
      </c>
      <c r="P94" s="58" t="inlineStr">
        <is>
          <t>No</t>
        </is>
      </c>
      <c r="Q94" s="59" t="inlineStr">
        <is>
          <t>Quiet record: eQuality ERG and CEI 100 history; no documented reversal, low visibility.</t>
        </is>
      </c>
    </row>
    <row r="95" ht="15" customHeight="1" s="42">
      <c r="A95" s="57" t="inlineStr">
        <is>
          <t>Texas Instruments</t>
        </is>
      </c>
      <c r="B95" s="58" t="inlineStr">
        <is>
          <t>TXN</t>
        </is>
      </c>
      <c r="C95" s="59" t="inlineStr">
        <is>
          <t>Technology</t>
        </is>
      </c>
      <c r="D95" s="58" t="n">
        <v>15.6</v>
      </c>
      <c r="E95" s="58" t="n">
        <v>100</v>
      </c>
      <c r="F95" s="58" t="n">
        <v>2024</v>
      </c>
      <c r="G95" s="58" t="inlineStr">
        <is>
          <t>No</t>
        </is>
      </c>
      <c r="H95" s="60">
        <f>MIN(20,SUMIFS(Action_Log!$F:$F,Action_Log!$A:$A,$A95,Action_Log!$D:$D,"Cosmetic")+SUMIFS(Action_Log!$F:$F,Action_Log!$A:$A,$A95,Action_Log!$D:$D,"Commercial"))+SUMIFS(Action_Log!$F:$F,Action_Log!$A:$A,$A95,Action_Log!$D:$D,"Civic")+SUMIFS(Action_Log!$F:$F,Action_Log!$A:$A,$A95,Action_Log!$D:$D,"Financial")+SUMIFS(Action_Log!$F:$F,Action_Log!$A:$A,$A95,Action_Log!$D:$D,"Structural")</f>
        <v/>
      </c>
      <c r="I95" s="61">
        <f>SUMIFS(Action_Log!$F:$F,Action_Log!$A:$A,$A95,Action_Log!$E:$E,"Negative")</f>
        <v/>
      </c>
      <c r="J95" s="62">
        <f>MAX(0,MIN(100,50+H95+I95))</f>
        <v/>
      </c>
      <c r="K95" s="63">
        <f>IF(J95&gt;=80,"Champion",IF(J95&gt;=65,"Ally",IF(J95&gt;=50,"Neutral",IF(J95&gt;=35,"Performative",IF(J95&gt;=20,"Harmful","Adversarial")))))</f>
        <v/>
      </c>
      <c r="L95" s="58" t="inlineStr">
        <is>
          <t>No</t>
        </is>
      </c>
      <c r="M95" s="58" t="inlineStr">
        <is>
          <t>No</t>
        </is>
      </c>
      <c r="N95" s="58" t="inlineStr">
        <is>
          <t>No</t>
        </is>
      </c>
      <c r="O95" s="58" t="inlineStr">
        <is>
          <t>No</t>
        </is>
      </c>
      <c r="P95" s="58" t="inlineStr">
        <is>
          <t>No</t>
        </is>
      </c>
      <c r="Q95" s="59" t="inlineStr">
        <is>
          <t>CEI 100 history with minimal public Pride engagement; no documented reversal.</t>
        </is>
      </c>
    </row>
    <row r="96" ht="15" customHeight="1" s="42">
      <c r="A96" s="57" t="inlineStr">
        <is>
          <t>PayPal</t>
        </is>
      </c>
      <c r="B96" s="58" t="inlineStr">
        <is>
          <t>PYPL</t>
        </is>
      </c>
      <c r="C96" s="59" t="inlineStr">
        <is>
          <t>Technology</t>
        </is>
      </c>
      <c r="D96" s="58" t="n">
        <v>31.8</v>
      </c>
      <c r="E96" s="58" t="n">
        <v>100</v>
      </c>
      <c r="F96" s="58" t="n">
        <v>2024</v>
      </c>
      <c r="G96" s="58" t="inlineStr">
        <is>
          <t>Yes</t>
        </is>
      </c>
      <c r="H96" s="60">
        <f>MIN(20,SUMIFS(Action_Log!$F:$F,Action_Log!$A:$A,$A96,Action_Log!$D:$D,"Cosmetic")+SUMIFS(Action_Log!$F:$F,Action_Log!$A:$A,$A96,Action_Log!$D:$D,"Commercial"))+SUMIFS(Action_Log!$F:$F,Action_Log!$A:$A,$A96,Action_Log!$D:$D,"Civic")+SUMIFS(Action_Log!$F:$F,Action_Log!$A:$A,$A96,Action_Log!$D:$D,"Financial")+SUMIFS(Action_Log!$F:$F,Action_Log!$A:$A,$A96,Action_Log!$D:$D,"Structural")</f>
        <v/>
      </c>
      <c r="I96" s="61">
        <f>SUMIFS(Action_Log!$F:$F,Action_Log!$A:$A,$A96,Action_Log!$E:$E,"Negative")</f>
        <v/>
      </c>
      <c r="J96" s="62">
        <f>MAX(0,MIN(100,50+H96+I96))</f>
        <v/>
      </c>
      <c r="K96" s="63">
        <f>IF(J96&gt;=80,"Champion",IF(J96&gt;=65,"Ally",IF(J96&gt;=50,"Neutral",IF(J96&gt;=35,"Performative",IF(J96&gt;=20,"Harmful","Adversarial")))))</f>
        <v/>
      </c>
      <c r="L96" s="58" t="inlineStr">
        <is>
          <t>No</t>
        </is>
      </c>
      <c r="M96" s="58" t="inlineStr">
        <is>
          <t>No</t>
        </is>
      </c>
      <c r="N96" s="58" t="inlineStr">
        <is>
          <t>No</t>
        </is>
      </c>
      <c r="O96" s="58" t="inlineStr">
        <is>
          <t>No</t>
        </is>
      </c>
      <c r="P96" s="58" t="inlineStr">
        <is>
          <t>No</t>
        </is>
      </c>
      <c r="Q96" s="59" t="inlineStr">
        <is>
          <t>Set the structural-advocacy benchmark by canceling its 400-job Charlotte expansion over North Carolina's anti-trans HB2 law (2016). CEI 100 record; quieter today but no reversal.</t>
        </is>
      </c>
    </row>
    <row r="97" ht="15" customHeight="1" s="42">
      <c r="A97" s="57" t="inlineStr">
        <is>
          <t>Block (Square)</t>
        </is>
      </c>
      <c r="B97" s="58" t="inlineStr">
        <is>
          <t>XYZ</t>
        </is>
      </c>
      <c r="C97" s="59" t="inlineStr">
        <is>
          <t>Technology</t>
        </is>
      </c>
      <c r="D97" s="58" t="n">
        <v>24.1</v>
      </c>
      <c r="E97" s="58" t="inlineStr">
        <is>
          <t>Not rated</t>
        </is>
      </c>
      <c r="F97" s="58" t="inlineStr">
        <is>
          <t>—</t>
        </is>
      </c>
      <c r="G97" s="58" t="inlineStr">
        <is>
          <t>No</t>
        </is>
      </c>
      <c r="H97" s="60">
        <f>MIN(20,SUMIFS(Action_Log!$F:$F,Action_Log!$A:$A,$A97,Action_Log!$D:$D,"Cosmetic")+SUMIFS(Action_Log!$F:$F,Action_Log!$A:$A,$A97,Action_Log!$D:$D,"Commercial"))+SUMIFS(Action_Log!$F:$F,Action_Log!$A:$A,$A97,Action_Log!$D:$D,"Civic")+SUMIFS(Action_Log!$F:$F,Action_Log!$A:$A,$A97,Action_Log!$D:$D,"Financial")+SUMIFS(Action_Log!$F:$F,Action_Log!$A:$A,$A97,Action_Log!$D:$D,"Structural")</f>
        <v/>
      </c>
      <c r="I97" s="61">
        <f>SUMIFS(Action_Log!$F:$F,Action_Log!$A:$A,$A97,Action_Log!$E:$E,"Negative")</f>
        <v/>
      </c>
      <c r="J97" s="62">
        <f>MAX(0,MIN(100,50+H97+I97))</f>
        <v/>
      </c>
      <c r="K97" s="63">
        <f>IF(J97&gt;=80,"Champion",IF(J97&gt;=65,"Ally",IF(J97&gt;=50,"Neutral",IF(J97&gt;=35,"Performative",IF(J97&gt;=20,"Harmful","Adversarial")))))</f>
        <v/>
      </c>
      <c r="L97" s="58" t="inlineStr">
        <is>
          <t>No</t>
        </is>
      </c>
      <c r="M97" s="58" t="inlineStr">
        <is>
          <t>No</t>
        </is>
      </c>
      <c r="N97" s="58" t="inlineStr">
        <is>
          <t>No</t>
        </is>
      </c>
      <c r="O97" s="58" t="inlineStr">
        <is>
          <t>No</t>
        </is>
      </c>
      <c r="P97" s="58" t="inlineStr">
        <is>
          <t>No</t>
        </is>
      </c>
      <c r="Q97" s="59" t="inlineStr">
        <is>
          <t>No meaningful public LGBTQ+ record located in either direction; Dorsey-era culture deprioritizes cause marketing.</t>
        </is>
      </c>
    </row>
    <row r="98" ht="15" customHeight="1" s="42">
      <c r="A98" s="57" t="inlineStr">
        <is>
          <t>Uber</t>
        </is>
      </c>
      <c r="B98" s="58" t="inlineStr">
        <is>
          <t>UBER</t>
        </is>
      </c>
      <c r="C98" s="59" t="inlineStr">
        <is>
          <t>Technology</t>
        </is>
      </c>
      <c r="D98" s="58" t="n">
        <v>44</v>
      </c>
      <c r="E98" s="58" t="n">
        <v>100</v>
      </c>
      <c r="F98" s="58" t="n">
        <v>2024</v>
      </c>
      <c r="G98" s="58" t="inlineStr">
        <is>
          <t>No</t>
        </is>
      </c>
      <c r="H98" s="60">
        <f>MIN(20,SUMIFS(Action_Log!$F:$F,Action_Log!$A:$A,$A98,Action_Log!$D:$D,"Cosmetic")+SUMIFS(Action_Log!$F:$F,Action_Log!$A:$A,$A98,Action_Log!$D:$D,"Commercial"))+SUMIFS(Action_Log!$F:$F,Action_Log!$A:$A,$A98,Action_Log!$D:$D,"Civic")+SUMIFS(Action_Log!$F:$F,Action_Log!$A:$A,$A98,Action_Log!$D:$D,"Financial")+SUMIFS(Action_Log!$F:$F,Action_Log!$A:$A,$A98,Action_Log!$D:$D,"Structural")</f>
        <v/>
      </c>
      <c r="I98" s="61">
        <f>SUMIFS(Action_Log!$F:$F,Action_Log!$A:$A,$A98,Action_Log!$E:$E,"Negative")</f>
        <v/>
      </c>
      <c r="J98" s="62">
        <f>MAX(0,MIN(100,50+H98+I98))</f>
        <v/>
      </c>
      <c r="K98" s="63">
        <f>IF(J98&gt;=80,"Champion",IF(J98&gt;=65,"Ally",IF(J98&gt;=50,"Neutral",IF(J98&gt;=35,"Performative",IF(J98&gt;=20,"Harmful","Adversarial")))))</f>
        <v/>
      </c>
      <c r="L98" s="58" t="inlineStr">
        <is>
          <t>Yes</t>
        </is>
      </c>
      <c r="M98" s="58" t="inlineStr">
        <is>
          <t>Yes</t>
        </is>
      </c>
      <c r="N98" s="58" t="inlineStr">
        <is>
          <t>No</t>
        </is>
      </c>
      <c r="O98" s="58" t="inlineStr">
        <is>
          <t>No</t>
        </is>
      </c>
      <c r="P98" s="58" t="inlineStr">
        <is>
          <t>No</t>
        </is>
      </c>
      <c r="Q98" s="59" t="inlineStr">
        <is>
          <t>Eliminated its DEI-linked executive pay incentive, dropped board diversity commitments, and removed the entire diversity section from its 10-K in early 2025 (SF Examiner/TechCrunch). Pride at Uber ERG continues.</t>
        </is>
      </c>
    </row>
    <row r="99" ht="15" customHeight="1" s="42">
      <c r="A99" s="57" t="inlineStr">
        <is>
          <t>Lyft</t>
        </is>
      </c>
      <c r="B99" s="58" t="inlineStr">
        <is>
          <t>LYFT</t>
        </is>
      </c>
      <c r="C99" s="59" t="inlineStr">
        <is>
          <t>Technology</t>
        </is>
      </c>
      <c r="D99" s="58" t="n">
        <v>5.8</v>
      </c>
      <c r="E99" s="58" t="n">
        <v>100</v>
      </c>
      <c r="F99" s="58" t="n">
        <v>2024</v>
      </c>
      <c r="G99" s="58" t="inlineStr">
        <is>
          <t>No</t>
        </is>
      </c>
      <c r="H99" s="60">
        <f>MIN(20,SUMIFS(Action_Log!$F:$F,Action_Log!$A:$A,$A99,Action_Log!$D:$D,"Cosmetic")+SUMIFS(Action_Log!$F:$F,Action_Log!$A:$A,$A99,Action_Log!$D:$D,"Commercial"))+SUMIFS(Action_Log!$F:$F,Action_Log!$A:$A,$A99,Action_Log!$D:$D,"Civic")+SUMIFS(Action_Log!$F:$F,Action_Log!$A:$A,$A99,Action_Log!$D:$D,"Financial")+SUMIFS(Action_Log!$F:$F,Action_Log!$A:$A,$A99,Action_Log!$D:$D,"Structural")</f>
        <v/>
      </c>
      <c r="I99" s="61">
        <f>SUMIFS(Action_Log!$F:$F,Action_Log!$A:$A,$A99,Action_Log!$E:$E,"Negative")</f>
        <v/>
      </c>
      <c r="J99" s="62">
        <f>MAX(0,MIN(100,50+H99+I99))</f>
        <v/>
      </c>
      <c r="K99" s="63">
        <f>IF(J99&gt;=80,"Champion",IF(J99&gt;=65,"Ally",IF(J99&gt;=50,"Neutral",IF(J99&gt;=35,"Performative",IF(J99&gt;=20,"Harmful","Adversarial")))))</f>
        <v/>
      </c>
      <c r="L99" s="58" t="inlineStr">
        <is>
          <t>No</t>
        </is>
      </c>
      <c r="M99" s="58" t="inlineStr">
        <is>
          <t>No</t>
        </is>
      </c>
      <c r="N99" s="58" t="inlineStr">
        <is>
          <t>No</t>
        </is>
      </c>
      <c r="O99" s="58" t="inlineStr">
        <is>
          <t>No</t>
        </is>
      </c>
      <c r="P99" s="58" t="inlineStr">
        <is>
          <t>No</t>
        </is>
      </c>
      <c r="Q99" s="59" t="inlineStr">
        <is>
          <t>Historically progressive positioning (rider donation campaigns, Pride rides); quiet through the backlash with no documented reversal.</t>
        </is>
      </c>
    </row>
    <row r="100" ht="15" customHeight="1" s="42">
      <c r="A100" s="57" t="inlineStr">
        <is>
          <t>eBay</t>
        </is>
      </c>
      <c r="B100" s="58" t="inlineStr">
        <is>
          <t>EBAY</t>
        </is>
      </c>
      <c r="C100" s="59" t="inlineStr">
        <is>
          <t>Technology</t>
        </is>
      </c>
      <c r="D100" s="58" t="n">
        <v>10.3</v>
      </c>
      <c r="E100" s="58" t="n">
        <v>100</v>
      </c>
      <c r="F100" s="58" t="n">
        <v>2024</v>
      </c>
      <c r="G100" s="58" t="inlineStr">
        <is>
          <t>Yes</t>
        </is>
      </c>
      <c r="H100" s="60">
        <f>MIN(20,SUMIFS(Action_Log!$F:$F,Action_Log!$A:$A,$A100,Action_Log!$D:$D,"Cosmetic")+SUMIFS(Action_Log!$F:$F,Action_Log!$A:$A,$A100,Action_Log!$D:$D,"Commercial"))+SUMIFS(Action_Log!$F:$F,Action_Log!$A:$A,$A100,Action_Log!$D:$D,"Civic")+SUMIFS(Action_Log!$F:$F,Action_Log!$A:$A,$A100,Action_Log!$D:$D,"Financial")+SUMIFS(Action_Log!$F:$F,Action_Log!$A:$A,$A100,Action_Log!$D:$D,"Structural")</f>
        <v/>
      </c>
      <c r="I100" s="61">
        <f>SUMIFS(Action_Log!$F:$F,Action_Log!$A:$A,$A100,Action_Log!$E:$E,"Negative")</f>
        <v/>
      </c>
      <c r="J100" s="62">
        <f>MAX(0,MIN(100,50+H100+I100))</f>
        <v/>
      </c>
      <c r="K100" s="63">
        <f>IF(J100&gt;=80,"Champion",IF(J100&gt;=65,"Ally",IF(J100&gt;=50,"Neutral",IF(J100&gt;=35,"Performative",IF(J100&gt;=20,"Harmful","Adversarial")))))</f>
        <v/>
      </c>
      <c r="L100" s="58" t="inlineStr">
        <is>
          <t>No</t>
        </is>
      </c>
      <c r="M100" s="58" t="inlineStr">
        <is>
          <t>No</t>
        </is>
      </c>
      <c r="N100" s="58" t="inlineStr">
        <is>
          <t>No</t>
        </is>
      </c>
      <c r="O100" s="58" t="inlineStr">
        <is>
          <t>No</t>
        </is>
      </c>
      <c r="P100" s="58" t="inlineStr">
        <is>
          <t>No</t>
        </is>
      </c>
      <c r="Q100" s="59" t="inlineStr">
        <is>
          <t>Quiet CEI 100 holder with inclusive benefits; no documented reversal.</t>
        </is>
      </c>
    </row>
    <row r="101" ht="15" customHeight="1" s="42">
      <c r="A101" s="57" t="inlineStr">
        <is>
          <t>Intuit</t>
        </is>
      </c>
      <c r="B101" s="58" t="inlineStr">
        <is>
          <t>INTU</t>
        </is>
      </c>
      <c r="C101" s="59" t="inlineStr">
        <is>
          <t>Technology</t>
        </is>
      </c>
      <c r="D101" s="58" t="n">
        <v>16.3</v>
      </c>
      <c r="E101" s="58" t="n">
        <v>100</v>
      </c>
      <c r="F101" s="58" t="n">
        <v>2024</v>
      </c>
      <c r="G101" s="58" t="inlineStr">
        <is>
          <t>Yes</t>
        </is>
      </c>
      <c r="H101" s="60">
        <f>MIN(20,SUMIFS(Action_Log!$F:$F,Action_Log!$A:$A,$A101,Action_Log!$D:$D,"Cosmetic")+SUMIFS(Action_Log!$F:$F,Action_Log!$A:$A,$A101,Action_Log!$D:$D,"Commercial"))+SUMIFS(Action_Log!$F:$F,Action_Log!$A:$A,$A101,Action_Log!$D:$D,"Civic")+SUMIFS(Action_Log!$F:$F,Action_Log!$A:$A,$A101,Action_Log!$D:$D,"Financial")+SUMIFS(Action_Log!$F:$F,Action_Log!$A:$A,$A101,Action_Log!$D:$D,"Structural")</f>
        <v/>
      </c>
      <c r="I101" s="61">
        <f>SUMIFS(Action_Log!$F:$F,Action_Log!$A:$A,$A101,Action_Log!$E:$E,"Negative")</f>
        <v/>
      </c>
      <c r="J101" s="62">
        <f>MAX(0,MIN(100,50+H101+I101))</f>
        <v/>
      </c>
      <c r="K101" s="63">
        <f>IF(J101&gt;=80,"Champion",IF(J101&gt;=65,"Ally",IF(J101&gt;=50,"Neutral",IF(J101&gt;=35,"Performative",IF(J101&gt;=20,"Harmful","Adversarial")))))</f>
        <v/>
      </c>
      <c r="L101" s="58" t="inlineStr">
        <is>
          <t>No</t>
        </is>
      </c>
      <c r="M101" s="58" t="inlineStr">
        <is>
          <t>No</t>
        </is>
      </c>
      <c r="N101" s="58" t="inlineStr">
        <is>
          <t>No</t>
        </is>
      </c>
      <c r="O101" s="58" t="inlineStr">
        <is>
          <t>No</t>
        </is>
      </c>
      <c r="P101" s="58" t="inlineStr">
        <is>
          <t>No</t>
        </is>
      </c>
      <c r="Q101" s="59" t="inlineStr">
        <is>
          <t>Quiet CEI 100 holder; Pride Network ERG and inclusive benefits maintained; no documented reversal.</t>
        </is>
      </c>
    </row>
    <row r="102" ht="15" customHeight="1" s="42">
      <c r="A102" s="57" t="inlineStr">
        <is>
          <t>ServiceNow</t>
        </is>
      </c>
      <c r="B102" s="58" t="inlineStr">
        <is>
          <t>NOW</t>
        </is>
      </c>
      <c r="C102" s="59" t="inlineStr">
        <is>
          <t>Technology</t>
        </is>
      </c>
      <c r="D102" s="58" t="n">
        <v>11</v>
      </c>
      <c r="E102" s="58" t="n">
        <v>100</v>
      </c>
      <c r="F102" s="58" t="n">
        <v>2024</v>
      </c>
      <c r="G102" s="58" t="inlineStr">
        <is>
          <t>No</t>
        </is>
      </c>
      <c r="H102" s="60">
        <f>MIN(20,SUMIFS(Action_Log!$F:$F,Action_Log!$A:$A,$A102,Action_Log!$D:$D,"Cosmetic")+SUMIFS(Action_Log!$F:$F,Action_Log!$A:$A,$A102,Action_Log!$D:$D,"Commercial"))+SUMIFS(Action_Log!$F:$F,Action_Log!$A:$A,$A102,Action_Log!$D:$D,"Civic")+SUMIFS(Action_Log!$F:$F,Action_Log!$A:$A,$A102,Action_Log!$D:$D,"Financial")+SUMIFS(Action_Log!$F:$F,Action_Log!$A:$A,$A102,Action_Log!$D:$D,"Structural")</f>
        <v/>
      </c>
      <c r="I102" s="61">
        <f>SUMIFS(Action_Log!$F:$F,Action_Log!$A:$A,$A102,Action_Log!$E:$E,"Negative")</f>
        <v/>
      </c>
      <c r="J102" s="62">
        <f>MAX(0,MIN(100,50+H102+I102))</f>
        <v/>
      </c>
      <c r="K102" s="63">
        <f>IF(J102&gt;=80,"Champion",IF(J102&gt;=65,"Ally",IF(J102&gt;=50,"Neutral",IF(J102&gt;=35,"Performative",IF(J102&gt;=20,"Harmful","Adversarial")))))</f>
        <v/>
      </c>
      <c r="L102" s="58" t="inlineStr">
        <is>
          <t>No</t>
        </is>
      </c>
      <c r="M102" s="58" t="inlineStr">
        <is>
          <t>No</t>
        </is>
      </c>
      <c r="N102" s="58" t="inlineStr">
        <is>
          <t>No</t>
        </is>
      </c>
      <c r="O102" s="58" t="inlineStr">
        <is>
          <t>No</t>
        </is>
      </c>
      <c r="P102" s="58" t="inlineStr">
        <is>
          <t>No</t>
        </is>
      </c>
      <c r="Q102" s="59" t="inlineStr">
        <is>
          <t>Pride at Now ERG and inclusive policies; quiet, no documented reversal.</t>
        </is>
      </c>
    </row>
    <row r="103" ht="15" customHeight="1" s="42">
      <c r="A103" s="57" t="inlineStr">
        <is>
          <t>Snap Inc.</t>
        </is>
      </c>
      <c r="B103" s="58" t="inlineStr">
        <is>
          <t>SNAP</t>
        </is>
      </c>
      <c r="C103" s="59" t="inlineStr">
        <is>
          <t>Technology</t>
        </is>
      </c>
      <c r="D103" s="58" t="n">
        <v>5.4</v>
      </c>
      <c r="E103" s="58" t="n">
        <v>100</v>
      </c>
      <c r="F103" s="58" t="n">
        <v>2024</v>
      </c>
      <c r="G103" s="58" t="inlineStr">
        <is>
          <t>No</t>
        </is>
      </c>
      <c r="H103" s="60">
        <f>MIN(20,SUMIFS(Action_Log!$F:$F,Action_Log!$A:$A,$A103,Action_Log!$D:$D,"Cosmetic")+SUMIFS(Action_Log!$F:$F,Action_Log!$A:$A,$A103,Action_Log!$D:$D,"Commercial"))+SUMIFS(Action_Log!$F:$F,Action_Log!$A:$A,$A103,Action_Log!$D:$D,"Civic")+SUMIFS(Action_Log!$F:$F,Action_Log!$A:$A,$A103,Action_Log!$D:$D,"Financial")+SUMIFS(Action_Log!$F:$F,Action_Log!$A:$A,$A103,Action_Log!$D:$D,"Structural")</f>
        <v/>
      </c>
      <c r="I103" s="61">
        <f>SUMIFS(Action_Log!$F:$F,Action_Log!$A:$A,$A103,Action_Log!$E:$E,"Negative")</f>
        <v/>
      </c>
      <c r="J103" s="62">
        <f>MAX(0,MIN(100,50+H103+I103))</f>
        <v/>
      </c>
      <c r="K103" s="63">
        <f>IF(J103&gt;=80,"Champion",IF(J103&gt;=65,"Ally",IF(J103&gt;=50,"Neutral",IF(J103&gt;=35,"Performative",IF(J103&gt;=20,"Harmful","Adversarial")))))</f>
        <v/>
      </c>
      <c r="L103" s="58" t="inlineStr">
        <is>
          <t>No</t>
        </is>
      </c>
      <c r="M103" s="58" t="inlineStr">
        <is>
          <t>No</t>
        </is>
      </c>
      <c r="N103" s="58" t="inlineStr">
        <is>
          <t>No</t>
        </is>
      </c>
      <c r="O103" s="58" t="inlineStr">
        <is>
          <t>No</t>
        </is>
      </c>
      <c r="P103" s="58" t="inlineStr">
        <is>
          <t>No</t>
        </is>
      </c>
      <c r="Q103" s="59" t="inlineStr">
        <is>
          <t>Pride filters/lenses are an annual product feature; corporate DEI posture quiet with no clearly documented reversal.</t>
        </is>
      </c>
    </row>
    <row r="104" ht="15" customHeight="1" s="42">
      <c r="A104" s="57" t="inlineStr">
        <is>
          <t>Pinterest</t>
        </is>
      </c>
      <c r="B104" s="58" t="inlineStr">
        <is>
          <t>PINS</t>
        </is>
      </c>
      <c r="C104" s="59" t="inlineStr">
        <is>
          <t>Technology</t>
        </is>
      </c>
      <c r="D104" s="58" t="n">
        <v>3.6</v>
      </c>
      <c r="E104" s="58" t="n">
        <v>100</v>
      </c>
      <c r="F104" s="58" t="n">
        <v>2024</v>
      </c>
      <c r="G104" s="58" t="inlineStr">
        <is>
          <t>Yes</t>
        </is>
      </c>
      <c r="H104" s="60">
        <f>MIN(20,SUMIFS(Action_Log!$F:$F,Action_Log!$A:$A,$A104,Action_Log!$D:$D,"Cosmetic")+SUMIFS(Action_Log!$F:$F,Action_Log!$A:$A,$A104,Action_Log!$D:$D,"Commercial"))+SUMIFS(Action_Log!$F:$F,Action_Log!$A:$A,$A104,Action_Log!$D:$D,"Civic")+SUMIFS(Action_Log!$F:$F,Action_Log!$A:$A,$A104,Action_Log!$D:$D,"Financial")+SUMIFS(Action_Log!$F:$F,Action_Log!$A:$A,$A104,Action_Log!$D:$D,"Structural")</f>
        <v/>
      </c>
      <c r="I104" s="61">
        <f>SUMIFS(Action_Log!$F:$F,Action_Log!$A:$A,$A104,Action_Log!$E:$E,"Negative")</f>
        <v/>
      </c>
      <c r="J104" s="62">
        <f>MAX(0,MIN(100,50+H104+I104))</f>
        <v/>
      </c>
      <c r="K104" s="63">
        <f>IF(J104&gt;=80,"Champion",IF(J104&gt;=65,"Ally",IF(J104&gt;=50,"Neutral",IF(J104&gt;=35,"Performative",IF(J104&gt;=20,"Harmful","Adversarial")))))</f>
        <v/>
      </c>
      <c r="L104" s="58" t="inlineStr">
        <is>
          <t>No</t>
        </is>
      </c>
      <c r="M104" s="58" t="inlineStr">
        <is>
          <t>No</t>
        </is>
      </c>
      <c r="N104" s="58" t="inlineStr">
        <is>
          <t>No</t>
        </is>
      </c>
      <c r="O104" s="58" t="inlineStr">
        <is>
          <t>No</t>
        </is>
      </c>
      <c r="P104" s="58" t="inlineStr">
        <is>
          <t>No</t>
        </is>
      </c>
      <c r="Q104" s="59" t="inlineStr">
        <is>
          <t>Named anti-DEI political attacks as a business risk in its filings — the inverse of the scrubbing trend — and kept its inclusion commitments (TechCrunch, Fortune keeper lists).</t>
        </is>
      </c>
    </row>
    <row r="105" ht="15" customHeight="1" s="42">
      <c r="A105" s="57" t="inlineStr">
        <is>
          <t>Kroger</t>
        </is>
      </c>
      <c r="B105" s="58" t="inlineStr">
        <is>
          <t>KR</t>
        </is>
      </c>
      <c r="C105" s="59" t="inlineStr">
        <is>
          <t>Retail — Big Box</t>
        </is>
      </c>
      <c r="D105" s="58" t="n">
        <v>147.1</v>
      </c>
      <c r="E105" s="58" t="n">
        <v>100</v>
      </c>
      <c r="F105" s="58" t="n">
        <v>2024</v>
      </c>
      <c r="G105" s="58" t="inlineStr">
        <is>
          <t>No</t>
        </is>
      </c>
      <c r="H105" s="60">
        <f>MIN(20,SUMIFS(Action_Log!$F:$F,Action_Log!$A:$A,$A105,Action_Log!$D:$D,"Cosmetic")+SUMIFS(Action_Log!$F:$F,Action_Log!$A:$A,$A105,Action_Log!$D:$D,"Commercial"))+SUMIFS(Action_Log!$F:$F,Action_Log!$A:$A,$A105,Action_Log!$D:$D,"Civic")+SUMIFS(Action_Log!$F:$F,Action_Log!$A:$A,$A105,Action_Log!$D:$D,"Financial")+SUMIFS(Action_Log!$F:$F,Action_Log!$A:$A,$A105,Action_Log!$D:$D,"Structural")</f>
        <v/>
      </c>
      <c r="I105" s="61">
        <f>SUMIFS(Action_Log!$F:$F,Action_Log!$A:$A,$A105,Action_Log!$E:$E,"Negative")</f>
        <v/>
      </c>
      <c r="J105" s="62">
        <f>MAX(0,MIN(100,50+H105+I105))</f>
        <v/>
      </c>
      <c r="K105" s="63">
        <f>IF(J105&gt;=80,"Champion",IF(J105&gt;=65,"Ally",IF(J105&gt;=50,"Neutral",IF(J105&gt;=35,"Performative",IF(J105&gt;=20,"Harmful","Adversarial")))))</f>
        <v/>
      </c>
      <c r="L105" s="58" t="inlineStr">
        <is>
          <t>No</t>
        </is>
      </c>
      <c r="M105" s="58" t="inlineStr">
        <is>
          <t>No</t>
        </is>
      </c>
      <c r="N105" s="58" t="inlineStr">
        <is>
          <t>No</t>
        </is>
      </c>
      <c r="O105" s="58" t="inlineStr">
        <is>
          <t>No</t>
        </is>
      </c>
      <c r="P105" s="58" t="inlineStr">
        <is>
          <t>No</t>
        </is>
      </c>
      <c r="Q105" s="59" t="inlineStr">
        <is>
          <t>Cincinnati Pride participant with CEI 100 history; faced a 2022 lawsuit from workers refusing to wear a rainbow-like apron symbol (settled). Quiet, no reversal.</t>
        </is>
      </c>
    </row>
    <row r="106" ht="15" customHeight="1" s="42">
      <c r="A106" s="57" t="inlineStr">
        <is>
          <t>Albertsons</t>
        </is>
      </c>
      <c r="B106" s="58" t="inlineStr">
        <is>
          <t>ACI</t>
        </is>
      </c>
      <c r="C106" s="59" t="inlineStr">
        <is>
          <t>Retail — Big Box</t>
        </is>
      </c>
      <c r="D106" s="58" t="n">
        <v>79.2</v>
      </c>
      <c r="E106" s="58" t="inlineStr">
        <is>
          <t>Not rated</t>
        </is>
      </c>
      <c r="F106" s="58" t="inlineStr">
        <is>
          <t>—</t>
        </is>
      </c>
      <c r="G106" s="58" t="inlineStr">
        <is>
          <t>No</t>
        </is>
      </c>
      <c r="H106" s="60">
        <f>MIN(20,SUMIFS(Action_Log!$F:$F,Action_Log!$A:$A,$A106,Action_Log!$D:$D,"Cosmetic")+SUMIFS(Action_Log!$F:$F,Action_Log!$A:$A,$A106,Action_Log!$D:$D,"Commercial"))+SUMIFS(Action_Log!$F:$F,Action_Log!$A:$A,$A106,Action_Log!$D:$D,"Civic")+SUMIFS(Action_Log!$F:$F,Action_Log!$A:$A,$A106,Action_Log!$D:$D,"Financial")+SUMIFS(Action_Log!$F:$F,Action_Log!$A:$A,$A106,Action_Log!$D:$D,"Structural")</f>
        <v/>
      </c>
      <c r="I106" s="61">
        <f>SUMIFS(Action_Log!$F:$F,Action_Log!$A:$A,$A106,Action_Log!$E:$E,"Negative")</f>
        <v/>
      </c>
      <c r="J106" s="62">
        <f>MAX(0,MIN(100,50+H106+I106))</f>
        <v/>
      </c>
      <c r="K106" s="63">
        <f>IF(J106&gt;=80,"Champion",IF(J106&gt;=65,"Ally",IF(J106&gt;=50,"Neutral",IF(J106&gt;=35,"Performative",IF(J106&gt;=20,"Harmful","Adversarial")))))</f>
        <v/>
      </c>
      <c r="L106" s="58" t="inlineStr">
        <is>
          <t>No</t>
        </is>
      </c>
      <c r="M106" s="58" t="inlineStr">
        <is>
          <t>No</t>
        </is>
      </c>
      <c r="N106" s="58" t="inlineStr">
        <is>
          <t>No</t>
        </is>
      </c>
      <c r="O106" s="58" t="inlineStr">
        <is>
          <t>No</t>
        </is>
      </c>
      <c r="P106" s="58" t="inlineStr">
        <is>
          <t>No</t>
        </is>
      </c>
      <c r="Q106" s="59" t="inlineStr">
        <is>
          <t>Minimal public LGBTQ+ engagement; no documented reversal.</t>
        </is>
      </c>
    </row>
    <row r="107" ht="15" customHeight="1" s="42">
      <c r="A107" s="57" t="inlineStr">
        <is>
          <t>TJX Companies</t>
        </is>
      </c>
      <c r="B107" s="58" t="inlineStr">
        <is>
          <t>TJX</t>
        </is>
      </c>
      <c r="C107" s="59" t="inlineStr">
        <is>
          <t>Retail — Big Box</t>
        </is>
      </c>
      <c r="D107" s="58" t="n">
        <v>56.4</v>
      </c>
      <c r="E107" s="58" t="n">
        <v>100</v>
      </c>
      <c r="F107" s="58" t="n">
        <v>2024</v>
      </c>
      <c r="G107" s="58" t="inlineStr">
        <is>
          <t>Yes</t>
        </is>
      </c>
      <c r="H107" s="60">
        <f>MIN(20,SUMIFS(Action_Log!$F:$F,Action_Log!$A:$A,$A107,Action_Log!$D:$D,"Cosmetic")+SUMIFS(Action_Log!$F:$F,Action_Log!$A:$A,$A107,Action_Log!$D:$D,"Commercial"))+SUMIFS(Action_Log!$F:$F,Action_Log!$A:$A,$A107,Action_Log!$D:$D,"Civic")+SUMIFS(Action_Log!$F:$F,Action_Log!$A:$A,$A107,Action_Log!$D:$D,"Financial")+SUMIFS(Action_Log!$F:$F,Action_Log!$A:$A,$A107,Action_Log!$D:$D,"Structural")</f>
        <v/>
      </c>
      <c r="I107" s="61">
        <f>SUMIFS(Action_Log!$F:$F,Action_Log!$A:$A,$A107,Action_Log!$E:$E,"Negative")</f>
        <v/>
      </c>
      <c r="J107" s="62">
        <f>MAX(0,MIN(100,50+H107+I107))</f>
        <v/>
      </c>
      <c r="K107" s="63">
        <f>IF(J107&gt;=80,"Champion",IF(J107&gt;=65,"Ally",IF(J107&gt;=50,"Neutral",IF(J107&gt;=35,"Performative",IF(J107&gt;=20,"Harmful","Adversarial")))))</f>
        <v/>
      </c>
      <c r="L107" s="58" t="inlineStr">
        <is>
          <t>No</t>
        </is>
      </c>
      <c r="M107" s="58" t="inlineStr">
        <is>
          <t>No</t>
        </is>
      </c>
      <c r="N107" s="58" t="inlineStr">
        <is>
          <t>No</t>
        </is>
      </c>
      <c r="O107" s="58" t="inlineStr">
        <is>
          <t>No</t>
        </is>
      </c>
      <c r="P107" s="58" t="inlineStr">
        <is>
          <t>No</t>
        </is>
      </c>
      <c r="Q107" s="59" t="inlineStr">
        <is>
          <t>Publicly reaffirmed inclusion ('strongly committed to continuing to build a more inclusive and diverse workplace') while peers retreated. Low marketing profile by design.</t>
        </is>
      </c>
    </row>
    <row r="108" ht="15" customHeight="1" s="42">
      <c r="A108" s="57" t="inlineStr">
        <is>
          <t>Macy's</t>
        </is>
      </c>
      <c r="B108" s="58" t="inlineStr">
        <is>
          <t>M</t>
        </is>
      </c>
      <c r="C108" s="59" t="inlineStr">
        <is>
          <t>Retail — Big Box</t>
        </is>
      </c>
      <c r="D108" s="58" t="n">
        <v>22.9</v>
      </c>
      <c r="E108" s="58" t="n">
        <v>100</v>
      </c>
      <c r="F108" s="58" t="n">
        <v>2024</v>
      </c>
      <c r="G108" s="58" t="inlineStr">
        <is>
          <t>Yes</t>
        </is>
      </c>
      <c r="H108" s="60">
        <f>MIN(20,SUMIFS(Action_Log!$F:$F,Action_Log!$A:$A,$A108,Action_Log!$D:$D,"Cosmetic")+SUMIFS(Action_Log!$F:$F,Action_Log!$A:$A,$A108,Action_Log!$D:$D,"Commercial"))+SUMIFS(Action_Log!$F:$F,Action_Log!$A:$A,$A108,Action_Log!$D:$D,"Civic")+SUMIFS(Action_Log!$F:$F,Action_Log!$A:$A,$A108,Action_Log!$D:$D,"Financial")+SUMIFS(Action_Log!$F:$F,Action_Log!$A:$A,$A108,Action_Log!$D:$D,"Structural")</f>
        <v/>
      </c>
      <c r="I108" s="61">
        <f>SUMIFS(Action_Log!$F:$F,Action_Log!$A:$A,$A108,Action_Log!$E:$E,"Negative")</f>
        <v/>
      </c>
      <c r="J108" s="62">
        <f>MAX(0,MIN(100,50+H108+I108))</f>
        <v/>
      </c>
      <c r="K108" s="63">
        <f>IF(J108&gt;=80,"Champion",IF(J108&gt;=65,"Ally",IF(J108&gt;=50,"Neutral",IF(J108&gt;=35,"Performative",IF(J108&gt;=20,"Harmful","Adversarial")))))</f>
        <v/>
      </c>
      <c r="L108" s="58" t="inlineStr">
        <is>
          <t>No</t>
        </is>
      </c>
      <c r="M108" s="58" t="inlineStr">
        <is>
          <t>No</t>
        </is>
      </c>
      <c r="N108" s="58" t="inlineStr">
        <is>
          <t>No</t>
        </is>
      </c>
      <c r="O108" s="58" t="inlineStr">
        <is>
          <t>No</t>
        </is>
      </c>
      <c r="P108" s="58" t="inlineStr">
        <is>
          <t>No</t>
        </is>
      </c>
      <c r="Q108" s="59" t="inlineStr">
        <is>
          <t>Longtime visible NYC Pride presence (storefronts, Pride merchandise, parade participation) with CEI 100 record; no documented reversal.</t>
        </is>
      </c>
    </row>
    <row r="109" ht="15" customHeight="1" s="42">
      <c r="A109" s="57" t="inlineStr">
        <is>
          <t>Nordstrom</t>
        </is>
      </c>
      <c r="B109" s="58" t="inlineStr">
        <is>
          <t>JWN</t>
        </is>
      </c>
      <c r="C109" s="59" t="inlineStr">
        <is>
          <t>Retail — Big Box</t>
        </is>
      </c>
      <c r="D109" s="58" t="n">
        <v>14.7</v>
      </c>
      <c r="E109" s="58" t="n">
        <v>100</v>
      </c>
      <c r="F109" s="58" t="n">
        <v>2024</v>
      </c>
      <c r="G109" s="58" t="inlineStr">
        <is>
          <t>No</t>
        </is>
      </c>
      <c r="H109" s="60">
        <f>MIN(20,SUMIFS(Action_Log!$F:$F,Action_Log!$A:$A,$A109,Action_Log!$D:$D,"Cosmetic")+SUMIFS(Action_Log!$F:$F,Action_Log!$A:$A,$A109,Action_Log!$D:$D,"Commercial"))+SUMIFS(Action_Log!$F:$F,Action_Log!$A:$A,$A109,Action_Log!$D:$D,"Civic")+SUMIFS(Action_Log!$F:$F,Action_Log!$A:$A,$A109,Action_Log!$D:$D,"Financial")+SUMIFS(Action_Log!$F:$F,Action_Log!$A:$A,$A109,Action_Log!$D:$D,"Structural")</f>
        <v/>
      </c>
      <c r="I109" s="61">
        <f>SUMIFS(Action_Log!$F:$F,Action_Log!$A:$A,$A109,Action_Log!$E:$E,"Negative")</f>
        <v/>
      </c>
      <c r="J109" s="62">
        <f>MAX(0,MIN(100,50+H109+I109))</f>
        <v/>
      </c>
      <c r="K109" s="63">
        <f>IF(J109&gt;=80,"Champion",IF(J109&gt;=65,"Ally",IF(J109&gt;=50,"Neutral",IF(J109&gt;=35,"Performative",IF(J109&gt;=20,"Harmful","Adversarial")))))</f>
        <v/>
      </c>
      <c r="L109" s="58" t="inlineStr">
        <is>
          <t>No</t>
        </is>
      </c>
      <c r="M109" s="58" t="inlineStr">
        <is>
          <t>No</t>
        </is>
      </c>
      <c r="N109" s="58" t="inlineStr">
        <is>
          <t>No</t>
        </is>
      </c>
      <c r="O109" s="58" t="inlineStr">
        <is>
          <t>No</t>
        </is>
      </c>
      <c r="P109" s="58" t="inlineStr">
        <is>
          <t>No</t>
        </is>
      </c>
      <c r="Q109" s="59" t="inlineStr">
        <is>
          <t>Annual Pride merchandise and CEI 100 record; quiet, no documented reversal.</t>
        </is>
      </c>
    </row>
    <row r="110" ht="15" customHeight="1" s="42">
      <c r="A110" s="57" t="inlineStr">
        <is>
          <t>Kohl's</t>
        </is>
      </c>
      <c r="B110" s="58" t="inlineStr">
        <is>
          <t>KSS</t>
        </is>
      </c>
      <c r="C110" s="59" t="inlineStr">
        <is>
          <t>Retail — Big Box</t>
        </is>
      </c>
      <c r="D110" s="58" t="n">
        <v>16.2</v>
      </c>
      <c r="E110" s="58" t="n">
        <v>100</v>
      </c>
      <c r="F110" s="58" t="n">
        <v>2024</v>
      </c>
      <c r="G110" s="58" t="inlineStr">
        <is>
          <t>No</t>
        </is>
      </c>
      <c r="H110" s="60">
        <f>MIN(20,SUMIFS(Action_Log!$F:$F,Action_Log!$A:$A,$A110,Action_Log!$D:$D,"Cosmetic")+SUMIFS(Action_Log!$F:$F,Action_Log!$A:$A,$A110,Action_Log!$D:$D,"Commercial"))+SUMIFS(Action_Log!$F:$F,Action_Log!$A:$A,$A110,Action_Log!$D:$D,"Civic")+SUMIFS(Action_Log!$F:$F,Action_Log!$A:$A,$A110,Action_Log!$D:$D,"Financial")+SUMIFS(Action_Log!$F:$F,Action_Log!$A:$A,$A110,Action_Log!$D:$D,"Structural")</f>
        <v/>
      </c>
      <c r="I110" s="61">
        <f>SUMIFS(Action_Log!$F:$F,Action_Log!$A:$A,$A110,Action_Log!$E:$E,"Negative")</f>
        <v/>
      </c>
      <c r="J110" s="62">
        <f>MAX(0,MIN(100,50+H110+I110))</f>
        <v/>
      </c>
      <c r="K110" s="63">
        <f>IF(J110&gt;=80,"Champion",IF(J110&gt;=65,"Ally",IF(J110&gt;=50,"Neutral",IF(J110&gt;=35,"Performative",IF(J110&gt;=20,"Harmful","Adversarial")))))</f>
        <v/>
      </c>
      <c r="L110" s="58" t="inlineStr">
        <is>
          <t>No</t>
        </is>
      </c>
      <c r="M110" s="58" t="inlineStr">
        <is>
          <t>No</t>
        </is>
      </c>
      <c r="N110" s="58" t="inlineStr">
        <is>
          <t>No</t>
        </is>
      </c>
      <c r="O110" s="58" t="inlineStr">
        <is>
          <t>No</t>
        </is>
      </c>
      <c r="P110" s="58" t="inlineStr">
        <is>
          <t>No</t>
        </is>
      </c>
      <c r="Q110" s="59" t="inlineStr">
        <is>
          <t>Weathered a 2023 boycott over Pride-themed baby clothes without pulling the line — a small but real test passed. Quiet since.</t>
        </is>
      </c>
    </row>
    <row r="111" ht="15" customHeight="1" s="42">
      <c r="A111" s="57" t="inlineStr">
        <is>
          <t>Dollar General</t>
        </is>
      </c>
      <c r="B111" s="58" t="inlineStr">
        <is>
          <t>DG</t>
        </is>
      </c>
      <c r="C111" s="59" t="inlineStr">
        <is>
          <t>Retail — Big Box</t>
        </is>
      </c>
      <c r="D111" s="58" t="n">
        <v>40.6</v>
      </c>
      <c r="E111" s="58" t="inlineStr">
        <is>
          <t>Not rated</t>
        </is>
      </c>
      <c r="F111" s="58" t="inlineStr">
        <is>
          <t>—</t>
        </is>
      </c>
      <c r="G111" s="58" t="inlineStr">
        <is>
          <t>Never</t>
        </is>
      </c>
      <c r="H111" s="60">
        <f>MIN(20,SUMIFS(Action_Log!$F:$F,Action_Log!$A:$A,$A111,Action_Log!$D:$D,"Cosmetic")+SUMIFS(Action_Log!$F:$F,Action_Log!$A:$A,$A111,Action_Log!$D:$D,"Commercial"))+SUMIFS(Action_Log!$F:$F,Action_Log!$A:$A,$A111,Action_Log!$D:$D,"Civic")+SUMIFS(Action_Log!$F:$F,Action_Log!$A:$A,$A111,Action_Log!$D:$D,"Financial")+SUMIFS(Action_Log!$F:$F,Action_Log!$A:$A,$A111,Action_Log!$D:$D,"Structural")</f>
        <v/>
      </c>
      <c r="I111" s="61">
        <f>SUMIFS(Action_Log!$F:$F,Action_Log!$A:$A,$A111,Action_Log!$E:$E,"Negative")</f>
        <v/>
      </c>
      <c r="J111" s="62">
        <f>MAX(0,MIN(100,50+H111+I111))</f>
        <v/>
      </c>
      <c r="K111" s="63">
        <f>IF(J111&gt;=80,"Champion",IF(J111&gt;=65,"Ally",IF(J111&gt;=50,"Neutral",IF(J111&gt;=35,"Performative",IF(J111&gt;=20,"Harmful","Adversarial")))))</f>
        <v/>
      </c>
      <c r="L111" s="58" t="inlineStr">
        <is>
          <t>No</t>
        </is>
      </c>
      <c r="M111" s="58" t="inlineStr">
        <is>
          <t>No</t>
        </is>
      </c>
      <c r="N111" s="58" t="inlineStr">
        <is>
          <t>No</t>
        </is>
      </c>
      <c r="O111" s="58" t="inlineStr">
        <is>
          <t>No</t>
        </is>
      </c>
      <c r="P111" s="58" t="inlineStr">
        <is>
          <t>No</t>
        </is>
      </c>
      <c r="Q111" s="59" t="inlineStr">
        <is>
          <t>No meaningful public LGBTQ+ record located in either direction.</t>
        </is>
      </c>
    </row>
    <row r="112" ht="15" customHeight="1" s="42">
      <c r="A112" s="57" t="inlineStr">
        <is>
          <t>Dollar Tree</t>
        </is>
      </c>
      <c r="B112" s="58" t="inlineStr">
        <is>
          <t>DLTR</t>
        </is>
      </c>
      <c r="C112" s="59" t="inlineStr">
        <is>
          <t>Retail — Big Box</t>
        </is>
      </c>
      <c r="D112" s="58" t="n">
        <v>30.6</v>
      </c>
      <c r="E112" s="58" t="inlineStr">
        <is>
          <t>Not rated</t>
        </is>
      </c>
      <c r="F112" s="58" t="inlineStr">
        <is>
          <t>—</t>
        </is>
      </c>
      <c r="G112" s="58" t="inlineStr">
        <is>
          <t>Never</t>
        </is>
      </c>
      <c r="H112" s="60">
        <f>MIN(20,SUMIFS(Action_Log!$F:$F,Action_Log!$A:$A,$A112,Action_Log!$D:$D,"Cosmetic")+SUMIFS(Action_Log!$F:$F,Action_Log!$A:$A,$A112,Action_Log!$D:$D,"Commercial"))+SUMIFS(Action_Log!$F:$F,Action_Log!$A:$A,$A112,Action_Log!$D:$D,"Civic")+SUMIFS(Action_Log!$F:$F,Action_Log!$A:$A,$A112,Action_Log!$D:$D,"Financial")+SUMIFS(Action_Log!$F:$F,Action_Log!$A:$A,$A112,Action_Log!$D:$D,"Structural")</f>
        <v/>
      </c>
      <c r="I112" s="61">
        <f>SUMIFS(Action_Log!$F:$F,Action_Log!$A:$A,$A112,Action_Log!$E:$E,"Negative")</f>
        <v/>
      </c>
      <c r="J112" s="62">
        <f>MAX(0,MIN(100,50+H112+I112))</f>
        <v/>
      </c>
      <c r="K112" s="63">
        <f>IF(J112&gt;=80,"Champion",IF(J112&gt;=65,"Ally",IF(J112&gt;=50,"Neutral",IF(J112&gt;=35,"Performative",IF(J112&gt;=20,"Harmful","Adversarial")))))</f>
        <v/>
      </c>
      <c r="L112" s="58" t="inlineStr">
        <is>
          <t>No</t>
        </is>
      </c>
      <c r="M112" s="58" t="inlineStr">
        <is>
          <t>No</t>
        </is>
      </c>
      <c r="N112" s="58" t="inlineStr">
        <is>
          <t>No</t>
        </is>
      </c>
      <c r="O112" s="58" t="inlineStr">
        <is>
          <t>No</t>
        </is>
      </c>
      <c r="P112" s="58" t="inlineStr">
        <is>
          <t>No</t>
        </is>
      </c>
      <c r="Q112" s="59" t="inlineStr">
        <is>
          <t>No meaningful public LGBTQ+ record located in either direction.</t>
        </is>
      </c>
    </row>
    <row r="113" ht="15" customHeight="1" s="42">
      <c r="A113" s="57" t="inlineStr">
        <is>
          <t>Yum! Brands</t>
        </is>
      </c>
      <c r="B113" s="58" t="inlineStr">
        <is>
          <t>YUM</t>
        </is>
      </c>
      <c r="C113" s="59" t="inlineStr">
        <is>
          <t>Food &amp; Beverage</t>
        </is>
      </c>
      <c r="D113" s="58" t="n">
        <v>7.5</v>
      </c>
      <c r="E113" s="58" t="n">
        <v>100</v>
      </c>
      <c r="F113" s="58" t="n">
        <v>2024</v>
      </c>
      <c r="G113" s="58" t="inlineStr">
        <is>
          <t>No</t>
        </is>
      </c>
      <c r="H113" s="60">
        <f>MIN(20,SUMIFS(Action_Log!$F:$F,Action_Log!$A:$A,$A113,Action_Log!$D:$D,"Cosmetic")+SUMIFS(Action_Log!$F:$F,Action_Log!$A:$A,$A113,Action_Log!$D:$D,"Commercial"))+SUMIFS(Action_Log!$F:$F,Action_Log!$A:$A,$A113,Action_Log!$D:$D,"Civic")+SUMIFS(Action_Log!$F:$F,Action_Log!$A:$A,$A113,Action_Log!$D:$D,"Financial")+SUMIFS(Action_Log!$F:$F,Action_Log!$A:$A,$A113,Action_Log!$D:$D,"Structural")</f>
        <v/>
      </c>
      <c r="I113" s="61">
        <f>SUMIFS(Action_Log!$F:$F,Action_Log!$A:$A,$A113,Action_Log!$E:$E,"Negative")</f>
        <v/>
      </c>
      <c r="J113" s="62">
        <f>MAX(0,MIN(100,50+H113+I113))</f>
        <v/>
      </c>
      <c r="K113" s="63">
        <f>IF(J113&gt;=80,"Champion",IF(J113&gt;=65,"Ally",IF(J113&gt;=50,"Neutral",IF(J113&gt;=35,"Performative",IF(J113&gt;=20,"Harmful","Adversarial")))))</f>
        <v/>
      </c>
      <c r="L113" s="58" t="inlineStr">
        <is>
          <t>No</t>
        </is>
      </c>
      <c r="M113" s="58" t="inlineStr">
        <is>
          <t>No</t>
        </is>
      </c>
      <c r="N113" s="58" t="inlineStr">
        <is>
          <t>No</t>
        </is>
      </c>
      <c r="O113" s="58" t="inlineStr">
        <is>
          <t>No</t>
        </is>
      </c>
      <c r="P113" s="58" t="inlineStr">
        <is>
          <t>No</t>
        </is>
      </c>
      <c r="Q113" s="59" t="inlineStr">
        <is>
          <t>Taco Bell's Drag Brunch tour (2022) was a genuinely bold mainstream activation; corporate posture otherwise quiet with no documented reversal.</t>
        </is>
      </c>
    </row>
    <row r="114" ht="15" customHeight="1" s="42">
      <c r="A114" s="57" t="inlineStr">
        <is>
          <t>Domino's Pizza</t>
        </is>
      </c>
      <c r="B114" s="58" t="inlineStr">
        <is>
          <t>DPZ</t>
        </is>
      </c>
      <c r="C114" s="59" t="inlineStr">
        <is>
          <t>Food &amp; Beverage</t>
        </is>
      </c>
      <c r="D114" s="58" t="n">
        <v>4.7</v>
      </c>
      <c r="E114" s="58" t="inlineStr">
        <is>
          <t>Not rated</t>
        </is>
      </c>
      <c r="F114" s="58" t="inlineStr">
        <is>
          <t>—</t>
        </is>
      </c>
      <c r="G114" s="58" t="inlineStr">
        <is>
          <t>Never</t>
        </is>
      </c>
      <c r="H114" s="60">
        <f>MIN(20,SUMIFS(Action_Log!$F:$F,Action_Log!$A:$A,$A114,Action_Log!$D:$D,"Cosmetic")+SUMIFS(Action_Log!$F:$F,Action_Log!$A:$A,$A114,Action_Log!$D:$D,"Commercial"))+SUMIFS(Action_Log!$F:$F,Action_Log!$A:$A,$A114,Action_Log!$D:$D,"Civic")+SUMIFS(Action_Log!$F:$F,Action_Log!$A:$A,$A114,Action_Log!$D:$D,"Financial")+SUMIFS(Action_Log!$F:$F,Action_Log!$A:$A,$A114,Action_Log!$D:$D,"Structural")</f>
        <v/>
      </c>
      <c r="I114" s="61">
        <f>SUMIFS(Action_Log!$F:$F,Action_Log!$A:$A,$A114,Action_Log!$E:$E,"Negative")</f>
        <v/>
      </c>
      <c r="J114" s="62">
        <f>MAX(0,MIN(100,50+H114+I114))</f>
        <v/>
      </c>
      <c r="K114" s="63">
        <f>IF(J114&gt;=80,"Champion",IF(J114&gt;=65,"Ally",IF(J114&gt;=50,"Neutral",IF(J114&gt;=35,"Performative",IF(J114&gt;=20,"Harmful","Adversarial")))))</f>
        <v/>
      </c>
      <c r="L114" s="58" t="inlineStr">
        <is>
          <t>No</t>
        </is>
      </c>
      <c r="M114" s="58" t="inlineStr">
        <is>
          <t>No</t>
        </is>
      </c>
      <c r="N114" s="58" t="inlineStr">
        <is>
          <t>No</t>
        </is>
      </c>
      <c r="O114" s="58" t="inlineStr">
        <is>
          <t>No</t>
        </is>
      </c>
      <c r="P114" s="58" t="inlineStr">
        <is>
          <t>No</t>
        </is>
      </c>
      <c r="Q114" s="59" t="inlineStr">
        <is>
          <t>No meaningful public LGBTQ+ record located in either direction.</t>
        </is>
      </c>
    </row>
    <row r="115" ht="15" customHeight="1" s="42">
      <c r="A115" s="57" t="inlineStr">
        <is>
          <t>Chipotle</t>
        </is>
      </c>
      <c r="B115" s="58" t="inlineStr">
        <is>
          <t>CMG</t>
        </is>
      </c>
      <c r="C115" s="59" t="inlineStr">
        <is>
          <t>Food &amp; Beverage</t>
        </is>
      </c>
      <c r="D115" s="58" t="n">
        <v>11.3</v>
      </c>
      <c r="E115" s="58" t="n">
        <v>100</v>
      </c>
      <c r="F115" s="58" t="n">
        <v>2024</v>
      </c>
      <c r="G115" s="58" t="inlineStr">
        <is>
          <t>No</t>
        </is>
      </c>
      <c r="H115" s="60">
        <f>MIN(20,SUMIFS(Action_Log!$F:$F,Action_Log!$A:$A,$A115,Action_Log!$D:$D,"Cosmetic")+SUMIFS(Action_Log!$F:$F,Action_Log!$A:$A,$A115,Action_Log!$D:$D,"Commercial"))+SUMIFS(Action_Log!$F:$F,Action_Log!$A:$A,$A115,Action_Log!$D:$D,"Civic")+SUMIFS(Action_Log!$F:$F,Action_Log!$A:$A,$A115,Action_Log!$D:$D,"Financial")+SUMIFS(Action_Log!$F:$F,Action_Log!$A:$A,$A115,Action_Log!$D:$D,"Structural")</f>
        <v/>
      </c>
      <c r="I115" s="61">
        <f>SUMIFS(Action_Log!$F:$F,Action_Log!$A:$A,$A115,Action_Log!$E:$E,"Negative")</f>
        <v/>
      </c>
      <c r="J115" s="62">
        <f>MAX(0,MIN(100,50+H115+I115))</f>
        <v/>
      </c>
      <c r="K115" s="63">
        <f>IF(J115&gt;=80,"Champion",IF(J115&gt;=65,"Ally",IF(J115&gt;=50,"Neutral",IF(J115&gt;=35,"Performative",IF(J115&gt;=20,"Harmful","Adversarial")))))</f>
        <v/>
      </c>
      <c r="L115" s="58" t="inlineStr">
        <is>
          <t>No</t>
        </is>
      </c>
      <c r="M115" s="58" t="inlineStr">
        <is>
          <t>No</t>
        </is>
      </c>
      <c r="N115" s="58" t="inlineStr">
        <is>
          <t>No</t>
        </is>
      </c>
      <c r="O115" s="58" t="inlineStr">
        <is>
          <t>No</t>
        </is>
      </c>
      <c r="P115" s="58" t="inlineStr">
        <is>
          <t>No</t>
        </is>
      </c>
      <c r="Q115" s="59" t="inlineStr">
        <is>
          <t>Quiet: occasional Pride engagement, CEI-rated policies, no documented reversal.</t>
        </is>
      </c>
    </row>
    <row r="116" ht="15" customHeight="1" s="42">
      <c r="A116" s="57" t="inlineStr">
        <is>
          <t>Darden Restaurants</t>
        </is>
      </c>
      <c r="B116" s="58" t="inlineStr">
        <is>
          <t>DRI</t>
        </is>
      </c>
      <c r="C116" s="59" t="inlineStr">
        <is>
          <t>Food &amp; Beverage</t>
        </is>
      </c>
      <c r="D116" s="58" t="n">
        <v>11.4</v>
      </c>
      <c r="E116" s="58" t="inlineStr">
        <is>
          <t>Not rated</t>
        </is>
      </c>
      <c r="F116" s="58" t="inlineStr">
        <is>
          <t>—</t>
        </is>
      </c>
      <c r="G116" s="58" t="inlineStr">
        <is>
          <t>No</t>
        </is>
      </c>
      <c r="H116" s="60">
        <f>MIN(20,SUMIFS(Action_Log!$F:$F,Action_Log!$A:$A,$A116,Action_Log!$D:$D,"Cosmetic")+SUMIFS(Action_Log!$F:$F,Action_Log!$A:$A,$A116,Action_Log!$D:$D,"Commercial"))+SUMIFS(Action_Log!$F:$F,Action_Log!$A:$A,$A116,Action_Log!$D:$D,"Civic")+SUMIFS(Action_Log!$F:$F,Action_Log!$A:$A,$A116,Action_Log!$D:$D,"Financial")+SUMIFS(Action_Log!$F:$F,Action_Log!$A:$A,$A116,Action_Log!$D:$D,"Structural")</f>
        <v/>
      </c>
      <c r="I116" s="61">
        <f>SUMIFS(Action_Log!$F:$F,Action_Log!$A:$A,$A116,Action_Log!$E:$E,"Negative")</f>
        <v/>
      </c>
      <c r="J116" s="62">
        <f>MAX(0,MIN(100,50+H116+I116))</f>
        <v/>
      </c>
      <c r="K116" s="63">
        <f>IF(J116&gt;=80,"Champion",IF(J116&gt;=65,"Ally",IF(J116&gt;=50,"Neutral",IF(J116&gt;=35,"Performative",IF(J116&gt;=20,"Harmful","Adversarial")))))</f>
        <v/>
      </c>
      <c r="L116" s="58" t="inlineStr">
        <is>
          <t>No</t>
        </is>
      </c>
      <c r="M116" s="58" t="inlineStr">
        <is>
          <t>No</t>
        </is>
      </c>
      <c r="N116" s="58" t="inlineStr">
        <is>
          <t>No</t>
        </is>
      </c>
      <c r="O116" s="58" t="inlineStr">
        <is>
          <t>No</t>
        </is>
      </c>
      <c r="P116" s="58" t="inlineStr">
        <is>
          <t>No</t>
        </is>
      </c>
      <c r="Q116" s="59" t="inlineStr">
        <is>
          <t>Minimal public LGBTQ+ engagement; no documented reversal.</t>
        </is>
      </c>
    </row>
    <row r="117" ht="15" customHeight="1" s="42">
      <c r="A117" s="57" t="inlineStr">
        <is>
          <t>Molson Coors</t>
        </is>
      </c>
      <c r="B117" s="58" t="inlineStr">
        <is>
          <t>TAP</t>
        </is>
      </c>
      <c r="C117" s="59" t="inlineStr">
        <is>
          <t>Food &amp; Beverage</t>
        </is>
      </c>
      <c r="D117" s="58" t="n">
        <v>11.6</v>
      </c>
      <c r="E117" s="58" t="n">
        <v>75</v>
      </c>
      <c r="F117" s="58" t="n">
        <v>2025</v>
      </c>
      <c r="G117" s="58" t="inlineStr">
        <is>
          <t>No</t>
        </is>
      </c>
      <c r="H117" s="60">
        <f>MIN(20,SUMIFS(Action_Log!$F:$F,Action_Log!$A:$A,$A117,Action_Log!$D:$D,"Cosmetic")+SUMIFS(Action_Log!$F:$F,Action_Log!$A:$A,$A117,Action_Log!$D:$D,"Commercial"))+SUMIFS(Action_Log!$F:$F,Action_Log!$A:$A,$A117,Action_Log!$D:$D,"Civic")+SUMIFS(Action_Log!$F:$F,Action_Log!$A:$A,$A117,Action_Log!$D:$D,"Financial")+SUMIFS(Action_Log!$F:$F,Action_Log!$A:$A,$A117,Action_Log!$D:$D,"Structural")</f>
        <v/>
      </c>
      <c r="I117" s="61">
        <f>SUMIFS(Action_Log!$F:$F,Action_Log!$A:$A,$A117,Action_Log!$E:$E,"Negative")</f>
        <v/>
      </c>
      <c r="J117" s="62">
        <f>MAX(0,MIN(100,50+H117+I117))</f>
        <v/>
      </c>
      <c r="K117" s="63">
        <f>IF(J117&gt;=80,"Champion",IF(J117&gt;=65,"Ally",IF(J117&gt;=50,"Neutral",IF(J117&gt;=35,"Performative",IF(J117&gt;=20,"Harmful","Adversarial")))))</f>
        <v/>
      </c>
      <c r="L117" s="58" t="inlineStr">
        <is>
          <t>No</t>
        </is>
      </c>
      <c r="M117" s="58" t="inlineStr">
        <is>
          <t>Yes</t>
        </is>
      </c>
      <c r="N117" s="58" t="inlineStr">
        <is>
          <t>No</t>
        </is>
      </c>
      <c r="O117" s="58" t="inlineStr">
        <is>
          <t>No</t>
        </is>
      </c>
      <c r="P117" s="58" t="inlineStr">
        <is>
          <t>No</t>
        </is>
      </c>
      <c r="Q117" s="59" t="inlineStr">
        <is>
          <t>Sep 2024 Starbuck-campaign capitulation: ended DEI training and CEI participation — one of seven companies HRC docked -25 — after decades of Coors Light LGBTQ+ marketing dating to the post-boycott reconciliation era.</t>
        </is>
      </c>
    </row>
    <row r="118" ht="15" customHeight="1" s="42">
      <c r="A118" s="57" t="inlineStr">
        <is>
          <t>Constellation Brands</t>
        </is>
      </c>
      <c r="B118" s="58" t="inlineStr">
        <is>
          <t>STZ</t>
        </is>
      </c>
      <c r="C118" s="59" t="inlineStr">
        <is>
          <t>Food &amp; Beverage</t>
        </is>
      </c>
      <c r="D118" s="58" t="n">
        <v>10.2</v>
      </c>
      <c r="E118" s="58" t="inlineStr">
        <is>
          <t>Not rated</t>
        </is>
      </c>
      <c r="F118" s="58" t="inlineStr">
        <is>
          <t>—</t>
        </is>
      </c>
      <c r="G118" s="58" t="inlineStr">
        <is>
          <t>No</t>
        </is>
      </c>
      <c r="H118" s="60">
        <f>MIN(20,SUMIFS(Action_Log!$F:$F,Action_Log!$A:$A,$A118,Action_Log!$D:$D,"Cosmetic")+SUMIFS(Action_Log!$F:$F,Action_Log!$A:$A,$A118,Action_Log!$D:$D,"Commercial"))+SUMIFS(Action_Log!$F:$F,Action_Log!$A:$A,$A118,Action_Log!$D:$D,"Civic")+SUMIFS(Action_Log!$F:$F,Action_Log!$A:$A,$A118,Action_Log!$D:$D,"Financial")+SUMIFS(Action_Log!$F:$F,Action_Log!$A:$A,$A118,Action_Log!$D:$D,"Structural")</f>
        <v/>
      </c>
      <c r="I118" s="61">
        <f>SUMIFS(Action_Log!$F:$F,Action_Log!$A:$A,$A118,Action_Log!$E:$E,"Negative")</f>
        <v/>
      </c>
      <c r="J118" s="62">
        <f>MAX(0,MIN(100,50+H118+I118))</f>
        <v/>
      </c>
      <c r="K118" s="63">
        <f>IF(J118&gt;=80,"Champion",IF(J118&gt;=65,"Ally",IF(J118&gt;=50,"Neutral",IF(J118&gt;=35,"Performative",IF(J118&gt;=20,"Harmful","Adversarial")))))</f>
        <v/>
      </c>
      <c r="L118" s="58" t="inlineStr">
        <is>
          <t>No</t>
        </is>
      </c>
      <c r="M118" s="58" t="inlineStr">
        <is>
          <t>No</t>
        </is>
      </c>
      <c r="N118" s="58" t="inlineStr">
        <is>
          <t>No</t>
        </is>
      </c>
      <c r="O118" s="58" t="inlineStr">
        <is>
          <t>No</t>
        </is>
      </c>
      <c r="P118" s="58" t="inlineStr">
        <is>
          <t>No</t>
        </is>
      </c>
      <c r="Q118" s="59" t="inlineStr">
        <is>
          <t>Minimal public LGBTQ+ engagement; no documented reversal.</t>
        </is>
      </c>
    </row>
    <row r="119" ht="15" customHeight="1" s="42">
      <c r="A119" s="57" t="inlineStr">
        <is>
          <t>Mondelez International</t>
        </is>
      </c>
      <c r="B119" s="58" t="inlineStr">
        <is>
          <t>MDLZ</t>
        </is>
      </c>
      <c r="C119" s="59" t="inlineStr">
        <is>
          <t>Food &amp; Beverage</t>
        </is>
      </c>
      <c r="D119" s="58" t="n">
        <v>36.4</v>
      </c>
      <c r="E119" s="58" t="n">
        <v>100</v>
      </c>
      <c r="F119" s="58" t="n">
        <v>2024</v>
      </c>
      <c r="G119" s="58" t="inlineStr">
        <is>
          <t>Yes</t>
        </is>
      </c>
      <c r="H119" s="60">
        <f>MIN(20,SUMIFS(Action_Log!$F:$F,Action_Log!$A:$A,$A119,Action_Log!$D:$D,"Cosmetic")+SUMIFS(Action_Log!$F:$F,Action_Log!$A:$A,$A119,Action_Log!$D:$D,"Commercial"))+SUMIFS(Action_Log!$F:$F,Action_Log!$A:$A,$A119,Action_Log!$D:$D,"Civic")+SUMIFS(Action_Log!$F:$F,Action_Log!$A:$A,$A119,Action_Log!$D:$D,"Financial")+SUMIFS(Action_Log!$F:$F,Action_Log!$A:$A,$A119,Action_Log!$D:$D,"Structural")</f>
        <v/>
      </c>
      <c r="I119" s="61">
        <f>SUMIFS(Action_Log!$F:$F,Action_Log!$A:$A,$A119,Action_Log!$E:$E,"Negative")</f>
        <v/>
      </c>
      <c r="J119" s="62">
        <f>MAX(0,MIN(100,50+H119+I119))</f>
        <v/>
      </c>
      <c r="K119" s="63">
        <f>IF(J119&gt;=80,"Champion",IF(J119&gt;=65,"Ally",IF(J119&gt;=50,"Neutral",IF(J119&gt;=35,"Performative",IF(J119&gt;=20,"Harmful","Adversarial")))))</f>
        <v/>
      </c>
      <c r="L119" s="58" t="inlineStr">
        <is>
          <t>No</t>
        </is>
      </c>
      <c r="M119" s="58" t="inlineStr">
        <is>
          <t>No</t>
        </is>
      </c>
      <c r="N119" s="58" t="inlineStr">
        <is>
          <t>No</t>
        </is>
      </c>
      <c r="O119" s="58" t="inlineStr">
        <is>
          <t>No</t>
        </is>
      </c>
      <c r="P119" s="58" t="inlineStr">
        <is>
          <t>No</t>
        </is>
      </c>
      <c r="Q119" s="59" t="inlineStr">
        <is>
          <t>OREO's Pride campaigns (rainbow cookies 2012, 'Proud Parent' PFLAG partnership 2020-21) are among the most visible mainstream Pride marketing ever; targeted by NLPC shareholder pressure but no rollback documented.</t>
        </is>
      </c>
    </row>
    <row r="120" ht="15" customHeight="1" s="42">
      <c r="A120" s="57" t="inlineStr">
        <is>
          <t>Kraft Heinz</t>
        </is>
      </c>
      <c r="B120" s="58" t="inlineStr">
        <is>
          <t>KHC</t>
        </is>
      </c>
      <c r="C120" s="59" t="inlineStr">
        <is>
          <t>Food &amp; Beverage</t>
        </is>
      </c>
      <c r="D120" s="58" t="n">
        <v>25.8</v>
      </c>
      <c r="E120" s="58" t="inlineStr">
        <is>
          <t>Not rated</t>
        </is>
      </c>
      <c r="F120" s="58" t="inlineStr">
        <is>
          <t>—</t>
        </is>
      </c>
      <c r="G120" s="58" t="inlineStr">
        <is>
          <t>No</t>
        </is>
      </c>
      <c r="H120" s="60">
        <f>MIN(20,SUMIFS(Action_Log!$F:$F,Action_Log!$A:$A,$A120,Action_Log!$D:$D,"Cosmetic")+SUMIFS(Action_Log!$F:$F,Action_Log!$A:$A,$A120,Action_Log!$D:$D,"Commercial"))+SUMIFS(Action_Log!$F:$F,Action_Log!$A:$A,$A120,Action_Log!$D:$D,"Civic")+SUMIFS(Action_Log!$F:$F,Action_Log!$A:$A,$A120,Action_Log!$D:$D,"Financial")+SUMIFS(Action_Log!$F:$F,Action_Log!$A:$A,$A120,Action_Log!$D:$D,"Structural")</f>
        <v/>
      </c>
      <c r="I120" s="61">
        <f>SUMIFS(Action_Log!$F:$F,Action_Log!$A:$A,$A120,Action_Log!$E:$E,"Negative")</f>
        <v/>
      </c>
      <c r="J120" s="62">
        <f>MAX(0,MIN(100,50+H120+I120))</f>
        <v/>
      </c>
      <c r="K120" s="63">
        <f>IF(J120&gt;=80,"Champion",IF(J120&gt;=65,"Ally",IF(J120&gt;=50,"Neutral",IF(J120&gt;=35,"Performative",IF(J120&gt;=20,"Harmful","Adversarial")))))</f>
        <v/>
      </c>
      <c r="L120" s="58" t="inlineStr">
        <is>
          <t>No</t>
        </is>
      </c>
      <c r="M120" s="58" t="inlineStr">
        <is>
          <t>No</t>
        </is>
      </c>
      <c r="N120" s="58" t="inlineStr">
        <is>
          <t>No</t>
        </is>
      </c>
      <c r="O120" s="58" t="inlineStr">
        <is>
          <t>No</t>
        </is>
      </c>
      <c r="P120" s="58" t="inlineStr">
        <is>
          <t>No</t>
        </is>
      </c>
      <c r="Q120" s="59" t="inlineStr">
        <is>
          <t>Minimal public LGBTQ+ engagement; no documented reversal.</t>
        </is>
      </c>
    </row>
    <row r="121" ht="15" customHeight="1" s="42">
      <c r="A121" s="57" t="inlineStr">
        <is>
          <t>Hershey</t>
        </is>
      </c>
      <c r="B121" s="58" t="inlineStr">
        <is>
          <t>HSY</t>
        </is>
      </c>
      <c r="C121" s="59" t="inlineStr">
        <is>
          <t>Food &amp; Beverage</t>
        </is>
      </c>
      <c r="D121" s="58" t="n">
        <v>11.2</v>
      </c>
      <c r="E121" s="58" t="n">
        <v>100</v>
      </c>
      <c r="F121" s="58" t="n">
        <v>2024</v>
      </c>
      <c r="G121" s="58" t="inlineStr">
        <is>
          <t>Yes</t>
        </is>
      </c>
      <c r="H121" s="60">
        <f>MIN(20,SUMIFS(Action_Log!$F:$F,Action_Log!$A:$A,$A121,Action_Log!$D:$D,"Cosmetic")+SUMIFS(Action_Log!$F:$F,Action_Log!$A:$A,$A121,Action_Log!$D:$D,"Commercial"))+SUMIFS(Action_Log!$F:$F,Action_Log!$A:$A,$A121,Action_Log!$D:$D,"Civic")+SUMIFS(Action_Log!$F:$F,Action_Log!$A:$A,$A121,Action_Log!$D:$D,"Financial")+SUMIFS(Action_Log!$F:$F,Action_Log!$A:$A,$A121,Action_Log!$D:$D,"Structural")</f>
        <v/>
      </c>
      <c r="I121" s="61">
        <f>SUMIFS(Action_Log!$F:$F,Action_Log!$A:$A,$A121,Action_Log!$E:$E,"Negative")</f>
        <v/>
      </c>
      <c r="J121" s="62">
        <f>MAX(0,MIN(100,50+H121+I121))</f>
        <v/>
      </c>
      <c r="K121" s="63">
        <f>IF(J121&gt;=80,"Champion",IF(J121&gt;=65,"Ally",IF(J121&gt;=50,"Neutral",IF(J121&gt;=35,"Performative",IF(J121&gt;=20,"Harmful","Adversarial")))))</f>
        <v/>
      </c>
      <c r="L121" s="58" t="inlineStr">
        <is>
          <t>No</t>
        </is>
      </c>
      <c r="M121" s="58" t="inlineStr">
        <is>
          <t>No</t>
        </is>
      </c>
      <c r="N121" s="58" t="inlineStr">
        <is>
          <t>No</t>
        </is>
      </c>
      <c r="O121" s="58" t="inlineStr">
        <is>
          <t>No</t>
        </is>
      </c>
      <c r="P121" s="58" t="inlineStr">
        <is>
          <t>No</t>
        </is>
      </c>
      <c r="Q121" s="59" t="inlineStr">
        <is>
          <t>Stood by its 2023 Hershey's Canada campaign featuring a trans woman through a boycott attempt; CEI 100 record; otherwise quiet.</t>
        </is>
      </c>
    </row>
    <row r="122" ht="15" customHeight="1" s="42">
      <c r="A122" s="57" t="inlineStr">
        <is>
          <t>Morgan Stanley</t>
        </is>
      </c>
      <c r="B122" s="58" t="inlineStr">
        <is>
          <t>MS</t>
        </is>
      </c>
      <c r="C122" s="59" t="inlineStr">
        <is>
          <t>Financial Services</t>
        </is>
      </c>
      <c r="D122" s="58" t="n">
        <v>61.8</v>
      </c>
      <c r="E122" s="58" t="n">
        <v>100</v>
      </c>
      <c r="F122" s="58" t="n">
        <v>2024</v>
      </c>
      <c r="G122" s="58" t="inlineStr">
        <is>
          <t>Yes</t>
        </is>
      </c>
      <c r="H122" s="60">
        <f>MIN(20,SUMIFS(Action_Log!$F:$F,Action_Log!$A:$A,$A122,Action_Log!$D:$D,"Cosmetic")+SUMIFS(Action_Log!$F:$F,Action_Log!$A:$A,$A122,Action_Log!$D:$D,"Commercial"))+SUMIFS(Action_Log!$F:$F,Action_Log!$A:$A,$A122,Action_Log!$D:$D,"Civic")+SUMIFS(Action_Log!$F:$F,Action_Log!$A:$A,$A122,Action_Log!$D:$D,"Financial")+SUMIFS(Action_Log!$F:$F,Action_Log!$A:$A,$A122,Action_Log!$D:$D,"Structural")</f>
        <v/>
      </c>
      <c r="I122" s="61">
        <f>SUMIFS(Action_Log!$F:$F,Action_Log!$A:$A,$A122,Action_Log!$E:$E,"Negative")</f>
        <v/>
      </c>
      <c r="J122" s="62">
        <f>MAX(0,MIN(100,50+H122+I122))</f>
        <v/>
      </c>
      <c r="K122" s="63">
        <f>IF(J122&gt;=80,"Champion",IF(J122&gt;=65,"Ally",IF(J122&gt;=50,"Neutral",IF(J122&gt;=35,"Performative",IF(J122&gt;=20,"Harmful","Adversarial")))))</f>
        <v/>
      </c>
      <c r="L122" s="58" t="inlineStr">
        <is>
          <t>No</t>
        </is>
      </c>
      <c r="M122" s="58" t="inlineStr">
        <is>
          <t>No</t>
        </is>
      </c>
      <c r="N122" s="58" t="inlineStr">
        <is>
          <t>No</t>
        </is>
      </c>
      <c r="O122" s="58" t="inlineStr">
        <is>
          <t>No</t>
        </is>
      </c>
      <c r="P122" s="58" t="inlineStr">
        <is>
          <t>No</t>
        </is>
      </c>
      <c r="Q122" s="59" t="inlineStr">
        <is>
          <t>Quiet CEI 100 holder; Pride &amp; Allies network maintained; no documented reversal.</t>
        </is>
      </c>
    </row>
    <row r="123" ht="15" customHeight="1" s="42">
      <c r="A123" s="57" t="inlineStr">
        <is>
          <t>BlackRock</t>
        </is>
      </c>
      <c r="B123" s="58" t="inlineStr">
        <is>
          <t>BLK</t>
        </is>
      </c>
      <c r="C123" s="59" t="inlineStr">
        <is>
          <t>Financial Services</t>
        </is>
      </c>
      <c r="D123" s="58" t="n">
        <v>20.4</v>
      </c>
      <c r="E123" s="58" t="n">
        <v>100</v>
      </c>
      <c r="F123" s="58" t="n">
        <v>2024</v>
      </c>
      <c r="G123" s="58" t="inlineStr">
        <is>
          <t>No</t>
        </is>
      </c>
      <c r="H123" s="60">
        <f>MIN(20,SUMIFS(Action_Log!$F:$F,Action_Log!$A:$A,$A123,Action_Log!$D:$D,"Cosmetic")+SUMIFS(Action_Log!$F:$F,Action_Log!$A:$A,$A123,Action_Log!$D:$D,"Commercial"))+SUMIFS(Action_Log!$F:$F,Action_Log!$A:$A,$A123,Action_Log!$D:$D,"Civic")+SUMIFS(Action_Log!$F:$F,Action_Log!$A:$A,$A123,Action_Log!$D:$D,"Financial")+SUMIFS(Action_Log!$F:$F,Action_Log!$A:$A,$A123,Action_Log!$D:$D,"Structural")</f>
        <v/>
      </c>
      <c r="I123" s="61">
        <f>SUMIFS(Action_Log!$F:$F,Action_Log!$A:$A,$A123,Action_Log!$E:$E,"Negative")</f>
        <v/>
      </c>
      <c r="J123" s="62">
        <f>MAX(0,MIN(100,50+H123+I123))</f>
        <v/>
      </c>
      <c r="K123" s="63">
        <f>IF(J123&gt;=80,"Champion",IF(J123&gt;=65,"Ally",IF(J123&gt;=50,"Neutral",IF(J123&gt;=35,"Performative",IF(J123&gt;=20,"Harmful","Adversarial")))))</f>
        <v/>
      </c>
      <c r="L123" s="58" t="inlineStr">
        <is>
          <t>Yes</t>
        </is>
      </c>
      <c r="M123" s="58" t="inlineStr">
        <is>
          <t>Yes</t>
        </is>
      </c>
      <c r="N123" s="58" t="inlineStr">
        <is>
          <t>No</t>
        </is>
      </c>
      <c r="O123" s="58" t="inlineStr">
        <is>
          <t>No</t>
        </is>
      </c>
      <c r="P123" s="58" t="inlineStr">
        <is>
          <t>No</t>
        </is>
      </c>
      <c r="Q123" s="59" t="inlineStr">
        <is>
          <t>Dropped its workforce diversity targets and DEI language from filings and Fink's annual letter in early 2025 — the asset manager that once pushed boards on diversity stopped asking.</t>
        </is>
      </c>
    </row>
    <row r="124" ht="15" customHeight="1" s="42">
      <c r="A124" s="57" t="inlineStr">
        <is>
          <t>U.S. Bancorp</t>
        </is>
      </c>
      <c r="B124" s="58" t="inlineStr">
        <is>
          <t>USB</t>
        </is>
      </c>
      <c r="C124" s="59" t="inlineStr">
        <is>
          <t>Financial Services</t>
        </is>
      </c>
      <c r="D124" s="58" t="n">
        <v>27.5</v>
      </c>
      <c r="E124" s="58" t="n">
        <v>100</v>
      </c>
      <c r="F124" s="58" t="n">
        <v>2024</v>
      </c>
      <c r="G124" s="58" t="inlineStr">
        <is>
          <t>No</t>
        </is>
      </c>
      <c r="H124" s="60">
        <f>MIN(20,SUMIFS(Action_Log!$F:$F,Action_Log!$A:$A,$A124,Action_Log!$D:$D,"Cosmetic")+SUMIFS(Action_Log!$F:$F,Action_Log!$A:$A,$A124,Action_Log!$D:$D,"Commercial"))+SUMIFS(Action_Log!$F:$F,Action_Log!$A:$A,$A124,Action_Log!$D:$D,"Civic")+SUMIFS(Action_Log!$F:$F,Action_Log!$A:$A,$A124,Action_Log!$D:$D,"Financial")+SUMIFS(Action_Log!$F:$F,Action_Log!$A:$A,$A124,Action_Log!$D:$D,"Structural")</f>
        <v/>
      </c>
      <c r="I124" s="61">
        <f>SUMIFS(Action_Log!$F:$F,Action_Log!$A:$A,$A124,Action_Log!$E:$E,"Negative")</f>
        <v/>
      </c>
      <c r="J124" s="62">
        <f>MAX(0,MIN(100,50+H124+I124))</f>
        <v/>
      </c>
      <c r="K124" s="63">
        <f>IF(J124&gt;=80,"Champion",IF(J124&gt;=65,"Ally",IF(J124&gt;=50,"Neutral",IF(J124&gt;=35,"Performative",IF(J124&gt;=20,"Harmful","Adversarial")))))</f>
        <v/>
      </c>
      <c r="L124" s="58" t="inlineStr">
        <is>
          <t>No</t>
        </is>
      </c>
      <c r="M124" s="58" t="inlineStr">
        <is>
          <t>No</t>
        </is>
      </c>
      <c r="N124" s="58" t="inlineStr">
        <is>
          <t>No</t>
        </is>
      </c>
      <c r="O124" s="58" t="inlineStr">
        <is>
          <t>No</t>
        </is>
      </c>
      <c r="P124" s="58" t="inlineStr">
        <is>
          <t>No</t>
        </is>
      </c>
      <c r="Q124" s="59" t="inlineStr">
        <is>
          <t>Quiet CEI 100 holder; Twin Cities Pride sponsorship history; no documented reversal.</t>
        </is>
      </c>
    </row>
    <row r="125" ht="15" customHeight="1" s="42">
      <c r="A125" s="57" t="inlineStr">
        <is>
          <t>PNC Financial Services</t>
        </is>
      </c>
      <c r="B125" s="58" t="inlineStr">
        <is>
          <t>PNC</t>
        </is>
      </c>
      <c r="C125" s="59" t="inlineStr">
        <is>
          <t>Financial Services</t>
        </is>
      </c>
      <c r="D125" s="58" t="n">
        <v>21.6</v>
      </c>
      <c r="E125" s="58" t="n">
        <v>100</v>
      </c>
      <c r="F125" s="58" t="n">
        <v>2024</v>
      </c>
      <c r="G125" s="58" t="inlineStr">
        <is>
          <t>No</t>
        </is>
      </c>
      <c r="H125" s="60">
        <f>MIN(20,SUMIFS(Action_Log!$F:$F,Action_Log!$A:$A,$A125,Action_Log!$D:$D,"Cosmetic")+SUMIFS(Action_Log!$F:$F,Action_Log!$A:$A,$A125,Action_Log!$D:$D,"Commercial"))+SUMIFS(Action_Log!$F:$F,Action_Log!$A:$A,$A125,Action_Log!$D:$D,"Civic")+SUMIFS(Action_Log!$F:$F,Action_Log!$A:$A,$A125,Action_Log!$D:$D,"Financial")+SUMIFS(Action_Log!$F:$F,Action_Log!$A:$A,$A125,Action_Log!$D:$D,"Structural")</f>
        <v/>
      </c>
      <c r="I125" s="61">
        <f>SUMIFS(Action_Log!$F:$F,Action_Log!$A:$A,$A125,Action_Log!$E:$E,"Negative")</f>
        <v/>
      </c>
      <c r="J125" s="62">
        <f>MAX(0,MIN(100,50+H125+I125))</f>
        <v/>
      </c>
      <c r="K125" s="63">
        <f>IF(J125&gt;=80,"Champion",IF(J125&gt;=65,"Ally",IF(J125&gt;=50,"Neutral",IF(J125&gt;=35,"Performative",IF(J125&gt;=20,"Harmful","Adversarial")))))</f>
        <v/>
      </c>
      <c r="L125" s="58" t="inlineStr">
        <is>
          <t>No</t>
        </is>
      </c>
      <c r="M125" s="58" t="inlineStr">
        <is>
          <t>No</t>
        </is>
      </c>
      <c r="N125" s="58" t="inlineStr">
        <is>
          <t>No</t>
        </is>
      </c>
      <c r="O125" s="58" t="inlineStr">
        <is>
          <t>No</t>
        </is>
      </c>
      <c r="P125" s="58" t="inlineStr">
        <is>
          <t>No</t>
        </is>
      </c>
      <c r="Q125" s="59" t="inlineStr">
        <is>
          <t>Minimal public engagement; CEI 100 history; no documented reversal.</t>
        </is>
      </c>
    </row>
    <row r="126" ht="15" customHeight="1" s="42">
      <c r="A126" s="57" t="inlineStr">
        <is>
          <t>Capital One</t>
        </is>
      </c>
      <c r="B126" s="58" t="inlineStr">
        <is>
          <t>COF</t>
        </is>
      </c>
      <c r="C126" s="59" t="inlineStr">
        <is>
          <t>Financial Services</t>
        </is>
      </c>
      <c r="D126" s="58" t="n">
        <v>39.1</v>
      </c>
      <c r="E126" s="58" t="n">
        <v>100</v>
      </c>
      <c r="F126" s="58" t="n">
        <v>2024</v>
      </c>
      <c r="G126" s="58" t="inlineStr">
        <is>
          <t>No</t>
        </is>
      </c>
      <c r="H126" s="60">
        <f>MIN(20,SUMIFS(Action_Log!$F:$F,Action_Log!$A:$A,$A126,Action_Log!$D:$D,"Cosmetic")+SUMIFS(Action_Log!$F:$F,Action_Log!$A:$A,$A126,Action_Log!$D:$D,"Commercial"))+SUMIFS(Action_Log!$F:$F,Action_Log!$A:$A,$A126,Action_Log!$D:$D,"Civic")+SUMIFS(Action_Log!$F:$F,Action_Log!$A:$A,$A126,Action_Log!$D:$D,"Financial")+SUMIFS(Action_Log!$F:$F,Action_Log!$A:$A,$A126,Action_Log!$D:$D,"Structural")</f>
        <v/>
      </c>
      <c r="I126" s="61">
        <f>SUMIFS(Action_Log!$F:$F,Action_Log!$A:$A,$A126,Action_Log!$E:$E,"Negative")</f>
        <v/>
      </c>
      <c r="J126" s="62">
        <f>MAX(0,MIN(100,50+H126+I126))</f>
        <v/>
      </c>
      <c r="K126" s="63">
        <f>IF(J126&gt;=80,"Champion",IF(J126&gt;=65,"Ally",IF(J126&gt;=50,"Neutral",IF(J126&gt;=35,"Performative",IF(J126&gt;=20,"Harmful","Adversarial")))))</f>
        <v/>
      </c>
      <c r="L126" s="58" t="inlineStr">
        <is>
          <t>No</t>
        </is>
      </c>
      <c r="M126" s="58" t="inlineStr">
        <is>
          <t>No</t>
        </is>
      </c>
      <c r="N126" s="58" t="inlineStr">
        <is>
          <t>No</t>
        </is>
      </c>
      <c r="O126" s="58" t="inlineStr">
        <is>
          <t>No</t>
        </is>
      </c>
      <c r="P126" s="58" t="inlineStr">
        <is>
          <t>No</t>
        </is>
      </c>
      <c r="Q126" s="59" t="inlineStr">
        <is>
          <t>Out Front ERG and CEI 100 record; Pride engagement at HQ markets; no documented reversal.</t>
        </is>
      </c>
    </row>
    <row r="127" ht="15" customHeight="1" s="42">
      <c r="A127" s="57" t="inlineStr">
        <is>
          <t>Discover Financial Services</t>
        </is>
      </c>
      <c r="B127" s="58" t="inlineStr">
        <is>
          <t>DFS</t>
        </is>
      </c>
      <c r="C127" s="59" t="inlineStr">
        <is>
          <t>Financial Services</t>
        </is>
      </c>
      <c r="D127" s="58" t="n">
        <v>20.1</v>
      </c>
      <c r="E127" s="58" t="n">
        <v>100</v>
      </c>
      <c r="F127" s="58" t="n">
        <v>2024</v>
      </c>
      <c r="G127" s="58" t="inlineStr">
        <is>
          <t>No</t>
        </is>
      </c>
      <c r="H127" s="60">
        <f>MIN(20,SUMIFS(Action_Log!$F:$F,Action_Log!$A:$A,$A127,Action_Log!$D:$D,"Cosmetic")+SUMIFS(Action_Log!$F:$F,Action_Log!$A:$A,$A127,Action_Log!$D:$D,"Commercial"))+SUMIFS(Action_Log!$F:$F,Action_Log!$A:$A,$A127,Action_Log!$D:$D,"Civic")+SUMIFS(Action_Log!$F:$F,Action_Log!$A:$A,$A127,Action_Log!$D:$D,"Financial")+SUMIFS(Action_Log!$F:$F,Action_Log!$A:$A,$A127,Action_Log!$D:$D,"Structural")</f>
        <v/>
      </c>
      <c r="I127" s="61">
        <f>SUMIFS(Action_Log!$F:$F,Action_Log!$A:$A,$A127,Action_Log!$E:$E,"Negative")</f>
        <v/>
      </c>
      <c r="J127" s="62">
        <f>MAX(0,MIN(100,50+H127+I127))</f>
        <v/>
      </c>
      <c r="K127" s="63">
        <f>IF(J127&gt;=80,"Champion",IF(J127&gt;=65,"Ally",IF(J127&gt;=50,"Neutral",IF(J127&gt;=35,"Performative",IF(J127&gt;=20,"Harmful","Adversarial")))))</f>
        <v/>
      </c>
      <c r="L127" s="58" t="inlineStr">
        <is>
          <t>No</t>
        </is>
      </c>
      <c r="M127" s="58" t="inlineStr">
        <is>
          <t>No</t>
        </is>
      </c>
      <c r="N127" s="58" t="inlineStr">
        <is>
          <t>No</t>
        </is>
      </c>
      <c r="O127" s="58" t="inlineStr">
        <is>
          <t>No</t>
        </is>
      </c>
      <c r="P127" s="58" t="inlineStr">
        <is>
          <t>No</t>
        </is>
      </c>
      <c r="Q127" s="59" t="inlineStr">
        <is>
          <t>Minimal public engagement; merging into Capital One; no documented reversal.</t>
        </is>
      </c>
    </row>
    <row r="128" ht="15" customHeight="1" s="42">
      <c r="A128" s="57" t="inlineStr">
        <is>
          <t>Progressive Corporation</t>
        </is>
      </c>
      <c r="B128" s="58" t="inlineStr">
        <is>
          <t>PGR</t>
        </is>
      </c>
      <c r="C128" s="59" t="inlineStr">
        <is>
          <t>Financial Services</t>
        </is>
      </c>
      <c r="D128" s="58" t="n">
        <v>75.3</v>
      </c>
      <c r="E128" s="58" t="n">
        <v>100</v>
      </c>
      <c r="F128" s="58" t="n">
        <v>2024</v>
      </c>
      <c r="G128" s="58" t="inlineStr">
        <is>
          <t>Yes</t>
        </is>
      </c>
      <c r="H128" s="60">
        <f>MIN(20,SUMIFS(Action_Log!$F:$F,Action_Log!$A:$A,$A128,Action_Log!$D:$D,"Cosmetic")+SUMIFS(Action_Log!$F:$F,Action_Log!$A:$A,$A128,Action_Log!$D:$D,"Commercial"))+SUMIFS(Action_Log!$F:$F,Action_Log!$A:$A,$A128,Action_Log!$D:$D,"Civic")+SUMIFS(Action_Log!$F:$F,Action_Log!$A:$A,$A128,Action_Log!$D:$D,"Financial")+SUMIFS(Action_Log!$F:$F,Action_Log!$A:$A,$A128,Action_Log!$D:$D,"Structural")</f>
        <v/>
      </c>
      <c r="I128" s="61">
        <f>SUMIFS(Action_Log!$F:$F,Action_Log!$A:$A,$A128,Action_Log!$E:$E,"Negative")</f>
        <v/>
      </c>
      <c r="J128" s="62">
        <f>MAX(0,MIN(100,50+H128+I128))</f>
        <v/>
      </c>
      <c r="K128" s="63">
        <f>IF(J128&gt;=80,"Champion",IF(J128&gt;=65,"Ally",IF(J128&gt;=50,"Neutral",IF(J128&gt;=35,"Performative",IF(J128&gt;=20,"Harmful","Adversarial")))))</f>
        <v/>
      </c>
      <c r="L128" s="58" t="inlineStr">
        <is>
          <t>No</t>
        </is>
      </c>
      <c r="M128" s="58" t="inlineStr">
        <is>
          <t>No</t>
        </is>
      </c>
      <c r="N128" s="58" t="inlineStr">
        <is>
          <t>No</t>
        </is>
      </c>
      <c r="O128" s="58" t="inlineStr">
        <is>
          <t>No</t>
        </is>
      </c>
      <c r="P128" s="58" t="inlineStr">
        <is>
          <t>No</t>
        </is>
      </c>
      <c r="Q128" s="59" t="inlineStr">
        <is>
          <t>Kept LGBTQ+-inclusive advertising (queer couples and families in mainstream campaigns) through repeated boycott calls; CEI 100 record; no reversal.</t>
        </is>
      </c>
    </row>
    <row r="129" ht="15" customHeight="1" s="42">
      <c r="A129" s="57" t="inlineStr">
        <is>
          <t>Allstate</t>
        </is>
      </c>
      <c r="B129" s="58" t="inlineStr">
        <is>
          <t>ALL</t>
        </is>
      </c>
      <c r="C129" s="59" t="inlineStr">
        <is>
          <t>Financial Services</t>
        </is>
      </c>
      <c r="D129" s="58" t="n">
        <v>64.09999999999999</v>
      </c>
      <c r="E129" s="58" t="n">
        <v>100</v>
      </c>
      <c r="F129" s="58" t="n">
        <v>2024</v>
      </c>
      <c r="G129" s="58" t="inlineStr">
        <is>
          <t>No</t>
        </is>
      </c>
      <c r="H129" s="60">
        <f>MIN(20,SUMIFS(Action_Log!$F:$F,Action_Log!$A:$A,$A129,Action_Log!$D:$D,"Cosmetic")+SUMIFS(Action_Log!$F:$F,Action_Log!$A:$A,$A129,Action_Log!$D:$D,"Commercial"))+SUMIFS(Action_Log!$F:$F,Action_Log!$A:$A,$A129,Action_Log!$D:$D,"Civic")+SUMIFS(Action_Log!$F:$F,Action_Log!$A:$A,$A129,Action_Log!$D:$D,"Financial")+SUMIFS(Action_Log!$F:$F,Action_Log!$A:$A,$A129,Action_Log!$D:$D,"Structural")</f>
        <v/>
      </c>
      <c r="I129" s="61">
        <f>SUMIFS(Action_Log!$F:$F,Action_Log!$A:$A,$A129,Action_Log!$E:$E,"Negative")</f>
        <v/>
      </c>
      <c r="J129" s="62">
        <f>MAX(0,MIN(100,50+H129+I129))</f>
        <v/>
      </c>
      <c r="K129" s="63">
        <f>IF(J129&gt;=80,"Champion",IF(J129&gt;=65,"Ally",IF(J129&gt;=50,"Neutral",IF(J129&gt;=35,"Performative",IF(J129&gt;=20,"Harmful","Adversarial")))))</f>
        <v/>
      </c>
      <c r="L129" s="58" t="inlineStr">
        <is>
          <t>No</t>
        </is>
      </c>
      <c r="M129" s="58" t="inlineStr">
        <is>
          <t>No</t>
        </is>
      </c>
      <c r="N129" s="58" t="inlineStr">
        <is>
          <t>No</t>
        </is>
      </c>
      <c r="O129" s="58" t="inlineStr">
        <is>
          <t>No</t>
        </is>
      </c>
      <c r="P129" s="58" t="inlineStr">
        <is>
          <t>No</t>
        </is>
      </c>
      <c r="Q129" s="59" t="inlineStr">
        <is>
          <t>Minimal public LGBTQ+ engagement; no documented reversal.</t>
        </is>
      </c>
    </row>
    <row r="130" ht="15" customHeight="1" s="42">
      <c r="A130" s="57" t="inlineStr">
        <is>
          <t>MetLife</t>
        </is>
      </c>
      <c r="B130" s="58" t="inlineStr">
        <is>
          <t>MET</t>
        </is>
      </c>
      <c r="C130" s="59" t="inlineStr">
        <is>
          <t>Financial Services</t>
        </is>
      </c>
      <c r="D130" s="58" t="n">
        <v>71.40000000000001</v>
      </c>
      <c r="E130" s="58" t="n">
        <v>100</v>
      </c>
      <c r="F130" s="58" t="n">
        <v>2024</v>
      </c>
      <c r="G130" s="58" t="inlineStr">
        <is>
          <t>Yes</t>
        </is>
      </c>
      <c r="H130" s="60">
        <f>MIN(20,SUMIFS(Action_Log!$F:$F,Action_Log!$A:$A,$A130,Action_Log!$D:$D,"Cosmetic")+SUMIFS(Action_Log!$F:$F,Action_Log!$A:$A,$A130,Action_Log!$D:$D,"Commercial"))+SUMIFS(Action_Log!$F:$F,Action_Log!$A:$A,$A130,Action_Log!$D:$D,"Civic")+SUMIFS(Action_Log!$F:$F,Action_Log!$A:$A,$A130,Action_Log!$D:$D,"Financial")+SUMIFS(Action_Log!$F:$F,Action_Log!$A:$A,$A130,Action_Log!$D:$D,"Structural")</f>
        <v/>
      </c>
      <c r="I130" s="61">
        <f>SUMIFS(Action_Log!$F:$F,Action_Log!$A:$A,$A130,Action_Log!$E:$E,"Negative")</f>
        <v/>
      </c>
      <c r="J130" s="62">
        <f>MAX(0,MIN(100,50+H130+I130))</f>
        <v/>
      </c>
      <c r="K130" s="63">
        <f>IF(J130&gt;=80,"Champion",IF(J130&gt;=65,"Ally",IF(J130&gt;=50,"Neutral",IF(J130&gt;=35,"Performative",IF(J130&gt;=20,"Harmful","Adversarial")))))</f>
        <v/>
      </c>
      <c r="L130" s="58" t="inlineStr">
        <is>
          <t>No</t>
        </is>
      </c>
      <c r="M130" s="58" t="inlineStr">
        <is>
          <t>No</t>
        </is>
      </c>
      <c r="N130" s="58" t="inlineStr">
        <is>
          <t>No</t>
        </is>
      </c>
      <c r="O130" s="58" t="inlineStr">
        <is>
          <t>No</t>
        </is>
      </c>
      <c r="P130" s="58" t="inlineStr">
        <is>
          <t>No</t>
        </is>
      </c>
      <c r="Q130" s="59" t="inlineStr">
        <is>
          <t>Quiet CEI 100 holder with inclusive benefits; no documented reversal.</t>
        </is>
      </c>
    </row>
    <row r="131" ht="15" customHeight="1" s="42">
      <c r="A131" s="57" t="inlineStr">
        <is>
          <t>Prudential Financial</t>
        </is>
      </c>
      <c r="B131" s="58" t="inlineStr">
        <is>
          <t>PRU</t>
        </is>
      </c>
      <c r="C131" s="59" t="inlineStr">
        <is>
          <t>Financial Services</t>
        </is>
      </c>
      <c r="D131" s="58" t="n">
        <v>70.5</v>
      </c>
      <c r="E131" s="58" t="n">
        <v>100</v>
      </c>
      <c r="F131" s="58" t="n">
        <v>2024</v>
      </c>
      <c r="G131" s="58" t="inlineStr">
        <is>
          <t>Yes</t>
        </is>
      </c>
      <c r="H131" s="60">
        <f>MIN(20,SUMIFS(Action_Log!$F:$F,Action_Log!$A:$A,$A131,Action_Log!$D:$D,"Cosmetic")+SUMIFS(Action_Log!$F:$F,Action_Log!$A:$A,$A131,Action_Log!$D:$D,"Commercial"))+SUMIFS(Action_Log!$F:$F,Action_Log!$A:$A,$A131,Action_Log!$D:$D,"Civic")+SUMIFS(Action_Log!$F:$F,Action_Log!$A:$A,$A131,Action_Log!$D:$D,"Financial")+SUMIFS(Action_Log!$F:$F,Action_Log!$A:$A,$A131,Action_Log!$D:$D,"Structural")</f>
        <v/>
      </c>
      <c r="I131" s="61">
        <f>SUMIFS(Action_Log!$F:$F,Action_Log!$A:$A,$A131,Action_Log!$E:$E,"Negative")</f>
        <v/>
      </c>
      <c r="J131" s="62">
        <f>MAX(0,MIN(100,50+H131+I131))</f>
        <v/>
      </c>
      <c r="K131" s="63">
        <f>IF(J131&gt;=80,"Champion",IF(J131&gt;=65,"Ally",IF(J131&gt;=50,"Neutral",IF(J131&gt;=35,"Performative",IF(J131&gt;=20,"Harmful","Adversarial")))))</f>
        <v/>
      </c>
      <c r="L131" s="58" t="inlineStr">
        <is>
          <t>No</t>
        </is>
      </c>
      <c r="M131" s="58" t="inlineStr">
        <is>
          <t>No</t>
        </is>
      </c>
      <c r="N131" s="58" t="inlineStr">
        <is>
          <t>No</t>
        </is>
      </c>
      <c r="O131" s="58" t="inlineStr">
        <is>
          <t>No</t>
        </is>
      </c>
      <c r="P131" s="58" t="inlineStr">
        <is>
          <t>No</t>
        </is>
      </c>
      <c r="Q131" s="59" t="inlineStr">
        <is>
          <t>Published pioneering 'LGBT Financial Experience' research and maintains CEI 100 standing; quiet but substantive.</t>
        </is>
      </c>
    </row>
    <row r="132" ht="15" customHeight="1" s="42">
      <c r="A132" s="57" t="inlineStr">
        <is>
          <t>AIG</t>
        </is>
      </c>
      <c r="B132" s="58" t="inlineStr">
        <is>
          <t>AIG</t>
        </is>
      </c>
      <c r="C132" s="59" t="inlineStr">
        <is>
          <t>Financial Services</t>
        </is>
      </c>
      <c r="D132" s="58" t="n">
        <v>27</v>
      </c>
      <c r="E132" s="58" t="n">
        <v>100</v>
      </c>
      <c r="F132" s="58" t="n">
        <v>2024</v>
      </c>
      <c r="G132" s="58" t="inlineStr">
        <is>
          <t>No</t>
        </is>
      </c>
      <c r="H132" s="60">
        <f>MIN(20,SUMIFS(Action_Log!$F:$F,Action_Log!$A:$A,$A132,Action_Log!$D:$D,"Cosmetic")+SUMIFS(Action_Log!$F:$F,Action_Log!$A:$A,$A132,Action_Log!$D:$D,"Commercial"))+SUMIFS(Action_Log!$F:$F,Action_Log!$A:$A,$A132,Action_Log!$D:$D,"Civic")+SUMIFS(Action_Log!$F:$F,Action_Log!$A:$A,$A132,Action_Log!$D:$D,"Financial")+SUMIFS(Action_Log!$F:$F,Action_Log!$A:$A,$A132,Action_Log!$D:$D,"Structural")</f>
        <v/>
      </c>
      <c r="I132" s="61">
        <f>SUMIFS(Action_Log!$F:$F,Action_Log!$A:$A,$A132,Action_Log!$E:$E,"Negative")</f>
        <v/>
      </c>
      <c r="J132" s="62">
        <f>MAX(0,MIN(100,50+H132+I132))</f>
        <v/>
      </c>
      <c r="K132" s="63">
        <f>IF(J132&gt;=80,"Champion",IF(J132&gt;=65,"Ally",IF(J132&gt;=50,"Neutral",IF(J132&gt;=35,"Performative",IF(J132&gt;=20,"Harmful","Adversarial")))))</f>
        <v/>
      </c>
      <c r="L132" s="58" t="inlineStr">
        <is>
          <t>No</t>
        </is>
      </c>
      <c r="M132" s="58" t="inlineStr">
        <is>
          <t>No</t>
        </is>
      </c>
      <c r="N132" s="58" t="inlineStr">
        <is>
          <t>No</t>
        </is>
      </c>
      <c r="O132" s="58" t="inlineStr">
        <is>
          <t>No</t>
        </is>
      </c>
      <c r="P132" s="58" t="inlineStr">
        <is>
          <t>No</t>
        </is>
      </c>
      <c r="Q132" s="59" t="inlineStr">
        <is>
          <t>Minimal public LGBTQ+ engagement; no documented reversal.</t>
        </is>
      </c>
    </row>
    <row r="133" ht="15" customHeight="1" s="42">
      <c r="A133" s="57" t="inlineStr">
        <is>
          <t>Travelers Companies</t>
        </is>
      </c>
      <c r="B133" s="58" t="inlineStr">
        <is>
          <t>TRV</t>
        </is>
      </c>
      <c r="C133" s="59" t="inlineStr">
        <is>
          <t>Financial Services</t>
        </is>
      </c>
      <c r="D133" s="58" t="n">
        <v>46.4</v>
      </c>
      <c r="E133" s="58" t="n">
        <v>100</v>
      </c>
      <c r="F133" s="58" t="n">
        <v>2024</v>
      </c>
      <c r="G133" s="58" t="inlineStr">
        <is>
          <t>No</t>
        </is>
      </c>
      <c r="H133" s="60">
        <f>MIN(20,SUMIFS(Action_Log!$F:$F,Action_Log!$A:$A,$A133,Action_Log!$D:$D,"Cosmetic")+SUMIFS(Action_Log!$F:$F,Action_Log!$A:$A,$A133,Action_Log!$D:$D,"Commercial"))+SUMIFS(Action_Log!$F:$F,Action_Log!$A:$A,$A133,Action_Log!$D:$D,"Civic")+SUMIFS(Action_Log!$F:$F,Action_Log!$A:$A,$A133,Action_Log!$D:$D,"Financial")+SUMIFS(Action_Log!$F:$F,Action_Log!$A:$A,$A133,Action_Log!$D:$D,"Structural")</f>
        <v/>
      </c>
      <c r="I133" s="61">
        <f>SUMIFS(Action_Log!$F:$F,Action_Log!$A:$A,$A133,Action_Log!$E:$E,"Negative")</f>
        <v/>
      </c>
      <c r="J133" s="62">
        <f>MAX(0,MIN(100,50+H133+I133))</f>
        <v/>
      </c>
      <c r="K133" s="63">
        <f>IF(J133&gt;=80,"Champion",IF(J133&gt;=65,"Ally",IF(J133&gt;=50,"Neutral",IF(J133&gt;=35,"Performative",IF(J133&gt;=20,"Harmful","Adversarial")))))</f>
        <v/>
      </c>
      <c r="L133" s="58" t="inlineStr">
        <is>
          <t>No</t>
        </is>
      </c>
      <c r="M133" s="58" t="inlineStr">
        <is>
          <t>No</t>
        </is>
      </c>
      <c r="N133" s="58" t="inlineStr">
        <is>
          <t>No</t>
        </is>
      </c>
      <c r="O133" s="58" t="inlineStr">
        <is>
          <t>No</t>
        </is>
      </c>
      <c r="P133" s="58" t="inlineStr">
        <is>
          <t>No</t>
        </is>
      </c>
      <c r="Q133" s="59" t="inlineStr">
        <is>
          <t>Minimal public LGBTQ+ engagement; no documented reversal.</t>
        </is>
      </c>
    </row>
    <row r="134" ht="15" customHeight="1" s="42">
      <c r="A134" s="57" t="inlineStr">
        <is>
          <t>Eli Lilly</t>
        </is>
      </c>
      <c r="B134" s="58" t="inlineStr">
        <is>
          <t>LLY</t>
        </is>
      </c>
      <c r="C134" s="59" t="inlineStr">
        <is>
          <t>Healthcare &amp; Pharma</t>
        </is>
      </c>
      <c r="D134" s="58" t="n">
        <v>45</v>
      </c>
      <c r="E134" s="58" t="n">
        <v>100</v>
      </c>
      <c r="F134" s="58" t="n">
        <v>2024</v>
      </c>
      <c r="G134" s="58" t="inlineStr">
        <is>
          <t>Yes</t>
        </is>
      </c>
      <c r="H134" s="60">
        <f>MIN(20,SUMIFS(Action_Log!$F:$F,Action_Log!$A:$A,$A134,Action_Log!$D:$D,"Cosmetic")+SUMIFS(Action_Log!$F:$F,Action_Log!$A:$A,$A134,Action_Log!$D:$D,"Commercial"))+SUMIFS(Action_Log!$F:$F,Action_Log!$A:$A,$A134,Action_Log!$D:$D,"Civic")+SUMIFS(Action_Log!$F:$F,Action_Log!$A:$A,$A134,Action_Log!$D:$D,"Financial")+SUMIFS(Action_Log!$F:$F,Action_Log!$A:$A,$A134,Action_Log!$D:$D,"Structural")</f>
        <v/>
      </c>
      <c r="I134" s="61">
        <f>SUMIFS(Action_Log!$F:$F,Action_Log!$A:$A,$A134,Action_Log!$E:$E,"Negative")</f>
        <v/>
      </c>
      <c r="J134" s="62">
        <f>MAX(0,MIN(100,50+H134+I134))</f>
        <v/>
      </c>
      <c r="K134" s="63">
        <f>IF(J134&gt;=80,"Champion",IF(J134&gt;=65,"Ally",IF(J134&gt;=50,"Neutral",IF(J134&gt;=35,"Performative",IF(J134&gt;=20,"Harmful","Adversarial")))))</f>
        <v/>
      </c>
      <c r="L134" s="58" t="inlineStr">
        <is>
          <t>No</t>
        </is>
      </c>
      <c r="M134" s="58" t="inlineStr">
        <is>
          <t>No</t>
        </is>
      </c>
      <c r="N134" s="58" t="inlineStr">
        <is>
          <t>No</t>
        </is>
      </c>
      <c r="O134" s="58" t="inlineStr">
        <is>
          <t>No</t>
        </is>
      </c>
      <c r="P134" s="58" t="inlineStr">
        <is>
          <t>No</t>
        </is>
      </c>
      <c r="Q134" s="59" t="inlineStr">
        <is>
          <t>Joined the corporate fight against Indiana's RFRA in 2015 from its Indianapolis home base; CEI 100 record and inclusive benefits maintained.</t>
        </is>
      </c>
    </row>
    <row r="135" ht="15" customHeight="1" s="42">
      <c r="A135" s="57" t="inlineStr">
        <is>
          <t>Merck &amp; Co.</t>
        </is>
      </c>
      <c r="B135" s="58" t="inlineStr">
        <is>
          <t>MRK</t>
        </is>
      </c>
      <c r="C135" s="59" t="inlineStr">
        <is>
          <t>Healthcare &amp; Pharma</t>
        </is>
      </c>
      <c r="D135" s="58" t="n">
        <v>64.2</v>
      </c>
      <c r="E135" s="58" t="n">
        <v>100</v>
      </c>
      <c r="F135" s="58" t="n">
        <v>2024</v>
      </c>
      <c r="G135" s="58" t="inlineStr">
        <is>
          <t>Yes</t>
        </is>
      </c>
      <c r="H135" s="60">
        <f>MIN(20,SUMIFS(Action_Log!$F:$F,Action_Log!$A:$A,$A135,Action_Log!$D:$D,"Cosmetic")+SUMIFS(Action_Log!$F:$F,Action_Log!$A:$A,$A135,Action_Log!$D:$D,"Commercial"))+SUMIFS(Action_Log!$F:$F,Action_Log!$A:$A,$A135,Action_Log!$D:$D,"Civic")+SUMIFS(Action_Log!$F:$F,Action_Log!$A:$A,$A135,Action_Log!$D:$D,"Financial")+SUMIFS(Action_Log!$F:$F,Action_Log!$A:$A,$A135,Action_Log!$D:$D,"Structural")</f>
        <v/>
      </c>
      <c r="I135" s="61">
        <f>SUMIFS(Action_Log!$F:$F,Action_Log!$A:$A,$A135,Action_Log!$E:$E,"Negative")</f>
        <v/>
      </c>
      <c r="J135" s="62">
        <f>MAX(0,MIN(100,50+H135+I135))</f>
        <v/>
      </c>
      <c r="K135" s="63">
        <f>IF(J135&gt;=80,"Champion",IF(J135&gt;=65,"Ally",IF(J135&gt;=50,"Neutral",IF(J135&gt;=35,"Performative",IF(J135&gt;=20,"Harmful","Adversarial")))))</f>
        <v/>
      </c>
      <c r="L135" s="58" t="inlineStr">
        <is>
          <t>No</t>
        </is>
      </c>
      <c r="M135" s="58" t="inlineStr">
        <is>
          <t>No</t>
        </is>
      </c>
      <c r="N135" s="58" t="inlineStr">
        <is>
          <t>No</t>
        </is>
      </c>
      <c r="O135" s="58" t="inlineStr">
        <is>
          <t>No</t>
        </is>
      </c>
      <c r="P135" s="58" t="inlineStr">
        <is>
          <t>No</t>
        </is>
      </c>
      <c r="Q135" s="59" t="inlineStr">
        <is>
          <t>Quiet CEI 100 holder with inclusive benefits and HIV-treatment legacy; no documented reversal.</t>
        </is>
      </c>
    </row>
    <row r="136" ht="15" customHeight="1" s="42">
      <c r="A136" s="57" t="inlineStr">
        <is>
          <t>AbbVie</t>
        </is>
      </c>
      <c r="B136" s="58" t="inlineStr">
        <is>
          <t>ABBV</t>
        </is>
      </c>
      <c r="C136" s="59" t="inlineStr">
        <is>
          <t>Healthcare &amp; Pharma</t>
        </is>
      </c>
      <c r="D136" s="58" t="n">
        <v>56.3</v>
      </c>
      <c r="E136" s="58" t="n">
        <v>100</v>
      </c>
      <c r="F136" s="58" t="n">
        <v>2024</v>
      </c>
      <c r="G136" s="58" t="inlineStr">
        <is>
          <t>Yes</t>
        </is>
      </c>
      <c r="H136" s="60">
        <f>MIN(20,SUMIFS(Action_Log!$F:$F,Action_Log!$A:$A,$A136,Action_Log!$D:$D,"Cosmetic")+SUMIFS(Action_Log!$F:$F,Action_Log!$A:$A,$A136,Action_Log!$D:$D,"Commercial"))+SUMIFS(Action_Log!$F:$F,Action_Log!$A:$A,$A136,Action_Log!$D:$D,"Civic")+SUMIFS(Action_Log!$F:$F,Action_Log!$A:$A,$A136,Action_Log!$D:$D,"Financial")+SUMIFS(Action_Log!$F:$F,Action_Log!$A:$A,$A136,Action_Log!$D:$D,"Structural")</f>
        <v/>
      </c>
      <c r="I136" s="61">
        <f>SUMIFS(Action_Log!$F:$F,Action_Log!$A:$A,$A136,Action_Log!$E:$E,"Negative")</f>
        <v/>
      </c>
      <c r="J136" s="62">
        <f>MAX(0,MIN(100,50+H136+I136))</f>
        <v/>
      </c>
      <c r="K136" s="63">
        <f>IF(J136&gt;=80,"Champion",IF(J136&gt;=65,"Ally",IF(J136&gt;=50,"Neutral",IF(J136&gt;=35,"Performative",IF(J136&gt;=20,"Harmful","Adversarial")))))</f>
        <v/>
      </c>
      <c r="L136" s="58" t="inlineStr">
        <is>
          <t>No</t>
        </is>
      </c>
      <c r="M136" s="58" t="inlineStr">
        <is>
          <t>No</t>
        </is>
      </c>
      <c r="N136" s="58" t="inlineStr">
        <is>
          <t>No</t>
        </is>
      </c>
      <c r="O136" s="58" t="inlineStr">
        <is>
          <t>No</t>
        </is>
      </c>
      <c r="P136" s="58" t="inlineStr">
        <is>
          <t>No</t>
        </is>
      </c>
      <c r="Q136" s="59" t="inlineStr">
        <is>
          <t>Quiet CEI 100 holder; inclusive benefits; no documented reversal.</t>
        </is>
      </c>
    </row>
    <row r="137" ht="15" customHeight="1" s="42">
      <c r="A137" s="57" t="inlineStr">
        <is>
          <t>Bristol Myers Squibb</t>
        </is>
      </c>
      <c r="B137" s="58" t="inlineStr">
        <is>
          <t>BMY</t>
        </is>
      </c>
      <c r="C137" s="59" t="inlineStr">
        <is>
          <t>Healthcare &amp; Pharma</t>
        </is>
      </c>
      <c r="D137" s="58" t="n">
        <v>48.3</v>
      </c>
      <c r="E137" s="58" t="n">
        <v>100</v>
      </c>
      <c r="F137" s="58" t="n">
        <v>2024</v>
      </c>
      <c r="G137" s="58" t="inlineStr">
        <is>
          <t>Yes</t>
        </is>
      </c>
      <c r="H137" s="60">
        <f>MIN(20,SUMIFS(Action_Log!$F:$F,Action_Log!$A:$A,$A137,Action_Log!$D:$D,"Cosmetic")+SUMIFS(Action_Log!$F:$F,Action_Log!$A:$A,$A137,Action_Log!$D:$D,"Commercial"))+SUMIFS(Action_Log!$F:$F,Action_Log!$A:$A,$A137,Action_Log!$D:$D,"Civic")+SUMIFS(Action_Log!$F:$F,Action_Log!$A:$A,$A137,Action_Log!$D:$D,"Financial")+SUMIFS(Action_Log!$F:$F,Action_Log!$A:$A,$A137,Action_Log!$D:$D,"Structural")</f>
        <v/>
      </c>
      <c r="I137" s="61">
        <f>SUMIFS(Action_Log!$F:$F,Action_Log!$A:$A,$A137,Action_Log!$E:$E,"Negative")</f>
        <v/>
      </c>
      <c r="J137" s="62">
        <f>MAX(0,MIN(100,50+H137+I137))</f>
        <v/>
      </c>
      <c r="K137" s="63">
        <f>IF(J137&gt;=80,"Champion",IF(J137&gt;=65,"Ally",IF(J137&gt;=50,"Neutral",IF(J137&gt;=35,"Performative",IF(J137&gt;=20,"Harmful","Adversarial")))))</f>
        <v/>
      </c>
      <c r="L137" s="58" t="inlineStr">
        <is>
          <t>No</t>
        </is>
      </c>
      <c r="M137" s="58" t="inlineStr">
        <is>
          <t>No</t>
        </is>
      </c>
      <c r="N137" s="58" t="inlineStr">
        <is>
          <t>No</t>
        </is>
      </c>
      <c r="O137" s="58" t="inlineStr">
        <is>
          <t>No</t>
        </is>
      </c>
      <c r="P137" s="58" t="inlineStr">
        <is>
          <t>No</t>
        </is>
      </c>
      <c r="Q137" s="59" t="inlineStr">
        <is>
          <t>Quiet CEI 100 holder; inclusive benefits; no documented reversal.</t>
        </is>
      </c>
    </row>
    <row r="138" ht="15" customHeight="1" s="42">
      <c r="A138" s="57" t="inlineStr">
        <is>
          <t>Gilead Sciences</t>
        </is>
      </c>
      <c r="B138" s="58" t="inlineStr">
        <is>
          <t>GILD</t>
        </is>
      </c>
      <c r="C138" s="59" t="inlineStr">
        <is>
          <t>Healthcare &amp; Pharma</t>
        </is>
      </c>
      <c r="D138" s="58" t="n">
        <v>28.8</v>
      </c>
      <c r="E138" s="58" t="n">
        <v>100</v>
      </c>
      <c r="F138" s="58" t="n">
        <v>2024</v>
      </c>
      <c r="G138" s="58" t="inlineStr">
        <is>
          <t>Yes</t>
        </is>
      </c>
      <c r="H138" s="60">
        <f>MIN(20,SUMIFS(Action_Log!$F:$F,Action_Log!$A:$A,$A138,Action_Log!$D:$D,"Cosmetic")+SUMIFS(Action_Log!$F:$F,Action_Log!$A:$A,$A138,Action_Log!$D:$D,"Commercial"))+SUMIFS(Action_Log!$F:$F,Action_Log!$A:$A,$A138,Action_Log!$D:$D,"Civic")+SUMIFS(Action_Log!$F:$F,Action_Log!$A:$A,$A138,Action_Log!$D:$D,"Financial")+SUMIFS(Action_Log!$F:$F,Action_Log!$A:$A,$A138,Action_Log!$D:$D,"Structural")</f>
        <v/>
      </c>
      <c r="I138" s="61">
        <f>SUMIFS(Action_Log!$F:$F,Action_Log!$A:$A,$A138,Action_Log!$E:$E,"Negative")</f>
        <v/>
      </c>
      <c r="J138" s="62">
        <f>MAX(0,MIN(100,50+H138+I138))</f>
        <v/>
      </c>
      <c r="K138" s="63">
        <f>IF(J138&gt;=80,"Champion",IF(J138&gt;=65,"Ally",IF(J138&gt;=50,"Neutral",IF(J138&gt;=35,"Performative",IF(J138&gt;=20,"Harmful","Adversarial")))))</f>
        <v/>
      </c>
      <c r="L138" s="58" t="inlineStr">
        <is>
          <t>No</t>
        </is>
      </c>
      <c r="M138" s="58" t="inlineStr">
        <is>
          <t>No</t>
        </is>
      </c>
      <c r="N138" s="58" t="inlineStr">
        <is>
          <t>No</t>
        </is>
      </c>
      <c r="O138" s="58" t="inlineStr">
        <is>
          <t>No</t>
        </is>
      </c>
      <c r="P138" s="58" t="inlineStr">
        <is>
          <t>No</t>
        </is>
      </c>
      <c r="Q138" s="59" t="inlineStr">
        <is>
          <t>The largest corporate funder in HIV/LGBTQ+ health: the COMPASS Initiative committed $100M+ over 10 years to HIV organizations in the US South, plus sustained grants to LGBTQ+ groups. Substance over branding.</t>
        </is>
      </c>
    </row>
    <row r="139" ht="15" customHeight="1" s="42">
      <c r="A139" s="57" t="inlineStr">
        <is>
          <t>Amgen</t>
        </is>
      </c>
      <c r="B139" s="58" t="inlineStr">
        <is>
          <t>AMGN</t>
        </is>
      </c>
      <c r="C139" s="59" t="inlineStr">
        <is>
          <t>Healthcare &amp; Pharma</t>
        </is>
      </c>
      <c r="D139" s="58" t="n">
        <v>33.4</v>
      </c>
      <c r="E139" s="58" t="n">
        <v>100</v>
      </c>
      <c r="F139" s="58" t="n">
        <v>2024</v>
      </c>
      <c r="G139" s="58" t="inlineStr">
        <is>
          <t>No</t>
        </is>
      </c>
      <c r="H139" s="60">
        <f>MIN(20,SUMIFS(Action_Log!$F:$F,Action_Log!$A:$A,$A139,Action_Log!$D:$D,"Cosmetic")+SUMIFS(Action_Log!$F:$F,Action_Log!$A:$A,$A139,Action_Log!$D:$D,"Commercial"))+SUMIFS(Action_Log!$F:$F,Action_Log!$A:$A,$A139,Action_Log!$D:$D,"Civic")+SUMIFS(Action_Log!$F:$F,Action_Log!$A:$A,$A139,Action_Log!$D:$D,"Financial")+SUMIFS(Action_Log!$F:$F,Action_Log!$A:$A,$A139,Action_Log!$D:$D,"Structural")</f>
        <v/>
      </c>
      <c r="I139" s="61">
        <f>SUMIFS(Action_Log!$F:$F,Action_Log!$A:$A,$A139,Action_Log!$E:$E,"Negative")</f>
        <v/>
      </c>
      <c r="J139" s="62">
        <f>MAX(0,MIN(100,50+H139+I139))</f>
        <v/>
      </c>
      <c r="K139" s="63">
        <f>IF(J139&gt;=80,"Champion",IF(J139&gt;=65,"Ally",IF(J139&gt;=50,"Neutral",IF(J139&gt;=35,"Performative",IF(J139&gt;=20,"Harmful","Adversarial")))))</f>
        <v/>
      </c>
      <c r="L139" s="58" t="inlineStr">
        <is>
          <t>No</t>
        </is>
      </c>
      <c r="M139" s="58" t="inlineStr">
        <is>
          <t>No</t>
        </is>
      </c>
      <c r="N139" s="58" t="inlineStr">
        <is>
          <t>No</t>
        </is>
      </c>
      <c r="O139" s="58" t="inlineStr">
        <is>
          <t>No</t>
        </is>
      </c>
      <c r="P139" s="58" t="inlineStr">
        <is>
          <t>No</t>
        </is>
      </c>
      <c r="Q139" s="59" t="inlineStr">
        <is>
          <t>Minimal public LGBTQ+ engagement; no documented reversal.</t>
        </is>
      </c>
    </row>
    <row r="140" ht="15" customHeight="1" s="42">
      <c r="A140" s="57" t="inlineStr">
        <is>
          <t>Moderna</t>
        </is>
      </c>
      <c r="B140" s="58" t="inlineStr">
        <is>
          <t>MRNA</t>
        </is>
      </c>
      <c r="C140" s="59" t="inlineStr">
        <is>
          <t>Healthcare &amp; Pharma</t>
        </is>
      </c>
      <c r="D140" s="58" t="n">
        <v>3.2</v>
      </c>
      <c r="E140" s="58" t="inlineStr">
        <is>
          <t>Not rated</t>
        </is>
      </c>
      <c r="F140" s="58" t="inlineStr">
        <is>
          <t>—</t>
        </is>
      </c>
      <c r="G140" s="58" t="inlineStr">
        <is>
          <t>No</t>
        </is>
      </c>
      <c r="H140" s="60">
        <f>MIN(20,SUMIFS(Action_Log!$F:$F,Action_Log!$A:$A,$A140,Action_Log!$D:$D,"Cosmetic")+SUMIFS(Action_Log!$F:$F,Action_Log!$A:$A,$A140,Action_Log!$D:$D,"Commercial"))+SUMIFS(Action_Log!$F:$F,Action_Log!$A:$A,$A140,Action_Log!$D:$D,"Civic")+SUMIFS(Action_Log!$F:$F,Action_Log!$A:$A,$A140,Action_Log!$D:$D,"Financial")+SUMIFS(Action_Log!$F:$F,Action_Log!$A:$A,$A140,Action_Log!$D:$D,"Structural")</f>
        <v/>
      </c>
      <c r="I140" s="61">
        <f>SUMIFS(Action_Log!$F:$F,Action_Log!$A:$A,$A140,Action_Log!$E:$E,"Negative")</f>
        <v/>
      </c>
      <c r="J140" s="62">
        <f>MAX(0,MIN(100,50+H140+I140))</f>
        <v/>
      </c>
      <c r="K140" s="63">
        <f>IF(J140&gt;=80,"Champion",IF(J140&gt;=65,"Ally",IF(J140&gt;=50,"Neutral",IF(J140&gt;=35,"Performative",IF(J140&gt;=20,"Harmful","Adversarial")))))</f>
        <v/>
      </c>
      <c r="L140" s="58" t="inlineStr">
        <is>
          <t>No</t>
        </is>
      </c>
      <c r="M140" s="58" t="inlineStr">
        <is>
          <t>No</t>
        </is>
      </c>
      <c r="N140" s="58" t="inlineStr">
        <is>
          <t>No</t>
        </is>
      </c>
      <c r="O140" s="58" t="inlineStr">
        <is>
          <t>No</t>
        </is>
      </c>
      <c r="P140" s="58" t="inlineStr">
        <is>
          <t>No</t>
        </is>
      </c>
      <c r="Q140" s="59" t="inlineStr">
        <is>
          <t>Minimal public LGBTQ+ engagement; young company, no documented reversal.</t>
        </is>
      </c>
    </row>
    <row r="141" ht="15" customHeight="1" s="42">
      <c r="A141" s="57" t="inlineStr">
        <is>
          <t>HCA Healthcare</t>
        </is>
      </c>
      <c r="B141" s="58" t="inlineStr">
        <is>
          <t>HCA</t>
        </is>
      </c>
      <c r="C141" s="59" t="inlineStr">
        <is>
          <t>Healthcare &amp; Pharma</t>
        </is>
      </c>
      <c r="D141" s="58" t="n">
        <v>70</v>
      </c>
      <c r="E141" s="58" t="inlineStr">
        <is>
          <t>Not rated</t>
        </is>
      </c>
      <c r="F141" s="58" t="inlineStr">
        <is>
          <t>—</t>
        </is>
      </c>
      <c r="G141" s="58" t="inlineStr">
        <is>
          <t>No</t>
        </is>
      </c>
      <c r="H141" s="60">
        <f>MIN(20,SUMIFS(Action_Log!$F:$F,Action_Log!$A:$A,$A141,Action_Log!$D:$D,"Cosmetic")+SUMIFS(Action_Log!$F:$F,Action_Log!$A:$A,$A141,Action_Log!$D:$D,"Commercial"))+SUMIFS(Action_Log!$F:$F,Action_Log!$A:$A,$A141,Action_Log!$D:$D,"Civic")+SUMIFS(Action_Log!$F:$F,Action_Log!$A:$A,$A141,Action_Log!$D:$D,"Financial")+SUMIFS(Action_Log!$F:$F,Action_Log!$A:$A,$A141,Action_Log!$D:$D,"Structural")</f>
        <v/>
      </c>
      <c r="I141" s="61">
        <f>SUMIFS(Action_Log!$F:$F,Action_Log!$A:$A,$A141,Action_Log!$E:$E,"Negative")</f>
        <v/>
      </c>
      <c r="J141" s="62">
        <f>MAX(0,MIN(100,50+H141+I141))</f>
        <v/>
      </c>
      <c r="K141" s="63">
        <f>IF(J141&gt;=80,"Champion",IF(J141&gt;=65,"Ally",IF(J141&gt;=50,"Neutral",IF(J141&gt;=35,"Performative",IF(J141&gt;=20,"Harmful","Adversarial")))))</f>
        <v/>
      </c>
      <c r="L141" s="58" t="inlineStr">
        <is>
          <t>No</t>
        </is>
      </c>
      <c r="M141" s="58" t="inlineStr">
        <is>
          <t>No</t>
        </is>
      </c>
      <c r="N141" s="58" t="inlineStr">
        <is>
          <t>No</t>
        </is>
      </c>
      <c r="O141" s="58" t="inlineStr">
        <is>
          <t>No</t>
        </is>
      </c>
      <c r="P141" s="58" t="inlineStr">
        <is>
          <t>No</t>
        </is>
      </c>
      <c r="Q141" s="59" t="inlineStr">
        <is>
          <t>Minimal public LGBTQ+ engagement; Nashville-based hospital giant outside the Pride economy; no documented reversal.</t>
        </is>
      </c>
    </row>
    <row r="142" ht="15" customHeight="1" s="42">
      <c r="A142" s="57" t="inlineStr">
        <is>
          <t>Elevance Health</t>
        </is>
      </c>
      <c r="B142" s="58" t="inlineStr">
        <is>
          <t>ELV</t>
        </is>
      </c>
      <c r="C142" s="59" t="inlineStr">
        <is>
          <t>Healthcare &amp; Pharma</t>
        </is>
      </c>
      <c r="D142" s="58" t="n">
        <v>175.2</v>
      </c>
      <c r="E142" s="58" t="n">
        <v>100</v>
      </c>
      <c r="F142" s="58" t="n">
        <v>2024</v>
      </c>
      <c r="G142" s="58" t="inlineStr">
        <is>
          <t>No</t>
        </is>
      </c>
      <c r="H142" s="60">
        <f>MIN(20,SUMIFS(Action_Log!$F:$F,Action_Log!$A:$A,$A142,Action_Log!$D:$D,"Cosmetic")+SUMIFS(Action_Log!$F:$F,Action_Log!$A:$A,$A142,Action_Log!$D:$D,"Commercial"))+SUMIFS(Action_Log!$F:$F,Action_Log!$A:$A,$A142,Action_Log!$D:$D,"Civic")+SUMIFS(Action_Log!$F:$F,Action_Log!$A:$A,$A142,Action_Log!$D:$D,"Financial")+SUMIFS(Action_Log!$F:$F,Action_Log!$A:$A,$A142,Action_Log!$D:$D,"Structural")</f>
        <v/>
      </c>
      <c r="I142" s="61">
        <f>SUMIFS(Action_Log!$F:$F,Action_Log!$A:$A,$A142,Action_Log!$E:$E,"Negative")</f>
        <v/>
      </c>
      <c r="J142" s="62">
        <f>MAX(0,MIN(100,50+H142+I142))</f>
        <v/>
      </c>
      <c r="K142" s="63">
        <f>IF(J142&gt;=80,"Champion",IF(J142&gt;=65,"Ally",IF(J142&gt;=50,"Neutral",IF(J142&gt;=35,"Performative",IF(J142&gt;=20,"Harmful","Adversarial")))))</f>
        <v/>
      </c>
      <c r="L142" s="58" t="inlineStr">
        <is>
          <t>Yes</t>
        </is>
      </c>
      <c r="M142" s="58" t="inlineStr">
        <is>
          <t>Yes</t>
        </is>
      </c>
      <c r="N142" s="58" t="inlineStr">
        <is>
          <t>No</t>
        </is>
      </c>
      <c r="O142" s="58" t="inlineStr">
        <is>
          <t>No</t>
        </is>
      </c>
      <c r="P142" s="58" t="inlineStr">
        <is>
          <t>No</t>
        </is>
      </c>
      <c r="Q142" s="59" t="inlineStr">
        <is>
          <t>Joined UnitedHealth, Cigna and Humana in tucking DEI strategy changes into 2025 annual-report language (Modern Healthcare). Benefits remain; public commitment language thinned.</t>
        </is>
      </c>
    </row>
    <row r="143" ht="15" customHeight="1" s="42">
      <c r="A143" s="57" t="inlineStr">
        <is>
          <t>ConocoPhillips</t>
        </is>
      </c>
      <c r="B143" s="58" t="inlineStr">
        <is>
          <t>COP</t>
        </is>
      </c>
      <c r="C143" s="59" t="inlineStr">
        <is>
          <t>Energy</t>
        </is>
      </c>
      <c r="D143" s="58" t="n">
        <v>56.9</v>
      </c>
      <c r="E143" s="58" t="inlineStr">
        <is>
          <t>Not rated</t>
        </is>
      </c>
      <c r="F143" s="58" t="inlineStr">
        <is>
          <t>—</t>
        </is>
      </c>
      <c r="G143" s="58" t="inlineStr">
        <is>
          <t>Never</t>
        </is>
      </c>
      <c r="H143" s="60">
        <f>MIN(20,SUMIFS(Action_Log!$F:$F,Action_Log!$A:$A,$A143,Action_Log!$D:$D,"Cosmetic")+SUMIFS(Action_Log!$F:$F,Action_Log!$A:$A,$A143,Action_Log!$D:$D,"Commercial"))+SUMIFS(Action_Log!$F:$F,Action_Log!$A:$A,$A143,Action_Log!$D:$D,"Civic")+SUMIFS(Action_Log!$F:$F,Action_Log!$A:$A,$A143,Action_Log!$D:$D,"Financial")+SUMIFS(Action_Log!$F:$F,Action_Log!$A:$A,$A143,Action_Log!$D:$D,"Structural")</f>
        <v/>
      </c>
      <c r="I143" s="61">
        <f>SUMIFS(Action_Log!$F:$F,Action_Log!$A:$A,$A143,Action_Log!$E:$E,"Negative")</f>
        <v/>
      </c>
      <c r="J143" s="62">
        <f>MAX(0,MIN(100,50+H143+I143))</f>
        <v/>
      </c>
      <c r="K143" s="63">
        <f>IF(J143&gt;=80,"Champion",IF(J143&gt;=65,"Ally",IF(J143&gt;=50,"Neutral",IF(J143&gt;=35,"Performative",IF(J143&gt;=20,"Harmful","Adversarial")))))</f>
        <v/>
      </c>
      <c r="L143" s="58" t="inlineStr">
        <is>
          <t>No</t>
        </is>
      </c>
      <c r="M143" s="58" t="inlineStr">
        <is>
          <t>No</t>
        </is>
      </c>
      <c r="N143" s="58" t="inlineStr">
        <is>
          <t>No</t>
        </is>
      </c>
      <c r="O143" s="58" t="inlineStr">
        <is>
          <t>No</t>
        </is>
      </c>
      <c r="P143" s="58" t="inlineStr">
        <is>
          <t>No</t>
        </is>
      </c>
      <c r="Q143" s="59" t="inlineStr">
        <is>
          <t>No meaningful public LGBTQ+ record located in either direction.</t>
        </is>
      </c>
    </row>
    <row r="144" ht="15" customHeight="1" s="42">
      <c r="A144" s="57" t="inlineStr">
        <is>
          <t>Phillips 66</t>
        </is>
      </c>
      <c r="B144" s="58" t="inlineStr">
        <is>
          <t>PSX</t>
        </is>
      </c>
      <c r="C144" s="59" t="inlineStr">
        <is>
          <t>Energy</t>
        </is>
      </c>
      <c r="D144" s="58" t="n">
        <v>143.2</v>
      </c>
      <c r="E144" s="58" t="inlineStr">
        <is>
          <t>Not rated</t>
        </is>
      </c>
      <c r="F144" s="58" t="inlineStr">
        <is>
          <t>—</t>
        </is>
      </c>
      <c r="G144" s="58" t="inlineStr">
        <is>
          <t>Never</t>
        </is>
      </c>
      <c r="H144" s="60">
        <f>MIN(20,SUMIFS(Action_Log!$F:$F,Action_Log!$A:$A,$A144,Action_Log!$D:$D,"Cosmetic")+SUMIFS(Action_Log!$F:$F,Action_Log!$A:$A,$A144,Action_Log!$D:$D,"Commercial"))+SUMIFS(Action_Log!$F:$F,Action_Log!$A:$A,$A144,Action_Log!$D:$D,"Civic")+SUMIFS(Action_Log!$F:$F,Action_Log!$A:$A,$A144,Action_Log!$D:$D,"Financial")+SUMIFS(Action_Log!$F:$F,Action_Log!$A:$A,$A144,Action_Log!$D:$D,"Structural")</f>
        <v/>
      </c>
      <c r="I144" s="61">
        <f>SUMIFS(Action_Log!$F:$F,Action_Log!$A:$A,$A144,Action_Log!$E:$E,"Negative")</f>
        <v/>
      </c>
      <c r="J144" s="62">
        <f>MAX(0,MIN(100,50+H144+I144))</f>
        <v/>
      </c>
      <c r="K144" s="63">
        <f>IF(J144&gt;=80,"Champion",IF(J144&gt;=65,"Ally",IF(J144&gt;=50,"Neutral",IF(J144&gt;=35,"Performative",IF(J144&gt;=20,"Harmful","Adversarial")))))</f>
        <v/>
      </c>
      <c r="L144" s="58" t="inlineStr">
        <is>
          <t>No</t>
        </is>
      </c>
      <c r="M144" s="58" t="inlineStr">
        <is>
          <t>No</t>
        </is>
      </c>
      <c r="N144" s="58" t="inlineStr">
        <is>
          <t>No</t>
        </is>
      </c>
      <c r="O144" s="58" t="inlineStr">
        <is>
          <t>No</t>
        </is>
      </c>
      <c r="P144" s="58" t="inlineStr">
        <is>
          <t>No</t>
        </is>
      </c>
      <c r="Q144" s="59" t="inlineStr">
        <is>
          <t>No meaningful public LGBTQ+ record located in either direction.</t>
        </is>
      </c>
    </row>
    <row r="145" ht="15" customHeight="1" s="42">
      <c r="A145" s="57" t="inlineStr">
        <is>
          <t>Marathon Petroleum</t>
        </is>
      </c>
      <c r="B145" s="58" t="inlineStr">
        <is>
          <t>MPC</t>
        </is>
      </c>
      <c r="C145" s="59" t="inlineStr">
        <is>
          <t>Energy</t>
        </is>
      </c>
      <c r="D145" s="58" t="n">
        <v>138.9</v>
      </c>
      <c r="E145" s="58" t="inlineStr">
        <is>
          <t>Not rated</t>
        </is>
      </c>
      <c r="F145" s="58" t="inlineStr">
        <is>
          <t>—</t>
        </is>
      </c>
      <c r="G145" s="58" t="inlineStr">
        <is>
          <t>Never</t>
        </is>
      </c>
      <c r="H145" s="60">
        <f>MIN(20,SUMIFS(Action_Log!$F:$F,Action_Log!$A:$A,$A145,Action_Log!$D:$D,"Cosmetic")+SUMIFS(Action_Log!$F:$F,Action_Log!$A:$A,$A145,Action_Log!$D:$D,"Commercial"))+SUMIFS(Action_Log!$F:$F,Action_Log!$A:$A,$A145,Action_Log!$D:$D,"Civic")+SUMIFS(Action_Log!$F:$F,Action_Log!$A:$A,$A145,Action_Log!$D:$D,"Financial")+SUMIFS(Action_Log!$F:$F,Action_Log!$A:$A,$A145,Action_Log!$D:$D,"Structural")</f>
        <v/>
      </c>
      <c r="I145" s="61">
        <f>SUMIFS(Action_Log!$F:$F,Action_Log!$A:$A,$A145,Action_Log!$E:$E,"Negative")</f>
        <v/>
      </c>
      <c r="J145" s="62">
        <f>MAX(0,MIN(100,50+H145+I145))</f>
        <v/>
      </c>
      <c r="K145" s="63">
        <f>IF(J145&gt;=80,"Champion",IF(J145&gt;=65,"Ally",IF(J145&gt;=50,"Neutral",IF(J145&gt;=35,"Performative",IF(J145&gt;=20,"Harmful","Adversarial")))))</f>
        <v/>
      </c>
      <c r="L145" s="58" t="inlineStr">
        <is>
          <t>No</t>
        </is>
      </c>
      <c r="M145" s="58" t="inlineStr">
        <is>
          <t>No</t>
        </is>
      </c>
      <c r="N145" s="58" t="inlineStr">
        <is>
          <t>No</t>
        </is>
      </c>
      <c r="O145" s="58" t="inlineStr">
        <is>
          <t>No</t>
        </is>
      </c>
      <c r="P145" s="58" t="inlineStr">
        <is>
          <t>No</t>
        </is>
      </c>
      <c r="Q145" s="59" t="inlineStr">
        <is>
          <t>No meaningful public LGBTQ+ record located in either direction.</t>
        </is>
      </c>
    </row>
    <row r="146" ht="15" customHeight="1" s="42">
      <c r="A146" s="57" t="inlineStr">
        <is>
          <t>Duke Energy</t>
        </is>
      </c>
      <c r="B146" s="58" t="inlineStr">
        <is>
          <t>DUK</t>
        </is>
      </c>
      <c r="C146" s="59" t="inlineStr">
        <is>
          <t>Energy</t>
        </is>
      </c>
      <c r="D146" s="58" t="n">
        <v>30.4</v>
      </c>
      <c r="E146" s="58" t="inlineStr">
        <is>
          <t>Not rated</t>
        </is>
      </c>
      <c r="F146" s="58" t="inlineStr">
        <is>
          <t>—</t>
        </is>
      </c>
      <c r="G146" s="58" t="inlineStr">
        <is>
          <t>No</t>
        </is>
      </c>
      <c r="H146" s="60">
        <f>MIN(20,SUMIFS(Action_Log!$F:$F,Action_Log!$A:$A,$A146,Action_Log!$D:$D,"Cosmetic")+SUMIFS(Action_Log!$F:$F,Action_Log!$A:$A,$A146,Action_Log!$D:$D,"Commercial"))+SUMIFS(Action_Log!$F:$F,Action_Log!$A:$A,$A146,Action_Log!$D:$D,"Civic")+SUMIFS(Action_Log!$F:$F,Action_Log!$A:$A,$A146,Action_Log!$D:$D,"Financial")+SUMIFS(Action_Log!$F:$F,Action_Log!$A:$A,$A146,Action_Log!$D:$D,"Structural")</f>
        <v/>
      </c>
      <c r="I146" s="61">
        <f>SUMIFS(Action_Log!$F:$F,Action_Log!$A:$A,$A146,Action_Log!$E:$E,"Negative")</f>
        <v/>
      </c>
      <c r="J146" s="62">
        <f>MAX(0,MIN(100,50+H146+I146))</f>
        <v/>
      </c>
      <c r="K146" s="63">
        <f>IF(J146&gt;=80,"Champion",IF(J146&gt;=65,"Ally",IF(J146&gt;=50,"Neutral",IF(J146&gt;=35,"Performative",IF(J146&gt;=20,"Harmful","Adversarial")))))</f>
        <v/>
      </c>
      <c r="L146" s="58" t="inlineStr">
        <is>
          <t>No</t>
        </is>
      </c>
      <c r="M146" s="58" t="inlineStr">
        <is>
          <t>No</t>
        </is>
      </c>
      <c r="N146" s="58" t="inlineStr">
        <is>
          <t>No</t>
        </is>
      </c>
      <c r="O146" s="58" t="inlineStr">
        <is>
          <t>No</t>
        </is>
      </c>
      <c r="P146" s="58" t="inlineStr">
        <is>
          <t>No</t>
        </is>
      </c>
      <c r="Q146" s="59" t="inlineStr">
        <is>
          <t>Minimal public LGBTQ+ engagement; no documented reversal.</t>
        </is>
      </c>
    </row>
    <row r="147" ht="15" customHeight="1" s="42">
      <c r="A147" s="57" t="inlineStr">
        <is>
          <t>Dominion Energy</t>
        </is>
      </c>
      <c r="B147" s="58" t="inlineStr">
        <is>
          <t>D</t>
        </is>
      </c>
      <c r="C147" s="59" t="inlineStr">
        <is>
          <t>Energy</t>
        </is>
      </c>
      <c r="D147" s="58" t="n">
        <v>14.5</v>
      </c>
      <c r="E147" s="58" t="inlineStr">
        <is>
          <t>Not rated</t>
        </is>
      </c>
      <c r="F147" s="58" t="inlineStr">
        <is>
          <t>—</t>
        </is>
      </c>
      <c r="G147" s="58" t="inlineStr">
        <is>
          <t>No</t>
        </is>
      </c>
      <c r="H147" s="60">
        <f>MIN(20,SUMIFS(Action_Log!$F:$F,Action_Log!$A:$A,$A147,Action_Log!$D:$D,"Cosmetic")+SUMIFS(Action_Log!$F:$F,Action_Log!$A:$A,$A147,Action_Log!$D:$D,"Commercial"))+SUMIFS(Action_Log!$F:$F,Action_Log!$A:$A,$A147,Action_Log!$D:$D,"Civic")+SUMIFS(Action_Log!$F:$F,Action_Log!$A:$A,$A147,Action_Log!$D:$D,"Financial")+SUMIFS(Action_Log!$F:$F,Action_Log!$A:$A,$A147,Action_Log!$D:$D,"Structural")</f>
        <v/>
      </c>
      <c r="I147" s="61">
        <f>SUMIFS(Action_Log!$F:$F,Action_Log!$A:$A,$A147,Action_Log!$E:$E,"Negative")</f>
        <v/>
      </c>
      <c r="J147" s="62">
        <f>MAX(0,MIN(100,50+H147+I147))</f>
        <v/>
      </c>
      <c r="K147" s="63">
        <f>IF(J147&gt;=80,"Champion",IF(J147&gt;=65,"Ally",IF(J147&gt;=50,"Neutral",IF(J147&gt;=35,"Performative",IF(J147&gt;=20,"Harmful","Adversarial")))))</f>
        <v/>
      </c>
      <c r="L147" s="58" t="inlineStr">
        <is>
          <t>No</t>
        </is>
      </c>
      <c r="M147" s="58" t="inlineStr">
        <is>
          <t>No</t>
        </is>
      </c>
      <c r="N147" s="58" t="inlineStr">
        <is>
          <t>No</t>
        </is>
      </c>
      <c r="O147" s="58" t="inlineStr">
        <is>
          <t>No</t>
        </is>
      </c>
      <c r="P147" s="58" t="inlineStr">
        <is>
          <t>No</t>
        </is>
      </c>
      <c r="Q147" s="59" t="inlineStr">
        <is>
          <t>Sponsored Virginia Pride events in prior years; otherwise minimal engagement, no documented reversal.</t>
        </is>
      </c>
    </row>
    <row r="148" ht="15" customHeight="1" s="42">
      <c r="A148" s="57" t="inlineStr">
        <is>
          <t>Rivian</t>
        </is>
      </c>
      <c r="B148" s="58" t="inlineStr">
        <is>
          <t>RIVN</t>
        </is>
      </c>
      <c r="C148" s="59" t="inlineStr">
        <is>
          <t>Automotive</t>
        </is>
      </c>
      <c r="D148" s="58" t="n">
        <v>5</v>
      </c>
      <c r="E148" s="58" t="inlineStr">
        <is>
          <t>Not rated</t>
        </is>
      </c>
      <c r="F148" s="58" t="inlineStr">
        <is>
          <t>—</t>
        </is>
      </c>
      <c r="G148" s="58" t="inlineStr">
        <is>
          <t>Never</t>
        </is>
      </c>
      <c r="H148" s="60">
        <f>MIN(20,SUMIFS(Action_Log!$F:$F,Action_Log!$A:$A,$A148,Action_Log!$D:$D,"Cosmetic")+SUMIFS(Action_Log!$F:$F,Action_Log!$A:$A,$A148,Action_Log!$D:$D,"Commercial"))+SUMIFS(Action_Log!$F:$F,Action_Log!$A:$A,$A148,Action_Log!$D:$D,"Civic")+SUMIFS(Action_Log!$F:$F,Action_Log!$A:$A,$A148,Action_Log!$D:$D,"Financial")+SUMIFS(Action_Log!$F:$F,Action_Log!$A:$A,$A148,Action_Log!$D:$D,"Structural")</f>
        <v/>
      </c>
      <c r="I148" s="61">
        <f>SUMIFS(Action_Log!$F:$F,Action_Log!$A:$A,$A148,Action_Log!$E:$E,"Negative")</f>
        <v/>
      </c>
      <c r="J148" s="62">
        <f>MAX(0,MIN(100,50+H148+I148))</f>
        <v/>
      </c>
      <c r="K148" s="63">
        <f>IF(J148&gt;=80,"Champion",IF(J148&gt;=65,"Ally",IF(J148&gt;=50,"Neutral",IF(J148&gt;=35,"Performative",IF(J148&gt;=20,"Harmful","Adversarial")))))</f>
        <v/>
      </c>
      <c r="L148" s="58" t="inlineStr">
        <is>
          <t>No</t>
        </is>
      </c>
      <c r="M148" s="58" t="inlineStr">
        <is>
          <t>No</t>
        </is>
      </c>
      <c r="N148" s="58" t="inlineStr">
        <is>
          <t>No</t>
        </is>
      </c>
      <c r="O148" s="58" t="inlineStr">
        <is>
          <t>No</t>
        </is>
      </c>
      <c r="P148" s="58" t="inlineStr">
        <is>
          <t>No</t>
        </is>
      </c>
      <c r="Q148" s="59" t="inlineStr">
        <is>
          <t>No meaningful public LGBTQ+ record located in either direction; young company.</t>
        </is>
      </c>
    </row>
    <row r="149" ht="15" customHeight="1" s="42">
      <c r="A149" s="57" t="inlineStr">
        <is>
          <t>Lucid Group</t>
        </is>
      </c>
      <c r="B149" s="58" t="inlineStr">
        <is>
          <t>LCID</t>
        </is>
      </c>
      <c r="C149" s="59" t="inlineStr">
        <is>
          <t>Automotive</t>
        </is>
      </c>
      <c r="D149" s="58" t="n">
        <v>0.8</v>
      </c>
      <c r="E149" s="58" t="inlineStr">
        <is>
          <t>Not rated</t>
        </is>
      </c>
      <c r="F149" s="58" t="inlineStr">
        <is>
          <t>—</t>
        </is>
      </c>
      <c r="G149" s="58" t="inlineStr">
        <is>
          <t>Never</t>
        </is>
      </c>
      <c r="H149" s="60">
        <f>MIN(20,SUMIFS(Action_Log!$F:$F,Action_Log!$A:$A,$A149,Action_Log!$D:$D,"Cosmetic")+SUMIFS(Action_Log!$F:$F,Action_Log!$A:$A,$A149,Action_Log!$D:$D,"Commercial"))+SUMIFS(Action_Log!$F:$F,Action_Log!$A:$A,$A149,Action_Log!$D:$D,"Civic")+SUMIFS(Action_Log!$F:$F,Action_Log!$A:$A,$A149,Action_Log!$D:$D,"Financial")+SUMIFS(Action_Log!$F:$F,Action_Log!$A:$A,$A149,Action_Log!$D:$D,"Structural")</f>
        <v/>
      </c>
      <c r="I149" s="61">
        <f>SUMIFS(Action_Log!$F:$F,Action_Log!$A:$A,$A149,Action_Log!$E:$E,"Negative")</f>
        <v/>
      </c>
      <c r="J149" s="62">
        <f>MAX(0,MIN(100,50+H149+I149))</f>
        <v/>
      </c>
      <c r="K149" s="63">
        <f>IF(J149&gt;=80,"Champion",IF(J149&gt;=65,"Ally",IF(J149&gt;=50,"Neutral",IF(J149&gt;=35,"Performative",IF(J149&gt;=20,"Harmful","Adversarial")))))</f>
        <v/>
      </c>
      <c r="L149" s="58" t="inlineStr">
        <is>
          <t>No</t>
        </is>
      </c>
      <c r="M149" s="58" t="inlineStr">
        <is>
          <t>No</t>
        </is>
      </c>
      <c r="N149" s="58" t="inlineStr">
        <is>
          <t>No</t>
        </is>
      </c>
      <c r="O149" s="58" t="inlineStr">
        <is>
          <t>No</t>
        </is>
      </c>
      <c r="P149" s="58" t="inlineStr">
        <is>
          <t>No</t>
        </is>
      </c>
      <c r="Q149" s="59" t="inlineStr">
        <is>
          <t>No meaningful public LGBTQ+ record located in either direction; young company majority-owned by Saudi Arabia's PIF.</t>
        </is>
      </c>
    </row>
    <row r="150" ht="15" customHeight="1" s="42">
      <c r="A150" s="57" t="inlineStr">
        <is>
          <t>Wyndham Hotels &amp; Resorts</t>
        </is>
      </c>
      <c r="B150" s="58" t="inlineStr">
        <is>
          <t>WH</t>
        </is>
      </c>
      <c r="C150" s="59" t="inlineStr">
        <is>
          <t>Hospitality &amp; Travel</t>
        </is>
      </c>
      <c r="D150" s="58" t="n">
        <v>1.4</v>
      </c>
      <c r="E150" s="58" t="n">
        <v>100</v>
      </c>
      <c r="F150" s="58" t="n">
        <v>2024</v>
      </c>
      <c r="G150" s="58" t="inlineStr">
        <is>
          <t>No</t>
        </is>
      </c>
      <c r="H150" s="60">
        <f>MIN(20,SUMIFS(Action_Log!$F:$F,Action_Log!$A:$A,$A150,Action_Log!$D:$D,"Cosmetic")+SUMIFS(Action_Log!$F:$F,Action_Log!$A:$A,$A150,Action_Log!$D:$D,"Commercial"))+SUMIFS(Action_Log!$F:$F,Action_Log!$A:$A,$A150,Action_Log!$D:$D,"Civic")+SUMIFS(Action_Log!$F:$F,Action_Log!$A:$A,$A150,Action_Log!$D:$D,"Financial")+SUMIFS(Action_Log!$F:$F,Action_Log!$A:$A,$A150,Action_Log!$D:$D,"Structural")</f>
        <v/>
      </c>
      <c r="I150" s="61">
        <f>SUMIFS(Action_Log!$F:$F,Action_Log!$A:$A,$A150,Action_Log!$E:$E,"Negative")</f>
        <v/>
      </c>
      <c r="J150" s="62">
        <f>MAX(0,MIN(100,50+H150+I150))</f>
        <v/>
      </c>
      <c r="K150" s="63">
        <f>IF(J150&gt;=80,"Champion",IF(J150&gt;=65,"Ally",IF(J150&gt;=50,"Neutral",IF(J150&gt;=35,"Performative",IF(J150&gt;=20,"Harmful","Adversarial")))))</f>
        <v/>
      </c>
      <c r="L150" s="58" t="inlineStr">
        <is>
          <t>No</t>
        </is>
      </c>
      <c r="M150" s="58" t="inlineStr">
        <is>
          <t>No</t>
        </is>
      </c>
      <c r="N150" s="58" t="inlineStr">
        <is>
          <t>No</t>
        </is>
      </c>
      <c r="O150" s="58" t="inlineStr">
        <is>
          <t>No</t>
        </is>
      </c>
      <c r="P150" s="58" t="inlineStr">
        <is>
          <t>No</t>
        </is>
      </c>
      <c r="Q150" s="59" t="inlineStr">
        <is>
          <t>Minimal public LGBTQ+ engagement; no documented reversal.</t>
        </is>
      </c>
    </row>
    <row r="151" ht="15" customHeight="1" s="42">
      <c r="A151" s="57" t="inlineStr">
        <is>
          <t>Hyatt Hotels</t>
        </is>
      </c>
      <c r="B151" s="58" t="inlineStr">
        <is>
          <t>H</t>
        </is>
      </c>
      <c r="C151" s="59" t="inlineStr">
        <is>
          <t>Hospitality &amp; Travel</t>
        </is>
      </c>
      <c r="D151" s="58" t="n">
        <v>6.6</v>
      </c>
      <c r="E151" s="58" t="n">
        <v>100</v>
      </c>
      <c r="F151" s="58" t="n">
        <v>2024</v>
      </c>
      <c r="G151" s="58" t="inlineStr">
        <is>
          <t>Yes</t>
        </is>
      </c>
      <c r="H151" s="60">
        <f>MIN(20,SUMIFS(Action_Log!$F:$F,Action_Log!$A:$A,$A151,Action_Log!$D:$D,"Cosmetic")+SUMIFS(Action_Log!$F:$F,Action_Log!$A:$A,$A151,Action_Log!$D:$D,"Commercial"))+SUMIFS(Action_Log!$F:$F,Action_Log!$A:$A,$A151,Action_Log!$D:$D,"Civic")+SUMIFS(Action_Log!$F:$F,Action_Log!$A:$A,$A151,Action_Log!$D:$D,"Financial")+SUMIFS(Action_Log!$F:$F,Action_Log!$A:$A,$A151,Action_Log!$D:$D,"Structural")</f>
        <v/>
      </c>
      <c r="I151" s="61">
        <f>SUMIFS(Action_Log!$F:$F,Action_Log!$A:$A,$A151,Action_Log!$E:$E,"Negative")</f>
        <v/>
      </c>
      <c r="J151" s="62">
        <f>MAX(0,MIN(100,50+H151+I151))</f>
        <v/>
      </c>
      <c r="K151" s="63">
        <f>IF(J151&gt;=80,"Champion",IF(J151&gt;=65,"Ally",IF(J151&gt;=50,"Neutral",IF(J151&gt;=35,"Performative",IF(J151&gt;=20,"Harmful","Adversarial")))))</f>
        <v/>
      </c>
      <c r="L151" s="58" t="inlineStr">
        <is>
          <t>No</t>
        </is>
      </c>
      <c r="M151" s="58" t="inlineStr">
        <is>
          <t>No</t>
        </is>
      </c>
      <c r="N151" s="58" t="inlineStr">
        <is>
          <t>No</t>
        </is>
      </c>
      <c r="O151" s="58" t="inlineStr">
        <is>
          <t>No</t>
        </is>
      </c>
      <c r="P151" s="58" t="inlineStr">
        <is>
          <t>No</t>
        </is>
      </c>
      <c r="Q151" s="59" t="inlineStr">
        <is>
          <t>WorldPride 2025 supporter alongside Hilton while peers withdrew; CEI 100 record; longtime LGBTQ+ travel marketer.</t>
        </is>
      </c>
    </row>
    <row r="152" ht="15" customHeight="1" s="42">
      <c r="A152" s="57" t="inlineStr">
        <is>
          <t>Southwest Airlines</t>
        </is>
      </c>
      <c r="B152" s="58" t="inlineStr">
        <is>
          <t>LUV</t>
        </is>
      </c>
      <c r="C152" s="59" t="inlineStr">
        <is>
          <t>Hospitality &amp; Travel</t>
        </is>
      </c>
      <c r="D152" s="58" t="n">
        <v>27.5</v>
      </c>
      <c r="E152" s="58" t="n">
        <v>100</v>
      </c>
      <c r="F152" s="58" t="n">
        <v>2024</v>
      </c>
      <c r="G152" s="58" t="inlineStr">
        <is>
          <t>No</t>
        </is>
      </c>
      <c r="H152" s="60">
        <f>MIN(20,SUMIFS(Action_Log!$F:$F,Action_Log!$A:$A,$A152,Action_Log!$D:$D,"Cosmetic")+SUMIFS(Action_Log!$F:$F,Action_Log!$A:$A,$A152,Action_Log!$D:$D,"Commercial"))+SUMIFS(Action_Log!$F:$F,Action_Log!$A:$A,$A152,Action_Log!$D:$D,"Civic")+SUMIFS(Action_Log!$F:$F,Action_Log!$A:$A,$A152,Action_Log!$D:$D,"Financial")+SUMIFS(Action_Log!$F:$F,Action_Log!$A:$A,$A152,Action_Log!$D:$D,"Structural")</f>
        <v/>
      </c>
      <c r="I152" s="61">
        <f>SUMIFS(Action_Log!$F:$F,Action_Log!$A:$A,$A152,Action_Log!$E:$E,"Negative")</f>
        <v/>
      </c>
      <c r="J152" s="62">
        <f>MAX(0,MIN(100,50+H152+I152))</f>
        <v/>
      </c>
      <c r="K152" s="63">
        <f>IF(J152&gt;=80,"Champion",IF(J152&gt;=65,"Ally",IF(J152&gt;=50,"Neutral",IF(J152&gt;=35,"Performative",IF(J152&gt;=20,"Harmful","Adversarial")))))</f>
        <v/>
      </c>
      <c r="L152" s="58" t="inlineStr">
        <is>
          <t>No</t>
        </is>
      </c>
      <c r="M152" s="58" t="inlineStr">
        <is>
          <t>No</t>
        </is>
      </c>
      <c r="N152" s="58" t="inlineStr">
        <is>
          <t>No</t>
        </is>
      </c>
      <c r="O152" s="58" t="inlineStr">
        <is>
          <t>No</t>
        </is>
      </c>
      <c r="P152" s="58" t="inlineStr">
        <is>
          <t>No</t>
        </is>
      </c>
      <c r="Q152" s="59" t="inlineStr">
        <is>
          <t>Board defended diversity commitments in 2025 proxy season; quiet otherwise with CEI 100 record and an active ERG.</t>
        </is>
      </c>
    </row>
    <row r="153" ht="15" customHeight="1" s="42">
      <c r="A153" s="57" t="inlineStr">
        <is>
          <t>JetBlue Airways</t>
        </is>
      </c>
      <c r="B153" s="58" t="inlineStr">
        <is>
          <t>JBLU</t>
        </is>
      </c>
      <c r="C153" s="59" t="inlineStr">
        <is>
          <t>Hospitality &amp; Travel</t>
        </is>
      </c>
      <c r="D153" s="58" t="n">
        <v>9.300000000000001</v>
      </c>
      <c r="E153" s="58" t="n">
        <v>100</v>
      </c>
      <c r="F153" s="58" t="n">
        <v>2024</v>
      </c>
      <c r="G153" s="58" t="inlineStr">
        <is>
          <t>Yes</t>
        </is>
      </c>
      <c r="H153" s="60">
        <f>MIN(20,SUMIFS(Action_Log!$F:$F,Action_Log!$A:$A,$A153,Action_Log!$D:$D,"Cosmetic")+SUMIFS(Action_Log!$F:$F,Action_Log!$A:$A,$A153,Action_Log!$D:$D,"Commercial"))+SUMIFS(Action_Log!$F:$F,Action_Log!$A:$A,$A153,Action_Log!$D:$D,"Civic")+SUMIFS(Action_Log!$F:$F,Action_Log!$A:$A,$A153,Action_Log!$D:$D,"Financial")+SUMIFS(Action_Log!$F:$F,Action_Log!$A:$A,$A153,Action_Log!$D:$D,"Structural")</f>
        <v/>
      </c>
      <c r="I153" s="61">
        <f>SUMIFS(Action_Log!$F:$F,Action_Log!$A:$A,$A153,Action_Log!$E:$E,"Negative")</f>
        <v/>
      </c>
      <c r="J153" s="62">
        <f>MAX(0,MIN(100,50+H153+I153))</f>
        <v/>
      </c>
      <c r="K153" s="63">
        <f>IF(J153&gt;=80,"Champion",IF(J153&gt;=65,"Ally",IF(J153&gt;=50,"Neutral",IF(J153&gt;=35,"Performative",IF(J153&gt;=20,"Harmful","Adversarial")))))</f>
        <v/>
      </c>
      <c r="L153" s="58" t="inlineStr">
        <is>
          <t>No</t>
        </is>
      </c>
      <c r="M153" s="58" t="inlineStr">
        <is>
          <t>No</t>
        </is>
      </c>
      <c r="N153" s="58" t="inlineStr">
        <is>
          <t>No</t>
        </is>
      </c>
      <c r="O153" s="58" t="inlineStr">
        <is>
          <t>No</t>
        </is>
      </c>
      <c r="P153" s="58" t="inlineStr">
        <is>
          <t>No</t>
        </is>
      </c>
      <c r="Q153" s="59" t="inlineStr">
        <is>
          <t>Longtime NYC Pride participant with Pride-livery flights and JetPride crew network; no documented reversal.</t>
        </is>
      </c>
    </row>
    <row r="154" ht="15" customHeight="1" s="42">
      <c r="A154" s="57" t="inlineStr">
        <is>
          <t>Royal Caribbean Group</t>
        </is>
      </c>
      <c r="B154" s="58" t="inlineStr">
        <is>
          <t>RCL</t>
        </is>
      </c>
      <c r="C154" s="59" t="inlineStr">
        <is>
          <t>Hospitality &amp; Travel</t>
        </is>
      </c>
      <c r="D154" s="58" t="n">
        <v>16.5</v>
      </c>
      <c r="E154" s="58" t="inlineStr">
        <is>
          <t>Not rated</t>
        </is>
      </c>
      <c r="F154" s="58" t="inlineStr">
        <is>
          <t>—</t>
        </is>
      </c>
      <c r="G154" s="58" t="inlineStr">
        <is>
          <t>No</t>
        </is>
      </c>
      <c r="H154" s="60">
        <f>MIN(20,SUMIFS(Action_Log!$F:$F,Action_Log!$A:$A,$A154,Action_Log!$D:$D,"Cosmetic")+SUMIFS(Action_Log!$F:$F,Action_Log!$A:$A,$A154,Action_Log!$D:$D,"Commercial"))+SUMIFS(Action_Log!$F:$F,Action_Log!$A:$A,$A154,Action_Log!$D:$D,"Civic")+SUMIFS(Action_Log!$F:$F,Action_Log!$A:$A,$A154,Action_Log!$D:$D,"Financial")+SUMIFS(Action_Log!$F:$F,Action_Log!$A:$A,$A154,Action_Log!$D:$D,"Structural")</f>
        <v/>
      </c>
      <c r="I154" s="61">
        <f>SUMIFS(Action_Log!$F:$F,Action_Log!$A:$A,$A154,Action_Log!$E:$E,"Negative")</f>
        <v/>
      </c>
      <c r="J154" s="62">
        <f>MAX(0,MIN(100,50+H154+I154))</f>
        <v/>
      </c>
      <c r="K154" s="63">
        <f>IF(J154&gt;=80,"Champion",IF(J154&gt;=65,"Ally",IF(J154&gt;=50,"Neutral",IF(J154&gt;=35,"Performative",IF(J154&gt;=20,"Harmful","Adversarial")))))</f>
        <v/>
      </c>
      <c r="L154" s="58" t="inlineStr">
        <is>
          <t>No</t>
        </is>
      </c>
      <c r="M154" s="58" t="inlineStr">
        <is>
          <t>No</t>
        </is>
      </c>
      <c r="N154" s="58" t="inlineStr">
        <is>
          <t>No</t>
        </is>
      </c>
      <c r="O154" s="58" t="inlineStr">
        <is>
          <t>No</t>
        </is>
      </c>
      <c r="P154" s="58" t="inlineStr">
        <is>
          <t>No</t>
        </is>
      </c>
      <c r="Q154" s="59" t="inlineStr">
        <is>
          <t>Hosts Pride sailings/events onboard; minimal corporate-level commitments documented.</t>
        </is>
      </c>
    </row>
    <row r="155" ht="15" customHeight="1" s="42">
      <c r="A155" s="57" t="inlineStr">
        <is>
          <t>Carnival Corporation</t>
        </is>
      </c>
      <c r="B155" s="58" t="inlineStr">
        <is>
          <t>CCL</t>
        </is>
      </c>
      <c r="C155" s="59" t="inlineStr">
        <is>
          <t>Hospitality &amp; Travel</t>
        </is>
      </c>
      <c r="D155" s="58" t="n">
        <v>25</v>
      </c>
      <c r="E155" s="58" t="inlineStr">
        <is>
          <t>Not rated</t>
        </is>
      </c>
      <c r="F155" s="58" t="inlineStr">
        <is>
          <t>—</t>
        </is>
      </c>
      <c r="G155" s="58" t="inlineStr">
        <is>
          <t>No</t>
        </is>
      </c>
      <c r="H155" s="60">
        <f>MIN(20,SUMIFS(Action_Log!$F:$F,Action_Log!$A:$A,$A155,Action_Log!$D:$D,"Cosmetic")+SUMIFS(Action_Log!$F:$F,Action_Log!$A:$A,$A155,Action_Log!$D:$D,"Commercial"))+SUMIFS(Action_Log!$F:$F,Action_Log!$A:$A,$A155,Action_Log!$D:$D,"Civic")+SUMIFS(Action_Log!$F:$F,Action_Log!$A:$A,$A155,Action_Log!$D:$D,"Financial")+SUMIFS(Action_Log!$F:$F,Action_Log!$A:$A,$A155,Action_Log!$D:$D,"Structural")</f>
        <v/>
      </c>
      <c r="I155" s="61">
        <f>SUMIFS(Action_Log!$F:$F,Action_Log!$A:$A,$A155,Action_Log!$E:$E,"Negative")</f>
        <v/>
      </c>
      <c r="J155" s="62">
        <f>MAX(0,MIN(100,50+H155+I155))</f>
        <v/>
      </c>
      <c r="K155" s="63">
        <f>IF(J155&gt;=80,"Champion",IF(J155&gt;=65,"Ally",IF(J155&gt;=50,"Neutral",IF(J155&gt;=35,"Performative",IF(J155&gt;=20,"Harmful","Adversarial")))))</f>
        <v/>
      </c>
      <c r="L155" s="58" t="inlineStr">
        <is>
          <t>No</t>
        </is>
      </c>
      <c r="M155" s="58" t="inlineStr">
        <is>
          <t>No</t>
        </is>
      </c>
      <c r="N155" s="58" t="inlineStr">
        <is>
          <t>No</t>
        </is>
      </c>
      <c r="O155" s="58" t="inlineStr">
        <is>
          <t>No</t>
        </is>
      </c>
      <c r="P155" s="58" t="inlineStr">
        <is>
          <t>No</t>
        </is>
      </c>
      <c r="Q155" s="59" t="inlineStr">
        <is>
          <t>LGBTQ+-welcoming cruise marketing and onboard Pride events; minimal corporate-level commitments documented.</t>
        </is>
      </c>
    </row>
    <row r="156" ht="15" customHeight="1" s="42">
      <c r="A156" s="57" t="inlineStr">
        <is>
          <t>Kimberly-Clark</t>
        </is>
      </c>
      <c r="B156" s="58" t="inlineStr">
        <is>
          <t>KMB</t>
        </is>
      </c>
      <c r="C156" s="59" t="inlineStr">
        <is>
          <t>Consumer Goods</t>
        </is>
      </c>
      <c r="D156" s="58" t="n">
        <v>20.1</v>
      </c>
      <c r="E156" s="58" t="n">
        <v>100</v>
      </c>
      <c r="F156" s="58" t="n">
        <v>2024</v>
      </c>
      <c r="G156" s="58" t="inlineStr">
        <is>
          <t>Yes</t>
        </is>
      </c>
      <c r="H156" s="60">
        <f>MIN(20,SUMIFS(Action_Log!$F:$F,Action_Log!$A:$A,$A156,Action_Log!$D:$D,"Cosmetic")+SUMIFS(Action_Log!$F:$F,Action_Log!$A:$A,$A156,Action_Log!$D:$D,"Commercial"))+SUMIFS(Action_Log!$F:$F,Action_Log!$A:$A,$A156,Action_Log!$D:$D,"Civic")+SUMIFS(Action_Log!$F:$F,Action_Log!$A:$A,$A156,Action_Log!$D:$D,"Financial")+SUMIFS(Action_Log!$F:$F,Action_Log!$A:$A,$A156,Action_Log!$D:$D,"Structural")</f>
        <v/>
      </c>
      <c r="I156" s="61">
        <f>SUMIFS(Action_Log!$F:$F,Action_Log!$A:$A,$A156,Action_Log!$E:$E,"Negative")</f>
        <v/>
      </c>
      <c r="J156" s="62">
        <f>MAX(0,MIN(100,50+H156+I156))</f>
        <v/>
      </c>
      <c r="K156" s="63">
        <f>IF(J156&gt;=80,"Champion",IF(J156&gt;=65,"Ally",IF(J156&gt;=50,"Neutral",IF(J156&gt;=35,"Performative",IF(J156&gt;=20,"Harmful","Adversarial")))))</f>
        <v/>
      </c>
      <c r="L156" s="58" t="inlineStr">
        <is>
          <t>No</t>
        </is>
      </c>
      <c r="M156" s="58" t="inlineStr">
        <is>
          <t>No</t>
        </is>
      </c>
      <c r="N156" s="58" t="inlineStr">
        <is>
          <t>No</t>
        </is>
      </c>
      <c r="O156" s="58" t="inlineStr">
        <is>
          <t>No</t>
        </is>
      </c>
      <c r="P156" s="58" t="inlineStr">
        <is>
          <t>No</t>
        </is>
      </c>
      <c r="Q156" s="59" t="inlineStr">
        <is>
          <t>Quiet CEI 100 holder with inclusive benefits; no documented reversal.</t>
        </is>
      </c>
    </row>
    <row r="157" ht="15" customHeight="1" s="42">
      <c r="A157" s="57" t="inlineStr">
        <is>
          <t>Estée Lauder</t>
        </is>
      </c>
      <c r="B157" s="58" t="inlineStr">
        <is>
          <t>EL</t>
        </is>
      </c>
      <c r="C157" s="59" t="inlineStr">
        <is>
          <t>Consumer Goods</t>
        </is>
      </c>
      <c r="D157" s="58" t="n">
        <v>15.6</v>
      </c>
      <c r="E157" s="58" t="n">
        <v>100</v>
      </c>
      <c r="F157" s="58" t="n">
        <v>2024</v>
      </c>
      <c r="G157" s="58" t="inlineStr">
        <is>
          <t>Yes</t>
        </is>
      </c>
      <c r="H157" s="60">
        <f>MIN(20,SUMIFS(Action_Log!$F:$F,Action_Log!$A:$A,$A157,Action_Log!$D:$D,"Cosmetic")+SUMIFS(Action_Log!$F:$F,Action_Log!$A:$A,$A157,Action_Log!$D:$D,"Commercial"))+SUMIFS(Action_Log!$F:$F,Action_Log!$A:$A,$A157,Action_Log!$D:$D,"Civic")+SUMIFS(Action_Log!$F:$F,Action_Log!$A:$A,$A157,Action_Log!$D:$D,"Financial")+SUMIFS(Action_Log!$F:$F,Action_Log!$A:$A,$A157,Action_Log!$D:$D,"Structural")</f>
        <v/>
      </c>
      <c r="I157" s="61">
        <f>SUMIFS(Action_Log!$F:$F,Action_Log!$A:$A,$A157,Action_Log!$E:$E,"Negative")</f>
        <v/>
      </c>
      <c r="J157" s="62">
        <f>MAX(0,MIN(100,50+H157+I157))</f>
        <v/>
      </c>
      <c r="K157" s="63">
        <f>IF(J157&gt;=80,"Champion",IF(J157&gt;=65,"Ally",IF(J157&gt;=50,"Neutral",IF(J157&gt;=35,"Performative",IF(J157&gt;=20,"Harmful","Adversarial")))))</f>
        <v/>
      </c>
      <c r="L157" s="58" t="inlineStr">
        <is>
          <t>No</t>
        </is>
      </c>
      <c r="M157" s="58" t="inlineStr">
        <is>
          <t>No</t>
        </is>
      </c>
      <c r="N157" s="58" t="inlineStr">
        <is>
          <t>No</t>
        </is>
      </c>
      <c r="O157" s="58" t="inlineStr">
        <is>
          <t>No</t>
        </is>
      </c>
      <c r="P157" s="58" t="inlineStr">
        <is>
          <t>No</t>
        </is>
      </c>
      <c r="Q157" s="59" t="inlineStr">
        <is>
          <t>MAC VIVA GLAM has donated 100% of its selling price to HIV/AIDS and LGBTQ+ causes since 1994 — over $500M raised. The longest-running, largest cosmetics commitment to the community.</t>
        </is>
      </c>
    </row>
    <row r="158" ht="15" customHeight="1" s="42">
      <c r="A158" s="57" t="inlineStr">
        <is>
          <t>Clorox</t>
        </is>
      </c>
      <c r="B158" s="58" t="inlineStr">
        <is>
          <t>CLX</t>
        </is>
      </c>
      <c r="C158" s="59" t="inlineStr">
        <is>
          <t>Consumer Goods</t>
        </is>
      </c>
      <c r="D158" s="58" t="n">
        <v>7.1</v>
      </c>
      <c r="E158" s="58" t="n">
        <v>100</v>
      </c>
      <c r="F158" s="58" t="n">
        <v>2024</v>
      </c>
      <c r="G158" s="58" t="inlineStr">
        <is>
          <t>Yes</t>
        </is>
      </c>
      <c r="H158" s="60">
        <f>MIN(20,SUMIFS(Action_Log!$F:$F,Action_Log!$A:$A,$A158,Action_Log!$D:$D,"Cosmetic")+SUMIFS(Action_Log!$F:$F,Action_Log!$A:$A,$A158,Action_Log!$D:$D,"Commercial"))+SUMIFS(Action_Log!$F:$F,Action_Log!$A:$A,$A158,Action_Log!$D:$D,"Civic")+SUMIFS(Action_Log!$F:$F,Action_Log!$A:$A,$A158,Action_Log!$D:$D,"Financial")+SUMIFS(Action_Log!$F:$F,Action_Log!$A:$A,$A158,Action_Log!$D:$D,"Structural")</f>
        <v/>
      </c>
      <c r="I158" s="61">
        <f>SUMIFS(Action_Log!$F:$F,Action_Log!$A:$A,$A158,Action_Log!$E:$E,"Negative")</f>
        <v/>
      </c>
      <c r="J158" s="62">
        <f>MAX(0,MIN(100,50+H158+I158))</f>
        <v/>
      </c>
      <c r="K158" s="63">
        <f>IF(J158&gt;=80,"Champion",IF(J158&gt;=65,"Ally",IF(J158&gt;=50,"Neutral",IF(J158&gt;=35,"Performative",IF(J158&gt;=20,"Harmful","Adversarial")))))</f>
        <v/>
      </c>
      <c r="L158" s="58" t="inlineStr">
        <is>
          <t>No</t>
        </is>
      </c>
      <c r="M158" s="58" t="inlineStr">
        <is>
          <t>No</t>
        </is>
      </c>
      <c r="N158" s="58" t="inlineStr">
        <is>
          <t>No</t>
        </is>
      </c>
      <c r="O158" s="58" t="inlineStr">
        <is>
          <t>No</t>
        </is>
      </c>
      <c r="P158" s="58" t="inlineStr">
        <is>
          <t>No</t>
        </is>
      </c>
      <c r="Q158" s="59" t="inlineStr">
        <is>
          <t>Quiet CEI 100 holder with inclusive benefits; no documented reversal.</t>
        </is>
      </c>
    </row>
    <row r="159" ht="15" customHeight="1" s="42">
      <c r="A159" s="57" t="inlineStr">
        <is>
          <t>Northrop Grumman</t>
        </is>
      </c>
      <c r="B159" s="58" t="inlineStr">
        <is>
          <t>NOC</t>
        </is>
      </c>
      <c r="C159" s="59" t="inlineStr">
        <is>
          <t>Defense &amp; Gov Contracting</t>
        </is>
      </c>
      <c r="D159" s="58" t="n">
        <v>41</v>
      </c>
      <c r="E159" s="58" t="n">
        <v>100</v>
      </c>
      <c r="F159" s="58" t="n">
        <v>2024</v>
      </c>
      <c r="G159" s="58" t="inlineStr">
        <is>
          <t>No</t>
        </is>
      </c>
      <c r="H159" s="60">
        <f>MIN(20,SUMIFS(Action_Log!$F:$F,Action_Log!$A:$A,$A159,Action_Log!$D:$D,"Cosmetic")+SUMIFS(Action_Log!$F:$F,Action_Log!$A:$A,$A159,Action_Log!$D:$D,"Commercial"))+SUMIFS(Action_Log!$F:$F,Action_Log!$A:$A,$A159,Action_Log!$D:$D,"Civic")+SUMIFS(Action_Log!$F:$F,Action_Log!$A:$A,$A159,Action_Log!$D:$D,"Financial")+SUMIFS(Action_Log!$F:$F,Action_Log!$A:$A,$A159,Action_Log!$D:$D,"Structural")</f>
        <v/>
      </c>
      <c r="I159" s="61">
        <f>SUMIFS(Action_Log!$F:$F,Action_Log!$A:$A,$A159,Action_Log!$E:$E,"Negative")</f>
        <v/>
      </c>
      <c r="J159" s="62">
        <f>MAX(0,MIN(100,50+H159+I159))</f>
        <v/>
      </c>
      <c r="K159" s="63">
        <f>IF(J159&gt;=80,"Champion",IF(J159&gt;=65,"Ally",IF(J159&gt;=50,"Neutral",IF(J159&gt;=35,"Performative",IF(J159&gt;=20,"Harmful","Adversarial")))))</f>
        <v/>
      </c>
      <c r="L159" s="58" t="inlineStr">
        <is>
          <t>Yes</t>
        </is>
      </c>
      <c r="M159" s="58" t="inlineStr">
        <is>
          <t>Yes</t>
        </is>
      </c>
      <c r="N159" s="58" t="inlineStr">
        <is>
          <t>No</t>
        </is>
      </c>
      <c r="O159" s="58" t="inlineStr">
        <is>
          <t>No</t>
        </is>
      </c>
      <c r="P159" s="58" t="inlineStr">
        <is>
          <t>No</t>
        </is>
      </c>
      <c r="Q159" s="59" t="inlineStr">
        <is>
          <t>Removed DEI webpages (now dead links) in the early-2025 defense-sector scrub documented by Breaking Defense; previously CEI 100 with a Pride ERG.</t>
        </is>
      </c>
    </row>
    <row r="160" ht="15" customHeight="1" s="42">
      <c r="A160" s="57" t="inlineStr">
        <is>
          <t>General Dynamics</t>
        </is>
      </c>
      <c r="B160" s="58" t="inlineStr">
        <is>
          <t>GD</t>
        </is>
      </c>
      <c r="C160" s="59" t="inlineStr">
        <is>
          <t>Defense &amp; Gov Contracting</t>
        </is>
      </c>
      <c r="D160" s="58" t="n">
        <v>47.7</v>
      </c>
      <c r="E160" s="58" t="n">
        <v>100</v>
      </c>
      <c r="F160" s="58" t="n">
        <v>2024</v>
      </c>
      <c r="G160" s="58" t="inlineStr">
        <is>
          <t>No</t>
        </is>
      </c>
      <c r="H160" s="60">
        <f>MIN(20,SUMIFS(Action_Log!$F:$F,Action_Log!$A:$A,$A160,Action_Log!$D:$D,"Cosmetic")+SUMIFS(Action_Log!$F:$F,Action_Log!$A:$A,$A160,Action_Log!$D:$D,"Commercial"))+SUMIFS(Action_Log!$F:$F,Action_Log!$A:$A,$A160,Action_Log!$D:$D,"Civic")+SUMIFS(Action_Log!$F:$F,Action_Log!$A:$A,$A160,Action_Log!$D:$D,"Financial")+SUMIFS(Action_Log!$F:$F,Action_Log!$A:$A,$A160,Action_Log!$D:$D,"Structural")</f>
        <v/>
      </c>
      <c r="I160" s="61">
        <f>SUMIFS(Action_Log!$F:$F,Action_Log!$A:$A,$A160,Action_Log!$E:$E,"Negative")</f>
        <v/>
      </c>
      <c r="J160" s="62">
        <f>MAX(0,MIN(100,50+H160+I160))</f>
        <v/>
      </c>
      <c r="K160" s="63">
        <f>IF(J160&gt;=80,"Champion",IF(J160&gt;=65,"Ally",IF(J160&gt;=50,"Neutral",IF(J160&gt;=35,"Performative",IF(J160&gt;=20,"Harmful","Adversarial")))))</f>
        <v/>
      </c>
      <c r="L160" s="58" t="inlineStr">
        <is>
          <t>Yes</t>
        </is>
      </c>
      <c r="M160" s="58" t="inlineStr">
        <is>
          <t>Yes</t>
        </is>
      </c>
      <c r="N160" s="58" t="inlineStr">
        <is>
          <t>No</t>
        </is>
      </c>
      <c r="O160" s="58" t="inlineStr">
        <is>
          <t>No</t>
        </is>
      </c>
      <c r="P160" s="58" t="inlineStr">
        <is>
          <t>No</t>
        </is>
      </c>
      <c r="Q160" s="59" t="inlineStr">
        <is>
          <t>Removed DEI webpages (now dead links) in the early-2025 defense-sector scrub (Breaking Defense).</t>
        </is>
      </c>
    </row>
    <row r="161" ht="15" customHeight="1" s="42">
      <c r="A161" s="57" t="inlineStr">
        <is>
          <t>L3Harris Technologies</t>
        </is>
      </c>
      <c r="B161" s="58" t="inlineStr">
        <is>
          <t>LHX</t>
        </is>
      </c>
      <c r="C161" s="59" t="inlineStr">
        <is>
          <t>Defense &amp; Gov Contracting</t>
        </is>
      </c>
      <c r="D161" s="58" t="n">
        <v>21.3</v>
      </c>
      <c r="E161" s="58" t="n">
        <v>100</v>
      </c>
      <c r="F161" s="58" t="n">
        <v>2024</v>
      </c>
      <c r="G161" s="58" t="inlineStr">
        <is>
          <t>No</t>
        </is>
      </c>
      <c r="H161" s="60">
        <f>MIN(20,SUMIFS(Action_Log!$F:$F,Action_Log!$A:$A,$A161,Action_Log!$D:$D,"Cosmetic")+SUMIFS(Action_Log!$F:$F,Action_Log!$A:$A,$A161,Action_Log!$D:$D,"Commercial"))+SUMIFS(Action_Log!$F:$F,Action_Log!$A:$A,$A161,Action_Log!$D:$D,"Civic")+SUMIFS(Action_Log!$F:$F,Action_Log!$A:$A,$A161,Action_Log!$D:$D,"Financial")+SUMIFS(Action_Log!$F:$F,Action_Log!$A:$A,$A161,Action_Log!$D:$D,"Structural")</f>
        <v/>
      </c>
      <c r="I161" s="61">
        <f>SUMIFS(Action_Log!$F:$F,Action_Log!$A:$A,$A161,Action_Log!$E:$E,"Negative")</f>
        <v/>
      </c>
      <c r="J161" s="62">
        <f>MAX(0,MIN(100,50+H161+I161))</f>
        <v/>
      </c>
      <c r="K161" s="63">
        <f>IF(J161&gt;=80,"Champion",IF(J161&gt;=65,"Ally",IF(J161&gt;=50,"Neutral",IF(J161&gt;=35,"Performative",IF(J161&gt;=20,"Harmful","Adversarial")))))</f>
        <v/>
      </c>
      <c r="L161" s="58" t="inlineStr">
        <is>
          <t>Yes</t>
        </is>
      </c>
      <c r="M161" s="58" t="inlineStr">
        <is>
          <t>Yes</t>
        </is>
      </c>
      <c r="N161" s="58" t="inlineStr">
        <is>
          <t>No</t>
        </is>
      </c>
      <c r="O161" s="58" t="inlineStr">
        <is>
          <t>No</t>
        </is>
      </c>
      <c r="P161" s="58" t="inlineStr">
        <is>
          <t>No</t>
        </is>
      </c>
      <c r="Q161" s="59" t="inlineStr">
        <is>
          <t>Removed DEI webpages (now dead links) in the early-2025 defense-sector scrub (Breaking Defense).</t>
        </is>
      </c>
    </row>
    <row r="162" ht="15" customHeight="1" s="42">
      <c r="A162" s="57" t="inlineStr">
        <is>
          <t>3M</t>
        </is>
      </c>
      <c r="B162" s="58" t="inlineStr">
        <is>
          <t>MMM</t>
        </is>
      </c>
      <c r="C162" s="59" t="inlineStr">
        <is>
          <t>Industrial &amp; Logistics</t>
        </is>
      </c>
      <c r="D162" s="58" t="n">
        <v>24.6</v>
      </c>
      <c r="E162" s="58" t="n">
        <v>100</v>
      </c>
      <c r="F162" s="58" t="n">
        <v>2024</v>
      </c>
      <c r="G162" s="58" t="inlineStr">
        <is>
          <t>No</t>
        </is>
      </c>
      <c r="H162" s="60">
        <f>MIN(20,SUMIFS(Action_Log!$F:$F,Action_Log!$A:$A,$A162,Action_Log!$D:$D,"Cosmetic")+SUMIFS(Action_Log!$F:$F,Action_Log!$A:$A,$A162,Action_Log!$D:$D,"Commercial"))+SUMIFS(Action_Log!$F:$F,Action_Log!$A:$A,$A162,Action_Log!$D:$D,"Civic")+SUMIFS(Action_Log!$F:$F,Action_Log!$A:$A,$A162,Action_Log!$D:$D,"Financial")+SUMIFS(Action_Log!$F:$F,Action_Log!$A:$A,$A162,Action_Log!$D:$D,"Structural")</f>
        <v/>
      </c>
      <c r="I162" s="61">
        <f>SUMIFS(Action_Log!$F:$F,Action_Log!$A:$A,$A162,Action_Log!$E:$E,"Negative")</f>
        <v/>
      </c>
      <c r="J162" s="62">
        <f>MAX(0,MIN(100,50+H162+I162))</f>
        <v/>
      </c>
      <c r="K162" s="63">
        <f>IF(J162&gt;=80,"Champion",IF(J162&gt;=65,"Ally",IF(J162&gt;=50,"Neutral",IF(J162&gt;=35,"Performative",IF(J162&gt;=20,"Harmful","Adversarial")))))</f>
        <v/>
      </c>
      <c r="L162" s="58" t="inlineStr">
        <is>
          <t>Yes</t>
        </is>
      </c>
      <c r="M162" s="58" t="inlineStr">
        <is>
          <t>Yes</t>
        </is>
      </c>
      <c r="N162" s="58" t="inlineStr">
        <is>
          <t>No</t>
        </is>
      </c>
      <c r="O162" s="58" t="inlineStr">
        <is>
          <t>No</t>
        </is>
      </c>
      <c r="P162" s="58" t="inlineStr">
        <is>
          <t>No</t>
        </is>
      </c>
      <c r="Q162" s="59" t="inlineStr">
        <is>
          <t>Retired workforce diversity goals and pared DEI language in the 2025 retreat wave after a long CEI 100 history. ERG remains.</t>
        </is>
      </c>
    </row>
    <row r="163" ht="15" customHeight="1" s="42">
      <c r="A163" s="57" t="inlineStr">
        <is>
          <t>Honeywell</t>
        </is>
      </c>
      <c r="B163" s="58" t="inlineStr">
        <is>
          <t>HON</t>
        </is>
      </c>
      <c r="C163" s="59" t="inlineStr">
        <is>
          <t>Industrial &amp; Logistics</t>
        </is>
      </c>
      <c r="D163" s="58" t="n">
        <v>38.5</v>
      </c>
      <c r="E163" s="58" t="n">
        <v>100</v>
      </c>
      <c r="F163" s="58" t="n">
        <v>2024</v>
      </c>
      <c r="G163" s="58" t="inlineStr">
        <is>
          <t>No</t>
        </is>
      </c>
      <c r="H163" s="60">
        <f>MIN(20,SUMIFS(Action_Log!$F:$F,Action_Log!$A:$A,$A163,Action_Log!$D:$D,"Cosmetic")+SUMIFS(Action_Log!$F:$F,Action_Log!$A:$A,$A163,Action_Log!$D:$D,"Commercial"))+SUMIFS(Action_Log!$F:$F,Action_Log!$A:$A,$A163,Action_Log!$D:$D,"Civic")+SUMIFS(Action_Log!$F:$F,Action_Log!$A:$A,$A163,Action_Log!$D:$D,"Financial")+SUMIFS(Action_Log!$F:$F,Action_Log!$A:$A,$A163,Action_Log!$D:$D,"Structural")</f>
        <v/>
      </c>
      <c r="I163" s="61">
        <f>SUMIFS(Action_Log!$F:$F,Action_Log!$A:$A,$A163,Action_Log!$E:$E,"Negative")</f>
        <v/>
      </c>
      <c r="J163" s="62">
        <f>MAX(0,MIN(100,50+H163+I163))</f>
        <v/>
      </c>
      <c r="K163" s="63">
        <f>IF(J163&gt;=80,"Champion",IF(J163&gt;=65,"Ally",IF(J163&gt;=50,"Neutral",IF(J163&gt;=35,"Performative",IF(J163&gt;=20,"Harmful","Adversarial")))))</f>
        <v/>
      </c>
      <c r="L163" s="58" t="inlineStr">
        <is>
          <t>No</t>
        </is>
      </c>
      <c r="M163" s="58" t="inlineStr">
        <is>
          <t>No</t>
        </is>
      </c>
      <c r="N163" s="58" t="inlineStr">
        <is>
          <t>No</t>
        </is>
      </c>
      <c r="O163" s="58" t="inlineStr">
        <is>
          <t>No</t>
        </is>
      </c>
      <c r="P163" s="58" t="inlineStr">
        <is>
          <t>No</t>
        </is>
      </c>
      <c r="Q163" s="59" t="inlineStr">
        <is>
          <t>Minimal public LGBTQ+ engagement; no clearly documented reversal.</t>
        </is>
      </c>
    </row>
    <row r="164" ht="15" customHeight="1" s="42">
      <c r="A164" s="57" t="inlineStr">
        <is>
          <t>General Electric (GE Aerospace)</t>
        </is>
      </c>
      <c r="B164" s="58" t="inlineStr">
        <is>
          <t>GE</t>
        </is>
      </c>
      <c r="C164" s="59" t="inlineStr">
        <is>
          <t>Industrial &amp; Logistics</t>
        </is>
      </c>
      <c r="D164" s="58" t="n">
        <v>38.7</v>
      </c>
      <c r="E164" s="58" t="n">
        <v>100</v>
      </c>
      <c r="F164" s="58" t="n">
        <v>2024</v>
      </c>
      <c r="G164" s="58" t="inlineStr">
        <is>
          <t>No</t>
        </is>
      </c>
      <c r="H164" s="60">
        <f>MIN(20,SUMIFS(Action_Log!$F:$F,Action_Log!$A:$A,$A164,Action_Log!$D:$D,"Cosmetic")+SUMIFS(Action_Log!$F:$F,Action_Log!$A:$A,$A164,Action_Log!$D:$D,"Commercial"))+SUMIFS(Action_Log!$F:$F,Action_Log!$A:$A,$A164,Action_Log!$D:$D,"Civic")+SUMIFS(Action_Log!$F:$F,Action_Log!$A:$A,$A164,Action_Log!$D:$D,"Financial")+SUMIFS(Action_Log!$F:$F,Action_Log!$A:$A,$A164,Action_Log!$D:$D,"Structural")</f>
        <v/>
      </c>
      <c r="I164" s="61">
        <f>SUMIFS(Action_Log!$F:$F,Action_Log!$A:$A,$A164,Action_Log!$E:$E,"Negative")</f>
        <v/>
      </c>
      <c r="J164" s="62">
        <f>MAX(0,MIN(100,50+H164+I164))</f>
        <v/>
      </c>
      <c r="K164" s="63">
        <f>IF(J164&gt;=80,"Champion",IF(J164&gt;=65,"Ally",IF(J164&gt;=50,"Neutral",IF(J164&gt;=35,"Performative",IF(J164&gt;=20,"Harmful","Adversarial")))))</f>
        <v/>
      </c>
      <c r="L164" s="58" t="inlineStr">
        <is>
          <t>No</t>
        </is>
      </c>
      <c r="M164" s="58" t="inlineStr">
        <is>
          <t>No</t>
        </is>
      </c>
      <c r="N164" s="58" t="inlineStr">
        <is>
          <t>No</t>
        </is>
      </c>
      <c r="O164" s="58" t="inlineStr">
        <is>
          <t>No</t>
        </is>
      </c>
      <c r="P164" s="58" t="inlineStr">
        <is>
          <t>No</t>
        </is>
      </c>
      <c r="Q164" s="59" t="inlineStr">
        <is>
          <t>Minimal public LGBTQ+ engagement post-breakup; GLBTA ERG legacy; no clearly documented reversal.</t>
        </is>
      </c>
    </row>
    <row r="165" ht="15" customHeight="1" s="42">
      <c r="A165" s="57" t="inlineStr">
        <is>
          <t>Caterpillar</t>
        </is>
      </c>
      <c r="B165" s="58" t="inlineStr">
        <is>
          <t>CAT</t>
        </is>
      </c>
      <c r="C165" s="59" t="inlineStr">
        <is>
          <t>Industrial &amp; Logistics</t>
        </is>
      </c>
      <c r="D165" s="58" t="n">
        <v>64.8</v>
      </c>
      <c r="E165" s="58" t="inlineStr">
        <is>
          <t>Not rated</t>
        </is>
      </c>
      <c r="F165" s="58" t="inlineStr">
        <is>
          <t>—</t>
        </is>
      </c>
      <c r="G165" s="58" t="inlineStr">
        <is>
          <t>No</t>
        </is>
      </c>
      <c r="H165" s="60">
        <f>MIN(20,SUMIFS(Action_Log!$F:$F,Action_Log!$A:$A,$A165,Action_Log!$D:$D,"Cosmetic")+SUMIFS(Action_Log!$F:$F,Action_Log!$A:$A,$A165,Action_Log!$D:$D,"Commercial"))+SUMIFS(Action_Log!$F:$F,Action_Log!$A:$A,$A165,Action_Log!$D:$D,"Civic")+SUMIFS(Action_Log!$F:$F,Action_Log!$A:$A,$A165,Action_Log!$D:$D,"Financial")+SUMIFS(Action_Log!$F:$F,Action_Log!$A:$A,$A165,Action_Log!$D:$D,"Structural")</f>
        <v/>
      </c>
      <c r="I165" s="61">
        <f>SUMIFS(Action_Log!$F:$F,Action_Log!$A:$A,$A165,Action_Log!$E:$E,"Negative")</f>
        <v/>
      </c>
      <c r="J165" s="62">
        <f>MAX(0,MIN(100,50+H165+I165))</f>
        <v/>
      </c>
      <c r="K165" s="63">
        <f>IF(J165&gt;=80,"Champion",IF(J165&gt;=65,"Ally",IF(J165&gt;=50,"Neutral",IF(J165&gt;=35,"Performative",IF(J165&gt;=20,"Harmful","Adversarial")))))</f>
        <v/>
      </c>
      <c r="L165" s="58" t="inlineStr">
        <is>
          <t>No</t>
        </is>
      </c>
      <c r="M165" s="58" t="inlineStr">
        <is>
          <t>Yes</t>
        </is>
      </c>
      <c r="N165" s="58" t="inlineStr">
        <is>
          <t>No</t>
        </is>
      </c>
      <c r="O165" s="58" t="inlineStr">
        <is>
          <t>No</t>
        </is>
      </c>
      <c r="P165" s="58" t="inlineStr">
        <is>
          <t>No</t>
        </is>
      </c>
      <c r="Q165" s="59" t="inlineStr">
        <is>
          <t>Sep 2024 Starbuck-campaign pullback: restricted corporate training to business topics and required senior approval for external surveys and awards — effectively exiting the CEI ecosystem.</t>
        </is>
      </c>
    </row>
    <row r="166" ht="15" customHeight="1" s="42">
      <c r="A166" s="57" t="inlineStr">
        <is>
          <t>Deere &amp; Company</t>
        </is>
      </c>
      <c r="B166" s="58" t="inlineStr">
        <is>
          <t>DE</t>
        </is>
      </c>
      <c r="C166" s="59" t="inlineStr">
        <is>
          <t>Industrial &amp; Logistics</t>
        </is>
      </c>
      <c r="D166" s="58" t="n">
        <v>51.7</v>
      </c>
      <c r="E166" s="58" t="n">
        <v>75</v>
      </c>
      <c r="F166" s="58" t="n">
        <v>2025</v>
      </c>
      <c r="G166" s="58" t="inlineStr">
        <is>
          <t>No</t>
        </is>
      </c>
      <c r="H166" s="60">
        <f>MIN(20,SUMIFS(Action_Log!$F:$F,Action_Log!$A:$A,$A166,Action_Log!$D:$D,"Cosmetic")+SUMIFS(Action_Log!$F:$F,Action_Log!$A:$A,$A166,Action_Log!$D:$D,"Commercial"))+SUMIFS(Action_Log!$F:$F,Action_Log!$A:$A,$A166,Action_Log!$D:$D,"Civic")+SUMIFS(Action_Log!$F:$F,Action_Log!$A:$A,$A166,Action_Log!$D:$D,"Financial")+SUMIFS(Action_Log!$F:$F,Action_Log!$A:$A,$A166,Action_Log!$D:$D,"Structural")</f>
        <v/>
      </c>
      <c r="I166" s="61">
        <f>SUMIFS(Action_Log!$F:$F,Action_Log!$A:$A,$A166,Action_Log!$E:$E,"Negative")</f>
        <v/>
      </c>
      <c r="J166" s="62">
        <f>MAX(0,MIN(100,50+H166+I166))</f>
        <v/>
      </c>
      <c r="K166" s="63">
        <f>IF(J166&gt;=80,"Champion",IF(J166&gt;=65,"Ally",IF(J166&gt;=50,"Neutral",IF(J166&gt;=35,"Performative",IF(J166&gt;=20,"Harmful","Adversarial")))))</f>
        <v/>
      </c>
      <c r="L166" s="58" t="inlineStr">
        <is>
          <t>No</t>
        </is>
      </c>
      <c r="M166" s="58" t="inlineStr">
        <is>
          <t>Yes</t>
        </is>
      </c>
      <c r="N166" s="58" t="inlineStr">
        <is>
          <t>No</t>
        </is>
      </c>
      <c r="O166" s="58" t="inlineStr">
        <is>
          <t>No</t>
        </is>
      </c>
      <c r="P166" s="58" t="inlineStr">
        <is>
          <t>No</t>
        </is>
      </c>
      <c r="Q166" s="59" t="inlineStr">
        <is>
          <t>Jul 2024: ended sponsorship of 'social or cultural awareness' events including Pride and audited training — one of seven companies HRC docked -25. Yet shareholders rejected an anti-DEI proposal 98.7% months later.</t>
        </is>
      </c>
    </row>
    <row r="167" ht="15" customHeight="1" s="42">
      <c r="A167" s="57" t="inlineStr">
        <is>
          <t>UPS</t>
        </is>
      </c>
      <c r="B167" s="58" t="inlineStr">
        <is>
          <t>UPS</t>
        </is>
      </c>
      <c r="C167" s="59" t="inlineStr">
        <is>
          <t>Industrial &amp; Logistics</t>
        </is>
      </c>
      <c r="D167" s="58" t="n">
        <v>91.09999999999999</v>
      </c>
      <c r="E167" s="58" t="n">
        <v>100</v>
      </c>
      <c r="F167" s="58" t="n">
        <v>2024</v>
      </c>
      <c r="G167" s="58" t="inlineStr">
        <is>
          <t>No</t>
        </is>
      </c>
      <c r="H167" s="60">
        <f>MIN(20,SUMIFS(Action_Log!$F:$F,Action_Log!$A:$A,$A167,Action_Log!$D:$D,"Cosmetic")+SUMIFS(Action_Log!$F:$F,Action_Log!$A:$A,$A167,Action_Log!$D:$D,"Commercial"))+SUMIFS(Action_Log!$F:$F,Action_Log!$A:$A,$A167,Action_Log!$D:$D,"Civic")+SUMIFS(Action_Log!$F:$F,Action_Log!$A:$A,$A167,Action_Log!$D:$D,"Financial")+SUMIFS(Action_Log!$F:$F,Action_Log!$A:$A,$A167,Action_Log!$D:$D,"Structural")</f>
        <v/>
      </c>
      <c r="I167" s="61">
        <f>SUMIFS(Action_Log!$F:$F,Action_Log!$A:$A,$A167,Action_Log!$E:$E,"Negative")</f>
        <v/>
      </c>
      <c r="J167" s="62">
        <f>MAX(0,MIN(100,50+H167+I167))</f>
        <v/>
      </c>
      <c r="K167" s="63">
        <f>IF(J167&gt;=80,"Champion",IF(J167&gt;=65,"Ally",IF(J167&gt;=50,"Neutral",IF(J167&gt;=35,"Performative",IF(J167&gt;=20,"Harmful","Adversarial")))))</f>
        <v/>
      </c>
      <c r="L167" s="58" t="inlineStr">
        <is>
          <t>No</t>
        </is>
      </c>
      <c r="M167" s="58" t="inlineStr">
        <is>
          <t>Yes</t>
        </is>
      </c>
      <c r="N167" s="58" t="inlineStr">
        <is>
          <t>No</t>
        </is>
      </c>
      <c r="O167" s="58" t="inlineStr">
        <is>
          <t>No</t>
        </is>
      </c>
      <c r="P167" s="58" t="inlineStr">
        <is>
          <t>No</t>
        </is>
      </c>
      <c r="Q167" s="59" t="inlineStr">
        <is>
          <t>Confirmed it has 'not operated a DEI function since April 2024' with no hiring quotas or supplier diversity goals — a complete, pre-election dismantling after years of CEI 100s.</t>
        </is>
      </c>
    </row>
    <row r="168" ht="15" customHeight="1" s="42">
      <c r="A168" s="57" t="inlineStr">
        <is>
          <t>FedEx</t>
        </is>
      </c>
      <c r="B168" s="58" t="inlineStr">
        <is>
          <t>FDX</t>
        </is>
      </c>
      <c r="C168" s="59" t="inlineStr">
        <is>
          <t>Industrial &amp; Logistics</t>
        </is>
      </c>
      <c r="D168" s="58" t="n">
        <v>87.7</v>
      </c>
      <c r="E168" s="58" t="n">
        <v>100</v>
      </c>
      <c r="F168" s="58" t="n">
        <v>2024</v>
      </c>
      <c r="G168" s="58" t="inlineStr">
        <is>
          <t>No</t>
        </is>
      </c>
      <c r="H168" s="60">
        <f>MIN(20,SUMIFS(Action_Log!$F:$F,Action_Log!$A:$A,$A168,Action_Log!$D:$D,"Cosmetic")+SUMIFS(Action_Log!$F:$F,Action_Log!$A:$A,$A168,Action_Log!$D:$D,"Commercial"))+SUMIFS(Action_Log!$F:$F,Action_Log!$A:$A,$A168,Action_Log!$D:$D,"Civic")+SUMIFS(Action_Log!$F:$F,Action_Log!$A:$A,$A168,Action_Log!$D:$D,"Financial")+SUMIFS(Action_Log!$F:$F,Action_Log!$A:$A,$A168,Action_Log!$D:$D,"Structural")</f>
        <v/>
      </c>
      <c r="I168" s="61">
        <f>SUMIFS(Action_Log!$F:$F,Action_Log!$A:$A,$A168,Action_Log!$E:$E,"Negative")</f>
        <v/>
      </c>
      <c r="J168" s="62">
        <f>MAX(0,MIN(100,50+H168+I168))</f>
        <v/>
      </c>
      <c r="K168" s="63">
        <f>IF(J168&gt;=80,"Champion",IF(J168&gt;=65,"Ally",IF(J168&gt;=50,"Neutral",IF(J168&gt;=35,"Performative",IF(J168&gt;=20,"Harmful","Adversarial")))))</f>
        <v/>
      </c>
      <c r="L168" s="58" t="inlineStr">
        <is>
          <t>No</t>
        </is>
      </c>
      <c r="M168" s="58" t="inlineStr">
        <is>
          <t>No</t>
        </is>
      </c>
      <c r="N168" s="58" t="inlineStr">
        <is>
          <t>No</t>
        </is>
      </c>
      <c r="O168" s="58" t="inlineStr">
        <is>
          <t>No</t>
        </is>
      </c>
      <c r="P168" s="58" t="inlineStr">
        <is>
          <t>No</t>
        </is>
      </c>
      <c r="Q168" s="59" t="inlineStr">
        <is>
          <t>Quiet: CEI 100 history and ERG; no clearly documented reversal, but low visibility.</t>
        </is>
      </c>
    </row>
    <row r="169" ht="15" customHeight="1" s="42">
      <c r="A169" s="57" t="inlineStr">
        <is>
          <t>Sirius XM</t>
        </is>
      </c>
      <c r="B169" s="58" t="inlineStr">
        <is>
          <t>SIRI</t>
        </is>
      </c>
      <c r="C169" s="59" t="inlineStr">
        <is>
          <t>Media &amp; Entertainment</t>
        </is>
      </c>
      <c r="D169" s="58" t="n">
        <v>8.699999999999999</v>
      </c>
      <c r="E169" s="58" t="inlineStr">
        <is>
          <t>Not rated</t>
        </is>
      </c>
      <c r="F169" s="58" t="inlineStr">
        <is>
          <t>—</t>
        </is>
      </c>
      <c r="G169" s="58" t="inlineStr">
        <is>
          <t>No</t>
        </is>
      </c>
      <c r="H169" s="60">
        <f>MIN(20,SUMIFS(Action_Log!$F:$F,Action_Log!$A:$A,$A169,Action_Log!$D:$D,"Cosmetic")+SUMIFS(Action_Log!$F:$F,Action_Log!$A:$A,$A169,Action_Log!$D:$D,"Commercial"))+SUMIFS(Action_Log!$F:$F,Action_Log!$A:$A,$A169,Action_Log!$D:$D,"Civic")+SUMIFS(Action_Log!$F:$F,Action_Log!$A:$A,$A169,Action_Log!$D:$D,"Financial")+SUMIFS(Action_Log!$F:$F,Action_Log!$A:$A,$A169,Action_Log!$D:$D,"Structural")</f>
        <v/>
      </c>
      <c r="I169" s="61">
        <f>SUMIFS(Action_Log!$F:$F,Action_Log!$A:$A,$A169,Action_Log!$E:$E,"Negative")</f>
        <v/>
      </c>
      <c r="J169" s="62">
        <f>MAX(0,MIN(100,50+H169+I169))</f>
        <v/>
      </c>
      <c r="K169" s="63">
        <f>IF(J169&gt;=80,"Champion",IF(J169&gt;=65,"Ally",IF(J169&gt;=50,"Neutral",IF(J169&gt;=35,"Performative",IF(J169&gt;=20,"Harmful","Adversarial")))))</f>
        <v/>
      </c>
      <c r="L169" s="58" t="inlineStr">
        <is>
          <t>No</t>
        </is>
      </c>
      <c r="M169" s="58" t="inlineStr">
        <is>
          <t>No</t>
        </is>
      </c>
      <c r="N169" s="58" t="inlineStr">
        <is>
          <t>No</t>
        </is>
      </c>
      <c r="O169" s="58" t="inlineStr">
        <is>
          <t>No</t>
        </is>
      </c>
      <c r="P169" s="58" t="inlineStr">
        <is>
          <t>No</t>
        </is>
      </c>
      <c r="Q169" s="59" t="inlineStr">
        <is>
          <t>Hosts LGBTQ+ programming (Radio Andy etc.) as a commercial matter; minimal corporate-level commitments documented.</t>
        </is>
      </c>
    </row>
    <row r="170" ht="15" customHeight="1" s="42">
      <c r="A170" s="57" t="inlineStr">
        <is>
          <t>Fox Corporation</t>
        </is>
      </c>
      <c r="B170" s="58" t="inlineStr">
        <is>
          <t>FOXA</t>
        </is>
      </c>
      <c r="C170" s="59" t="inlineStr">
        <is>
          <t>Media &amp; Entertainment</t>
        </is>
      </c>
      <c r="D170" s="58" t="n">
        <v>14</v>
      </c>
      <c r="E170" s="58" t="n">
        <v>90</v>
      </c>
      <c r="F170" s="58" t="n">
        <v>2022</v>
      </c>
      <c r="G170" s="58" t="inlineStr">
        <is>
          <t>No</t>
        </is>
      </c>
      <c r="H170" s="60">
        <f>MIN(20,SUMIFS(Action_Log!$F:$F,Action_Log!$A:$A,$A170,Action_Log!$D:$D,"Cosmetic")+SUMIFS(Action_Log!$F:$F,Action_Log!$A:$A,$A170,Action_Log!$D:$D,"Commercial"))+SUMIFS(Action_Log!$F:$F,Action_Log!$A:$A,$A170,Action_Log!$D:$D,"Civic")+SUMIFS(Action_Log!$F:$F,Action_Log!$A:$A,$A170,Action_Log!$D:$D,"Financial")+SUMIFS(Action_Log!$F:$F,Action_Log!$A:$A,$A170,Action_Log!$D:$D,"Structural")</f>
        <v/>
      </c>
      <c r="I170" s="61">
        <f>SUMIFS(Action_Log!$F:$F,Action_Log!$A:$A,$A170,Action_Log!$E:$E,"Negative")</f>
        <v/>
      </c>
      <c r="J170" s="62">
        <f>MAX(0,MIN(100,50+H170+I170))</f>
        <v/>
      </c>
      <c r="K170" s="63">
        <f>IF(J170&gt;=80,"Champion",IF(J170&gt;=65,"Ally",IF(J170&gt;=50,"Neutral",IF(J170&gt;=35,"Performative",IF(J170&gt;=20,"Harmful","Adversarial")))))</f>
        <v/>
      </c>
      <c r="L170" s="58" t="inlineStr">
        <is>
          <t>No</t>
        </is>
      </c>
      <c r="M170" s="58" t="inlineStr">
        <is>
          <t>No</t>
        </is>
      </c>
      <c r="N170" s="58" t="inlineStr">
        <is>
          <t>No</t>
        </is>
      </c>
      <c r="O170" s="58" t="inlineStr">
        <is>
          <t>No</t>
        </is>
      </c>
      <c r="P170" s="58" t="inlineStr">
        <is>
          <t>No</t>
        </is>
      </c>
      <c r="Q170" s="59" t="inlineStr">
        <is>
          <t>The paradox: high HRC CEI scores and an internal Pride ERG while Fox News programming relentlessly targets trans people (GLAAD/Media Matters documented). Internal inclusion, external harm.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G170"/>
  <sheetViews>
    <sheetView showFormulas="0" showGridLines="0" showRowColHeaders="1" showZeros="1" rightToLeft="0" tabSelected="0" showOutlineSymbols="1" defaultGridColor="1"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41" min="1" max="1"/>
    <col width="40" customWidth="1" style="41" min="2" max="2"/>
    <col width="50" customWidth="1" style="41" min="3" max="4"/>
    <col width="40" customWidth="1" style="41" min="5" max="5"/>
    <col width="32" customWidth="1" style="41" min="6" max="6"/>
    <col width="12" customWidth="1" style="41" min="7" max="7"/>
  </cols>
  <sheetData>
    <row r="1" ht="15" customHeight="1" s="42">
      <c r="A1" s="49" t="inlineStr">
        <is>
          <t>Company</t>
        </is>
      </c>
      <c r="B1" s="49" t="inlineStr">
        <is>
          <t>Verdict (one line)</t>
        </is>
      </c>
      <c r="C1" s="49" t="inlineStr">
        <is>
          <t>Why — Drivers Up</t>
        </is>
      </c>
      <c r="D1" s="49" t="inlineStr">
        <is>
          <t>Why — Drivers Down</t>
        </is>
      </c>
      <c r="E1" s="49" t="inlineStr">
        <is>
          <t>Decisive Factor</t>
        </is>
      </c>
      <c r="F1" s="49" t="inlineStr">
        <is>
          <t>Trajectory</t>
        </is>
      </c>
      <c r="G1" s="49" t="inlineStr">
        <is>
          <t>Confidence</t>
        </is>
      </c>
    </row>
    <row r="2" ht="53.7" customHeight="1" s="42">
      <c r="A2" s="64" t="inlineStr">
        <is>
          <t>(match Company_Master)</t>
        </is>
      </c>
      <c r="B2" s="64" t="inlineStr">
        <is>
          <t>A longtime self-declared ally that stripped its DEI commitments in May 2025 to win FCC approval of its Frontier acquisition.</t>
        </is>
      </c>
      <c r="C2" s="64" t="inlineStr">
        <is>
          <t>Annual rainbow branding and Pride statements; sponsorship of Pride events; a funded LGBTQ+ employee resource group; CEI score of 100 as recently as 2024.</t>
        </is>
      </c>
      <c r="D2" s="64" t="inlineStr">
        <is>
          <t>In May 2025 Verizon told the FCC it would end DEI policies, scrub 'diversity, equity and inclusion' from training and public materials, and cease related sponsorships; the FCC approved its $20B Frontier deal the next day (NPR, The Intercept). CEO Hans Vestberg's 2020 statement that Verizon was 'fiercely committed to diversity and inclusion' was removed from its site (Popular Information).</t>
        </is>
      </c>
      <c r="E2" s="64" t="inlineStr">
        <is>
          <t>The May 2025 reversal under direct regulatory pressure — support evaporated exactly when it carried a cost, proving it was conditional.</t>
        </is>
      </c>
      <c r="F2" s="64" t="inlineStr">
        <is>
          <t>Sharp Reversal</t>
        </is>
      </c>
      <c r="G2" s="64" t="inlineStr">
        <is>
          <t>High</t>
        </is>
      </c>
    </row>
    <row r="3" ht="15" customHeight="1" s="42">
      <c r="A3" s="65">
        <f>Company_Master!A2</f>
        <v/>
      </c>
      <c r="B3" s="59" t="inlineStr">
        <is>
          <t>Decades of pioneering LGBTQ+ workplace inclusion ended with a written pledge to the FCC to abandon DEI.</t>
        </is>
      </c>
      <c r="C3" s="59" t="inlineStr">
        <is>
          <t>LEAGUE at AT&amp;T, founded 1987, is among the oldest LGBTQ+ ERGs in the US; years of CEI 100 scores; long-running Pride event sponsorships (e.g., Dallas Pride) and rainbow campaign branding.</t>
        </is>
      </c>
      <c r="D3" s="59" t="inlineStr">
        <is>
          <t>Stopped participating in HRC's Corporate Equality Index and ceased funding some LGBTQ+ organizations; in a Dec 1, 2025 FCC filing committed to ending DEI programs company-wide, with hiring and advancement framed as purely 'merit-based' (CNN, ESG Dive).</t>
        </is>
      </c>
      <c r="E3" s="59" t="inlineStr">
        <is>
          <t>The December 2025 FCC letter — a formal, written renunciation of DEI made to secure deal approval.</t>
        </is>
      </c>
      <c r="F3" s="59" t="inlineStr">
        <is>
          <t>Sharp Reversal</t>
        </is>
      </c>
      <c r="G3" s="58" t="inlineStr">
        <is>
          <t>High</t>
        </is>
      </c>
    </row>
    <row r="4" ht="15" customHeight="1" s="42">
      <c r="A4" s="66">
        <f>Company_Master!A3</f>
        <v/>
      </c>
      <c r="B4" s="52" t="inlineStr">
        <is>
          <t>A visible Pride-marketing brand that formally renounced DEI in writing to win FCC deal approvals in July 2025.</t>
        </is>
      </c>
      <c r="C4" s="52" t="inlineStr">
        <is>
          <t>Years of Pride branding and event sponsorship; funded LGBTQ+ ERG; CEI 100 as recently as 2024.</t>
        </is>
      </c>
      <c r="D4" s="52" t="inlineStr">
        <is>
          <t>July 2025 letter to FCC chairman Brendan Carr ending all DEI programs 'not just in name, but in substance,' removing DEI references from websites and trainings, while awaiting approval of its $4.4B UScellular transaction and Metronet JV — both approved that month (Deadline, Fortune).</t>
        </is>
      </c>
      <c r="E4" s="52" t="inlineStr">
        <is>
          <t>The July 2025 written renunciation of DEI as the explicit price of regulatory approval.</t>
        </is>
      </c>
      <c r="F4" s="52" t="inlineStr">
        <is>
          <t>Sharp Reversal</t>
        </is>
      </c>
      <c r="G4" s="51" t="inlineStr">
        <is>
          <t>High</t>
        </is>
      </c>
    </row>
    <row r="5" ht="15" customHeight="1" s="42">
      <c r="A5" s="65">
        <f>Company_Master!A4</f>
        <v/>
      </c>
      <c r="B5" s="59" t="inlineStr">
        <is>
          <t>A decades-long Pride sponsor that pulled its marquee SF Pride backing within weeks of an FCC investigation into its DEI practices.</t>
        </is>
      </c>
      <c r="C5" s="59" t="inlineStr">
        <is>
          <t>Long-time San Francisco Pride corporate sponsor; Pride programming on Xfinity platforms; funded LGBTQ+ ERG; CEI 100 history; retained some smaller California Pride sponsorships (Silicon Valley, Oakland) in 2025.</t>
        </is>
      </c>
      <c r="D5" s="59" t="inlineStr">
        <is>
          <t>Withdrew SF Pride sponsorship in March 2025, one of five major sponsors to cut ties (~$200-300K total) (NPR); the pullback followed the FCC's February 2025 investigation into Comcast's DEI programs; declined to explain the withdrawal publicly (Advocate/NBC).</t>
        </is>
      </c>
      <c r="E5" s="59" t="inlineStr">
        <is>
          <t>Dropping its highest-visibility Pride commitment precisely when federal scrutiny arrived.</t>
        </is>
      </c>
      <c r="F5" s="59" t="inlineStr">
        <is>
          <t>Declining</t>
        </is>
      </c>
      <c r="G5" s="58" t="inlineStr">
        <is>
          <t>High</t>
        </is>
      </c>
    </row>
    <row r="6" ht="15" customHeight="1" s="42">
      <c r="A6" s="66">
        <f>Company_Master!A5</f>
        <v/>
      </c>
      <c r="B6" s="52" t="inlineStr">
        <is>
          <t>A telecom that largely never engaged: minimal Pride presence, minimal retreat.</t>
        </is>
      </c>
      <c r="C6" s="52" t="inlineStr">
        <is>
          <t>Basic workplace nondiscrimination policy covering sexual orientation and gender identity; occasional local community engagement.</t>
        </is>
      </c>
      <c r="D6" s="52" t="inlineStr">
        <is>
          <t>No meaningful public LGBTQ+ support to credit: no significant Pride sponsorship record, no CEI participation in recent cycles, and language around its 2025 Cox merger emphasized 'merit-based' employment in line with FCC expectations.</t>
        </is>
      </c>
      <c r="E6" s="52" t="inlineStr">
        <is>
          <t>Absence of engagement — Charter scores near baseline because it never built commitments to keep or break.</t>
        </is>
      </c>
      <c r="F6" s="52" t="inlineStr">
        <is>
          <t>Stable</t>
        </is>
      </c>
      <c r="G6" s="51" t="inlineStr">
        <is>
          <t>Med</t>
        </is>
      </c>
    </row>
    <row r="7" ht="15" customHeight="1" s="42">
      <c r="A7" s="65">
        <f>Company_Master!A6</f>
        <v/>
      </c>
      <c r="B7" s="59" t="inlineStr">
        <is>
          <t>A sustained, structural ally that publicly held its DEI position through the 2025 backlash.</t>
        </is>
      </c>
      <c r="C7" s="59" t="inlineStr">
        <is>
          <t>Tim Cook has been the most prominent openly gay CEO in America since 2014; annual Apple Watch Pride Edition bands and watch faces since 2016; SF Pride sponsorship; explicit inclusion commitments still on apple.com; shareholders rejected an anti-DEI proposal 97.3% in Feb 2025 with the board's backing; CEI 100.</t>
        </is>
      </c>
      <c r="D7" s="59" t="inlineStr">
        <is>
          <t>Operates in countries that criminalize homosexuality without comparable advocacy there — a limit on, though not a reversal of, its commitments. No post-2025 retreat documented.</t>
        </is>
      </c>
      <c r="E7" s="59" t="inlineStr">
        <is>
          <t>Holding the line in February 2025: Apple urged shareholders to reject the anti-DEI proposal while peers capitulated preemptively.</t>
        </is>
      </c>
      <c r="F7" s="59" t="inlineStr">
        <is>
          <t>Stable</t>
        </is>
      </c>
      <c r="G7" s="58" t="inlineStr">
        <is>
          <t>High</t>
        </is>
      </c>
    </row>
    <row r="8" ht="15" customHeight="1" s="42">
      <c r="A8" s="66">
        <f>Company_Master!A7</f>
        <v/>
      </c>
      <c r="B8" s="52" t="inlineStr">
        <is>
          <t>A formerly loud ally that quietly dismantled the public scaffolding of its support while keeping internal benefits.</t>
        </is>
      </c>
      <c r="C8" s="52" t="inlineStr">
        <is>
          <t>Two decades of SF Pride sponsorship and employee contingents; funded LGBTQ+ ERGs; early adopter of trans-inclusive healthcare (2011-era gold standard); CEI 100 streak.</t>
        </is>
      </c>
      <c r="D8" s="52" t="inlineStr">
        <is>
          <t>Ended diversity hiring goals in Feb 2025 citing Trump-administration contractor rules (WSJ/Axios); removed Pride Month and other observances from Google Calendar; scrubbed 'diversity' from its 10-K (8 mentions in 2023 to zero) and from its Responsible AI page; retitled its Chief Diversity Officer role.</t>
        </is>
      </c>
      <c r="E8" s="52" t="inlineStr">
        <is>
          <t>The February 2025 decision to end diversity hiring targets under federal pressure — the pivot from advocacy to compliance.</t>
        </is>
      </c>
      <c r="F8" s="52" t="inlineStr">
        <is>
          <t>Declining</t>
        </is>
      </c>
      <c r="G8" s="51" t="inlineStr">
        <is>
          <t>High</t>
        </is>
      </c>
    </row>
    <row r="9" ht="15" customHeight="1" s="42">
      <c r="A9" s="65">
        <f>Company_Master!A8</f>
        <v/>
      </c>
      <c r="B9" s="59" t="inlineStr">
        <is>
          <t>Preemptive capitulation: Meta dismantled DEI and rewrote its rules to permit anti-LGBTQ+ abuse before Trump took office.</t>
        </is>
      </c>
      <c r="C9" s="59" t="inlineStr">
        <is>
          <t>Years of rainbow branding and Pride features across Facebook/Instagram; funded LGBTQ+ ERG; trans-inclusive benefits; CEI 100 history.</t>
        </is>
      </c>
      <c r="D9" s="59" t="inlineStr">
        <is>
          <t>Jan 2025: ended DEI team, representation goals and supplier diversity (Axios memo); revised Hateful Conduct policy to allow 'allegations of mental illness or abnormality' based on gender or sexual orientation — condemned by GLAAD; removed trans and nonbinary Messenger themes; ended fact-checking that curbed anti-LGBTQ+ hate (LGBTQ Nation).</t>
        </is>
      </c>
      <c r="E9" s="59" t="inlineStr">
        <is>
          <t>The January 2025 hate-speech carve-out — Meta didn't just retreat from support, it re-engineered its platform rules in ways that target LGBTQ+ users.</t>
        </is>
      </c>
      <c r="F9" s="59" t="inlineStr">
        <is>
          <t>Sharp Reversal</t>
        </is>
      </c>
      <c r="G9" s="58" t="inlineStr">
        <is>
          <t>High</t>
        </is>
      </c>
    </row>
    <row r="10" ht="15" customHeight="1" s="42">
      <c r="A10" s="66">
        <f>Company_Master!A9</f>
        <v/>
      </c>
      <c r="B10" s="52" t="inlineStr">
        <is>
          <t>A steady structural ally that kept its commitments intact through the backlash years.</t>
        </is>
      </c>
      <c r="C10" s="52" t="inlineStr">
        <is>
          <t>Added sexual orientation to its nondiscrimination policy in 1989, among the first majors; funded GLEAM ERG; trans-inclusive benefits; annual Xbox/Microsoft Pride campaigns with merchandise and donations; 2024 Global Diversity &amp; Inclusion report publicly reaffirmed by CEO Nadella; CEI 100 streak maintained.</t>
        </is>
      </c>
      <c r="D10" s="52" t="inlineStr">
        <is>
          <t>Laid off an internal DEI team in July 2024 citing 'changing business needs' (Business Insider memo) — a warning sign, though public commitments and the inclusion report continued.</t>
        </is>
      </c>
      <c r="E10" s="52" t="inlineStr">
        <is>
          <t>Continuity: while peers scrubbed pages and quit the CEI, Microsoft kept reporting and kept its programs.</t>
        </is>
      </c>
      <c r="F10" s="52" t="inlineStr">
        <is>
          <t>Stable</t>
        </is>
      </c>
      <c r="G10" s="51" t="inlineStr">
        <is>
          <t>High</t>
        </is>
      </c>
    </row>
    <row r="11" ht="15" customHeight="1" s="42">
      <c r="A11" s="65">
        <f>Company_Master!A10</f>
        <v/>
      </c>
      <c r="B11" s="59" t="inlineStr">
        <is>
          <t>Quietly deleted its public LGBTQ+ commitments while keeping the commercial trappings of Pride.</t>
        </is>
      </c>
      <c r="C11" s="59" t="inlineStr">
        <is>
          <t>Funded glamazon ERG (one of Amazon's oldest); years of Pride merchandise storefronts and rainbow branding; historically strong trans-inclusive benefits and CEI 100 scores.</t>
        </is>
      </c>
      <c r="D11" s="59" t="inlineStr">
        <is>
          <t>Dec 2024 memo wound down 'outdated' DEI programs; removed 'LGBTQ+ rights' section, all mentions of 'transgender,' WPATH-based gender-affirming-care benefit language, and its pledge to support trans anti-discrimination legislation from its positions page (LGBTQ Nation, Metro Weekly); stopped CEI participation; removed diversity language from its 10-K.</t>
        </is>
      </c>
      <c r="E11" s="59" t="inlineStr">
        <is>
          <t>Erasing the word 'transgender' from its public positions — a targeted scrubbing of the most vulnerable group while Pride merch stayed on sale.</t>
        </is>
      </c>
      <c r="F11" s="59" t="inlineStr">
        <is>
          <t>Declining</t>
        </is>
      </c>
      <c r="G11" s="58" t="inlineStr">
        <is>
          <t>High</t>
        </is>
      </c>
    </row>
    <row r="12" ht="15" customHeight="1" s="42">
      <c r="A12" s="66">
        <f>Company_Master!A11</f>
        <v/>
      </c>
      <c r="B12" s="52" t="inlineStr">
        <is>
          <t>The self-styled 'Equality' company kept its people programs but sanded the public edges off its commitments.</t>
        </is>
      </c>
      <c r="C12" s="52" t="inlineStr">
        <is>
          <t>Marc Benioff led corporate fights against Indiana's RFRA (2015) and Georgia's anti-LGBTQ+ bills — landmark vocal CEO advocacy; funded Outforce ERG; strong trans-inclusive benefits; 'Equality' as a stated core value for a decade; CEI 100.</t>
        </is>
      </c>
      <c r="D12" s="52" t="inlineStr">
        <is>
          <t>March 2025 annual filing dropped diversity-as-core-value language, hiring/representation goals, and exec-comp diversity ties (SF Examiner, TechRepublic) — reframing equality as legal compliance.</t>
        </is>
      </c>
      <c r="E12" s="52" t="inlineStr">
        <is>
          <t>The March 2025 10-K rewrite: values that defined the brand were quietly edited out under political pressure, though programs largely persist.</t>
        </is>
      </c>
      <c r="F12" s="52" t="inlineStr">
        <is>
          <t>Declining</t>
        </is>
      </c>
      <c r="G12" s="51" t="inlineStr">
        <is>
          <t>High</t>
        </is>
      </c>
    </row>
    <row r="13" ht="15" customHeight="1" s="42">
      <c r="A13" s="65">
        <f>Company_Master!A12</f>
        <v/>
      </c>
      <c r="B13" s="59" t="inlineStr">
        <is>
          <t>Forty years of pioneering inclusion infrastructure dismantled in a single 2025 restructuring.</t>
        </is>
      </c>
      <c r="C13" s="59" t="inlineStr">
        <is>
          <t>Sexual orientation in nondiscrimination policy since 1984; early adopter of trans-inclusive health benefits; EAGLE ERG; 2020 Lifetime Achievement recognition of trans computing pioneer Lynn Conway; long CEI 100 streak.</t>
        </is>
      </c>
      <c r="D13" s="59" t="inlineStr">
        <is>
          <t>April 2025 internal memo ended the DEI department and Diversity Council, dropped exec-comp diversity ties and de-raced its supplier diversity program (hr-brew); change publicized by anti-DEI activist Robby Starbuck, indicating pressure-driven timing.</t>
        </is>
      </c>
      <c r="E13" s="59" t="inlineStr">
        <is>
          <t>The April 2025 dismantling — IBM didn't trim language, it removed the institutional machinery of four decades of inclusion.</t>
        </is>
      </c>
      <c r="F13" s="59" t="inlineStr">
        <is>
          <t>Sharp Reversal</t>
        </is>
      </c>
      <c r="G13" s="58" t="inlineStr">
        <is>
          <t>High</t>
        </is>
      </c>
    </row>
    <row r="14" ht="15" customHeight="1" s="42">
      <c r="A14" s="66">
        <f>Company_Master!A13</f>
        <v/>
      </c>
      <c r="B14" s="52" t="inlineStr">
        <is>
          <t>Near-baseline by design: Oracle never built a public LGBTQ+ commitment, so it had nothing to walk back.</t>
        </is>
      </c>
      <c r="C14" s="52" t="inlineStr">
        <is>
          <t>Maintains a culture-and-inclusion careers page and an internal LGBTQ+ employee network; occasional Pride Month posts.</t>
        </is>
      </c>
      <c r="D14" s="52" t="inlineStr">
        <is>
          <t>No documented Pride event sponsorships, LGBTQ+ donations, or executive advocacy; not a recent CEI participant; founder/CTO is a prominent backer of the current administration, and the company has stayed conspicuously silent on anti-LGBTQ+ policy.</t>
        </is>
      </c>
      <c r="E14" s="52" t="inlineStr">
        <is>
          <t>A thin record: minimal support, minimal retreat.</t>
        </is>
      </c>
      <c r="F14" s="52" t="inlineStr">
        <is>
          <t>Stable</t>
        </is>
      </c>
      <c r="G14" s="51" t="inlineStr">
        <is>
          <t>Low</t>
        </is>
      </c>
    </row>
    <row r="15" ht="15" customHeight="1" s="42">
      <c r="A15" s="65">
        <f>Company_Master!A14</f>
        <v/>
      </c>
      <c r="B15" s="59" t="inlineStr">
        <is>
          <t>A quiet capitulator: solid inclusion record trimmed back once the pressure campaign reached it.</t>
        </is>
      </c>
      <c r="C15" s="59" t="inlineStr">
        <is>
          <t>Years of CEI 100 ratings; funded Pride ERG; inclusive benefits; Pride Month engagement.</t>
        </is>
      </c>
      <c r="D15" s="59" t="inlineStr">
        <is>
          <t>Rolled back DEI commitments and diversity goals during the 2024-25 corporate retreat wave (tracked in industry DEI-rollback reporting); reduced public DEI language and reporting.</t>
        </is>
      </c>
      <c r="E15" s="59" t="inlineStr">
        <is>
          <t>Choosing the rollback path during 2025 rather than the hold-firm path taken by Apple and Microsoft.</t>
        </is>
      </c>
      <c r="F15" s="59" t="inlineStr">
        <is>
          <t>Declining</t>
        </is>
      </c>
      <c r="G15" s="58" t="inlineStr">
        <is>
          <t>Med</t>
        </is>
      </c>
    </row>
    <row r="16" ht="15" customHeight="1" s="42">
      <c r="A16" s="66">
        <f>Company_Master!A15</f>
        <v/>
      </c>
      <c r="B16" s="52" t="inlineStr">
        <is>
          <t>A quiet keeper: HP maintained its inclusion infrastructure without loud marketing or any documented retreat.</t>
        </is>
      </c>
      <c r="C16" s="52" t="inlineStr">
        <is>
          <t>Long CEI 100 record; funded LGBTQ+ ERG (Pride Business Impact Network); early Silicon Valley adopter of domestic-partner benefits; inclusive policies retained through 2025.</t>
        </is>
      </c>
      <c r="D16" s="52" t="inlineStr">
        <is>
          <t>Limited public-facing Pride investment relative to peers; modest visibility means modest civic credit.</t>
        </is>
      </c>
      <c r="E16" s="52" t="inlineStr">
        <is>
          <t>Consistency without retreat — absent from every major 2025 rollback list.</t>
        </is>
      </c>
      <c r="F16" s="52" t="inlineStr">
        <is>
          <t>Stable</t>
        </is>
      </c>
      <c r="G16" s="51" t="inlineStr">
        <is>
          <t>Med</t>
        </is>
      </c>
    </row>
    <row r="17" ht="15" customHeight="1" s="42">
      <c r="A17" s="65">
        <f>Company_Master!A16</f>
        <v/>
      </c>
      <c r="B17" s="59" t="inlineStr">
        <is>
          <t>America's largest retailer dismantled its LGBTQ+ commitments wholesale under activist pressure in late 2024, then kept retreating.</t>
        </is>
      </c>
      <c r="C17" s="59" t="inlineStr">
        <is>
          <t>Years of Pride merchandise, rainbow branding, a funded PRIDE ERG, and Pride event sponsorships including Stonewall Columbus.</t>
        </is>
      </c>
      <c r="D17" s="59" t="inlineStr">
        <is>
          <t>Nov 2024: ended CEI participation, supplier diversity program, and equity trainings; erased 'diversity' from company documents; removed certain LGBTQ+ merchandise (TechTarget, SEC PX14A6G). 2025: withdrew Columbus Pride sponsorship (Columbus Dispatch via Advocate); scaled back Pride event support nationally (NPR 2026).</t>
        </is>
      </c>
      <c r="E17" s="59" t="inlineStr">
        <is>
          <t>The November 2024 capitulation to a pressure campaign — done preemptively, before any government mandate existed.</t>
        </is>
      </c>
      <c r="F17" s="59" t="inlineStr">
        <is>
          <t>Sharp Reversal</t>
        </is>
      </c>
      <c r="G17" s="58" t="inlineStr">
        <is>
          <t>High</t>
        </is>
      </c>
    </row>
    <row r="18" ht="15" customHeight="1" s="42">
      <c r="A18" s="66">
        <f>Company_Master!A17</f>
        <v/>
      </c>
      <c r="B18" s="52" t="inlineStr">
        <is>
          <t>The defining retail reversal: a decade of loud Pride allyship abandoned in stages — 2023 merch pullback, 2025 DEI termination, then anonymous-only sponsorship.</t>
        </is>
      </c>
      <c r="C18" s="52" t="inlineStr">
        <is>
          <t>A decade-plus of major Pride collections with queer designers, longtime Twin Cities Pride sponsorship, NYC Pride Platinum ($175K-level) sponsorship, and CEI 100 scores.</t>
        </is>
      </c>
      <c r="D18" s="52" t="inlineStr">
        <is>
          <t>May 2023: removed Pride items after in-store threats rather than defending them (Wikipedia/AP record). Jan 2025: ended three-year DEI goals and stopped reporting to HRC's CEI (CNBC, PBS). 2025: asked NYC Pride to keep its sponsorship unlisted as a 'silent partner'; Twin Cities Pride dropped Target as sponsor, and the community outraised Target's pledge within 24 hours (Advocate). Black-church-led 40-day boycott and 9% February foot-traffic drop followed (CNN).</t>
        </is>
      </c>
      <c r="E18" s="52" t="inlineStr">
        <is>
          <t>The January 2025 DEI termination — coming after the 2023 capitulation, it confirmed a pattern: Target supports Pride only when it is free.</t>
        </is>
      </c>
      <c r="F18" s="52" t="inlineStr">
        <is>
          <t>Sharp Reversal</t>
        </is>
      </c>
      <c r="G18" s="51" t="inlineStr">
        <is>
          <t>High</t>
        </is>
      </c>
    </row>
    <row r="19" ht="15" customHeight="1" s="42">
      <c r="A19" s="65">
        <f>Company_Master!A18</f>
        <v/>
      </c>
      <c r="B19" s="59" t="inlineStr">
        <is>
          <t>Quiet structural ally that publicly defended its diversity commitments when directly attacked — the inverse of rainbow capitalism.</t>
        </is>
      </c>
      <c r="C19" s="59" t="inlineStr">
        <is>
          <t>Board unanimously recommended against the NCPPR anti-DEI proposal and 98%+ of shareholders rejected it (Jan 2025, CBS); inclusive nondiscrimination policy and benefits; DEI commitments maintained through the backlash.</t>
        </is>
      </c>
      <c r="D19" s="59" t="inlineStr">
        <is>
          <t>Minimal Pride-specific visibility: no significant Pride merchandising, sponsorships or campaigns — support is structural rather than community-facing.</t>
        </is>
      </c>
      <c r="E19" s="59" t="inlineStr">
        <is>
          <t>The January 2025 board statement and 98% shareholder vote — a deliberate public defense of inclusion when retreat was the easy path.</t>
        </is>
      </c>
      <c r="F19" s="59" t="inlineStr">
        <is>
          <t>Stable</t>
        </is>
      </c>
      <c r="G19" s="58" t="inlineStr">
        <is>
          <t>High</t>
        </is>
      </c>
    </row>
    <row r="20" ht="15" customHeight="1" s="42">
      <c r="A20" s="66">
        <f>Company_Master!A19</f>
        <v/>
      </c>
      <c r="B20" s="52" t="inlineStr">
        <is>
          <t>A bystander: Home Depot never invested in public LGBTQ+ support, so the backlash era required nothing of it.</t>
        </is>
      </c>
      <c r="C20" s="52" t="inlineStr">
        <is>
          <t>Standard nondiscrimination policy including sexual orientation and gender identity; occasional local ERG activity.</t>
        </is>
      </c>
      <c r="D20" s="52" t="inlineStr">
        <is>
          <t>No meaningful Pride sponsorships, campaigns, donations or executive advocacy on record; not a recent CEI participant.</t>
        </is>
      </c>
      <c r="E20" s="52" t="inlineStr">
        <is>
          <t>Non-engagement — the score sits near baseline for lack of evidence either way.</t>
        </is>
      </c>
      <c r="F20" s="52" t="inlineStr">
        <is>
          <t>Stable</t>
        </is>
      </c>
      <c r="G20" s="51" t="inlineStr">
        <is>
          <t>Low</t>
        </is>
      </c>
    </row>
    <row r="21" ht="15" customHeight="1" s="42">
      <c r="A21" s="65">
        <f>Company_Master!A20</f>
        <v/>
      </c>
      <c r="B21" s="59" t="inlineStr">
        <is>
          <t>An early and complete capitulator to the 2024 anti-DEI pressure campaign, formally penalized by HRC.</t>
        </is>
      </c>
      <c r="C21" s="59" t="inlineStr">
        <is>
          <t>Previous CEI 100 scores, a funded LGBTQ+ ERG, and Pride event sponsorships including Stonewall Columbus.</t>
        </is>
      </c>
      <c r="D21" s="59" t="inlineStr">
        <is>
          <t>Aug 2024: announced it would stop CEI participation, fold identity-based ERGs into one umbrella group, and end Pride event sponsorship after Robby Starbuck pressure — HRC docked its CEI score 25 points as one of seven companies penalized for abandoning commitments (HRC press release). 2025: among companies that withdrew Columbus Pride support (Columbus Dispatch).</t>
        </is>
      </c>
      <c r="E21" s="59" t="inlineStr">
        <is>
          <t>The August 2024 preemptive surrender — before any legal or regulatory pressure existed.</t>
        </is>
      </c>
      <c r="F21" s="59" t="inlineStr">
        <is>
          <t>Sharp Reversal</t>
        </is>
      </c>
      <c r="G21" s="58" t="inlineStr">
        <is>
          <t>High</t>
        </is>
      </c>
    </row>
    <row r="22" ht="15" customHeight="1" s="42">
      <c r="A22" s="66">
        <f>Company_Master!A21</f>
        <v/>
      </c>
      <c r="B22" s="52" t="inlineStr">
        <is>
          <t>Held most of its commitments while quietly retiring the measurable targets — a hedge, not a retreat.</t>
        </is>
      </c>
      <c r="C22" s="52" t="inlineStr">
        <is>
          <t>Funded LGBTQ+ ERG; CEI 100 record; inclusive benefits; DEI web commitments reaffirmed as of January 2025 (Buildremote tracking).</t>
        </is>
      </c>
      <c r="D22" s="52" t="inlineStr">
        <is>
          <t>Dropped specific measurable diversity goals from its 2024 corporate report that had appeared in 2023 — a step away from public accountability, though programs and policy language remain.</t>
        </is>
      </c>
      <c r="E22" s="52" t="inlineStr">
        <is>
          <t>Maintaining its commitments through 2025 while peers reversed — tempered by reduced transparency.</t>
        </is>
      </c>
      <c r="F22" s="52" t="inlineStr">
        <is>
          <t>Stable</t>
        </is>
      </c>
      <c r="G22" s="51" t="inlineStr">
        <is>
          <t>Med</t>
        </is>
      </c>
    </row>
    <row r="23" ht="15" customHeight="1" s="42">
      <c r="A23" s="65">
        <f>Company_Master!A22</f>
        <v/>
      </c>
      <c r="B23" s="59" t="inlineStr">
        <is>
          <t>A long-running commercial ally whose support dimmed in the backlash years but never flipped to retreat — and resurfaced in 2026.</t>
        </is>
      </c>
      <c r="C23" s="59" t="inlineStr">
        <is>
          <t>BETRUE collection ran annually 2012-2023 with collaborations with LGBTQ+ athletes and creators and donations to LGBTQ+ sport organizations; currently offering the 'Love Unites' Pride collection (June 2026, Advocate); CEI 100 record.</t>
        </is>
      </c>
      <c r="D23" s="59" t="inlineStr">
        <is>
          <t>Pride visibility dropped sharply in 2024-2025 with no flagship collection at the height of the backlash — a quiet fade rather than a stated reversal.</t>
        </is>
      </c>
      <c r="E23" s="59" t="inlineStr">
        <is>
          <t>Continuity of commercial support across 14 years, including a 2026 return while peers stayed dark.</t>
        </is>
      </c>
      <c r="F23" s="59" t="inlineStr">
        <is>
          <t>Stable</t>
        </is>
      </c>
      <c r="G23" s="58" t="inlineStr">
        <is>
          <t>Med</t>
        </is>
      </c>
    </row>
    <row r="24" ht="15" customHeight="1" s="42">
      <c r="A24" s="66">
        <f>Company_Master!A23</f>
        <v/>
      </c>
      <c r="B24" s="52" t="inlineStr">
        <is>
          <t>A sustained commercial-plus-financial ally that increased support while the industry retreated.</t>
        </is>
      </c>
      <c r="C24" s="52" t="inlineStr">
        <is>
          <t>2026 Pride collection with a $400,000 donation to The Trevor Project (Advocate, June 2026); multi-year Trevor Project partnership predating the backlash; gender-inclusive product lines; CEI 100 record.</t>
        </is>
      </c>
      <c r="D24" s="52" t="inlineStr">
        <is>
          <t>No significant negatives documented; support is concentrated in Pride-season commerce and philanthropy rather than civic sponsorship.</t>
        </is>
      </c>
      <c r="E24" s="52" t="inlineStr">
        <is>
          <t>Raising its Trevor Project commitment to $400K in 2026 — expanding support precisely when retreat was the norm.</t>
        </is>
      </c>
      <c r="F24" s="52" t="inlineStr">
        <is>
          <t>Improving</t>
        </is>
      </c>
      <c r="G24" s="51" t="inlineStr">
        <is>
          <t>High</t>
        </is>
      </c>
    </row>
    <row r="25" ht="15" customHeight="1" s="42">
      <c r="A25" s="65">
        <f>Company_Master!A24</f>
        <v/>
      </c>
      <c r="B25" s="59" t="inlineStr">
        <is>
          <t>A consistent commercial ally whose Pride program survived the backlash intact.</t>
        </is>
      </c>
      <c r="C25" s="59" t="inlineStr">
        <is>
          <t>Pride collection ('The Pride Shop') running since the late 2010s with proceeds benefiting It Gets Better; $150,000 donation to It Gets Better in 2026 (Advocate); CEI-verified inclusive policies.</t>
        </is>
      </c>
      <c r="D25" s="59" t="inlineStr">
        <is>
          <t>Support is largely commercial/Pride-season; limited documented civic sponsorship or structural advocacy beyond retail programs.</t>
        </is>
      </c>
      <c r="E25" s="59" t="inlineStr">
        <is>
          <t>Maintaining and funding its Pride program in 2026 while larger retailers went silent.</t>
        </is>
      </c>
      <c r="F25" s="59" t="inlineStr">
        <is>
          <t>Stable</t>
        </is>
      </c>
      <c r="G25" s="58" t="inlineStr">
        <is>
          <t>High</t>
        </is>
      </c>
    </row>
    <row r="26" ht="15" customHeight="1" s="42">
      <c r="A26" s="66">
        <f>Company_Master!A25</f>
        <v/>
      </c>
      <c r="B26" s="52" t="inlineStr">
        <is>
          <t>Quietly present: brand-level Pride commerce continued through 2026 without corporate-level noise in either direction.</t>
        </is>
      </c>
      <c r="C26" s="52" t="inlineStr">
        <is>
          <t>Old Navy 2026 Pride collection featuring LGBTQ+ historical figures and family/kids' items (Advocate, June 2026); prior Gap/Old Navy Pride collections; CEI-rated inclusive policies.</t>
        </is>
      </c>
      <c r="D26" s="52" t="inlineStr">
        <is>
          <t>Low corporate visibility: no major sponsorships, donations or executive advocacy documented; no CEI 2026 participation confirmed.</t>
        </is>
      </c>
      <c r="E26" s="52" t="inlineStr">
        <is>
          <t>Continuing visible Pride retail — including children's items — in June 2026.</t>
        </is>
      </c>
      <c r="F26" s="52" t="inlineStr">
        <is>
          <t>Stable</t>
        </is>
      </c>
      <c r="G26" s="51" t="inlineStr">
        <is>
          <t>Med</t>
        </is>
      </c>
    </row>
    <row r="27" ht="15" customHeight="1" s="42">
      <c r="A27" s="65">
        <f>Company_Master!A26</f>
        <v/>
      </c>
      <c r="B27" s="59" t="inlineStr">
        <is>
          <t>A global commercial ally: recurring Pride collections tied to UN Free &amp; Equal donations, without deep US civic engagement.</t>
        </is>
      </c>
      <c r="C27" s="59" t="inlineStr">
        <is>
          <t>Pride apparel collections since 2018 with 10% of sales donated to the UN Free &amp; Equal campaign; global Pride marketing.</t>
        </is>
      </c>
      <c r="D27" s="59" t="inlineStr">
        <is>
          <t>Support is primarily commercial and seasonal; H&amp;M sells in markets that criminalize homosexuality without comparable advocacy there, and its Pride supply chain drew criticism in 2018.</t>
        </is>
      </c>
      <c r="E27" s="59" t="inlineStr">
        <is>
          <t>Sustained commercial support with a real donation mechanism, but limited structural depth.</t>
        </is>
      </c>
      <c r="F27" s="59" t="inlineStr">
        <is>
          <t>Stable</t>
        </is>
      </c>
      <c r="G27" s="58" t="inlineStr">
        <is>
          <t>Med</t>
        </is>
      </c>
    </row>
    <row r="28" ht="15" customHeight="1" s="42">
      <c r="A28" s="66">
        <f>Company_Master!A27</f>
        <v/>
      </c>
      <c r="B28" s="52" t="inlineStr">
        <is>
          <t>A blank: extensive search found no documented LGBTQ+ support or opposition.</t>
        </is>
      </c>
      <c r="C28" s="52" t="inlineStr">
        <is>
          <t>None documented.</t>
        </is>
      </c>
      <c r="D28" s="52" t="inlineStr">
        <is>
          <t>None documented — the absence of any engagement is itself the finding for a brand of this visibility.</t>
        </is>
      </c>
      <c r="E28" s="52" t="inlineStr">
        <is>
          <t>No evidence either way; baseline score by default.</t>
        </is>
      </c>
      <c r="F28" s="52" t="inlineStr">
        <is>
          <t>Stable</t>
        </is>
      </c>
      <c r="G28" s="51" t="inlineStr">
        <is>
          <t>Low</t>
        </is>
      </c>
    </row>
    <row r="29" ht="15" customHeight="1" s="42">
      <c r="A29" s="65">
        <f>Company_Master!A28</f>
        <v/>
      </c>
      <c r="B29" s="59" t="inlineStr">
        <is>
          <t>A steady, understated ally anchored in its recurring Polo Pride program.</t>
        </is>
      </c>
      <c r="C29" s="59" t="inlineStr">
        <is>
          <t>Polo Pride capsule collections (2019 onward) with donations to LGBTQ+ organizations including the Stonewall Community Foundation; CEI 100 record; inclusive marketing featuring LGBTQ+ models and families.</t>
        </is>
      </c>
      <c r="D29" s="59" t="inlineStr">
        <is>
          <t>Limited civic sponsorship footprint; engagement is primarily brand-led and seasonal.</t>
        </is>
      </c>
      <c r="E29" s="59" t="inlineStr">
        <is>
          <t>Program continuity — the Pride capsule and giving survived the backlash period.</t>
        </is>
      </c>
      <c r="F29" s="59" t="inlineStr">
        <is>
          <t>Stable</t>
        </is>
      </c>
      <c r="G29" s="58" t="inlineStr">
        <is>
          <t>Med</t>
        </is>
      </c>
    </row>
    <row r="30" ht="15" customHeight="1" s="42">
      <c r="A30" s="66">
        <f>Company_Master!A29</f>
        <v/>
      </c>
      <c r="B30" s="52" t="inlineStr">
        <is>
          <t>A generational ally: structural commitments dating to 1992, annual funding, and undiminished Pride programming through 2026.</t>
        </is>
      </c>
      <c r="C30" s="52" t="inlineStr">
        <is>
          <t>First major US company to offer domestic-partner health benefits (1992); annual $100,000 donation to Outright International; 2026 Pride collection honoring queer motorcycle/leather clubs (Advocate); shareholders rejected an anti-DEI proposal in 2025 (CNN); decades of CEI 100 scores and consistent public advocacy.</t>
        </is>
      </c>
      <c r="D30" s="52" t="inlineStr">
        <is>
          <t>No significant negatives documented in the modern era.</t>
        </is>
      </c>
      <c r="E30" s="52" t="inlineStr">
        <is>
          <t>Thirty-plus years of structural, financial and commercial support that never wavered under pressure — the index's benchmark for consistency.</t>
        </is>
      </c>
      <c r="F30" s="52" t="inlineStr">
        <is>
          <t>Stable</t>
        </is>
      </c>
      <c r="G30" s="51" t="inlineStr">
        <is>
          <t>High</t>
        </is>
      </c>
    </row>
    <row r="31" ht="15" customHeight="1" s="42">
      <c r="A31" s="65">
        <f>Company_Master!A30</f>
        <v/>
      </c>
      <c r="B31" s="59" t="inlineStr">
        <is>
          <t>A brand-led commercial ally: CK and Tommy Pride campaigns recur annually atop CEI-verified inclusive policies.</t>
        </is>
      </c>
      <c r="C31" s="59" t="inlineStr">
        <is>
          <t>Calvin Klein 'This Is Love' Pride collections and campaigns featuring LGBTQ+ talent; Tommy Hilfiger Pride capsules; CEI 100 record with inclusive benefits.</t>
        </is>
      </c>
      <c r="D31" s="59" t="inlineStr">
        <is>
          <t>Engagement is mostly brand marketing; reduced Pride visibility since 2024 and no confirmed CEI 2026 participation.</t>
        </is>
      </c>
      <c r="E31" s="59" t="inlineStr">
        <is>
          <t>Recurring multi-brand Pride programming without retreat.</t>
        </is>
      </c>
      <c r="F31" s="59" t="inlineStr">
        <is>
          <t>Stable</t>
        </is>
      </c>
      <c r="G31" s="58" t="inlineStr">
        <is>
          <t>Med</t>
        </is>
      </c>
    </row>
    <row r="32" ht="15" customHeight="1" s="42">
      <c r="A32" s="66">
        <f>Company_Master!A31</f>
        <v/>
      </c>
      <c r="B32" s="52" t="inlineStr">
        <is>
          <t>A structural ally that absorbed pressure with adjustments rather than retreat.</t>
        </is>
      </c>
      <c r="C32" s="52" t="inlineStr">
        <is>
          <t>Industry-landmark gender-affirming healthcare benefits expanded in 2018 beyond WPATH baselines; funded Pride Alliance ERG; annual Pride merchandise and branding; diversity goals (30% corporate / 40% retail-manufacturing) explicitly retained in 2025; long CEI 100 record.</t>
        </is>
      </c>
      <c r="D32" s="52" t="inlineStr">
        <is>
          <t>March 2025: shareholders approved replacing the 7.5% DEI-linked executive bonus with a general workforce metric under conservative pressure (Seattle Times); 2023 union allegations that some stores restricted Pride decorations (company denied a policy change).</t>
        </is>
      </c>
      <c r="E32" s="52" t="inlineStr">
        <is>
          <t>Retaining its diversity goals and benefits while making only cosmetic concessions — substance survived the backlash.</t>
        </is>
      </c>
      <c r="F32" s="52" t="inlineStr">
        <is>
          <t>Stable</t>
        </is>
      </c>
      <c r="G32" s="51" t="inlineStr">
        <is>
          <t>High</t>
        </is>
      </c>
    </row>
    <row r="33" ht="15" customHeight="1" s="42">
      <c r="A33" s="65">
        <f>Company_Master!A32</f>
        <v/>
      </c>
      <c r="B33" s="59" t="inlineStr">
        <is>
          <t>An early-January 2025 capitulator that ended its diversity architecture before the new administration asked.</t>
        </is>
      </c>
      <c r="C33" s="59" t="inlineStr">
        <is>
          <t>Years of Pride branding and statements; funded PRIDE Network ERG; previous CEI 100 scores; local franchise Pride event participation.</t>
        </is>
      </c>
      <c r="D33" s="59" t="inlineStr">
        <is>
          <t>Jan 2025: ended aspirational representation goals, retired supplier diversity targets, and paused participation in external surveys including HRC's CEI (CBS News); rebranded diversity team as 'Global Inclusion.'</t>
        </is>
      </c>
      <c r="E33" s="59" t="inlineStr">
        <is>
          <t>Pausing CEI participation and scrapping goals within days of the inauguration — a preemptive political retreat.</t>
        </is>
      </c>
      <c r="F33" s="59" t="inlineStr">
        <is>
          <t>Sharp Reversal</t>
        </is>
      </c>
      <c r="G33" s="58" t="inlineStr">
        <is>
          <t>High</t>
        </is>
      </c>
    </row>
    <row r="34" ht="15" customHeight="1" s="42">
      <c r="A34" s="66">
        <f>Company_Master!A33</f>
        <v/>
      </c>
      <c r="B34" s="52" t="inlineStr">
        <is>
          <t>A consistent non-supporter with a documented history of funding organizations opposed to LGBTQ+ equality.</t>
        </is>
      </c>
      <c r="C34" s="52" t="inlineStr">
        <is>
          <t>None documented — no Pride engagement, inclusive-policy advocacy, or LGBTQ+ giving at any point.</t>
        </is>
      </c>
      <c r="D34" s="52" t="inlineStr">
        <is>
          <t>Foundation donations over many years to organizations with anti-LGBTQ+ positions/policies, including Fellowship of Christian Athletes and the Salvation Army (ended 2019) and earlier Exodus International; CEO Dan Cathy's 2012 public opposition to same-sex marriage triggered national boycotts.</t>
        </is>
      </c>
      <c r="E34" s="52" t="inlineStr">
        <is>
          <t>Its giving history — the company funded the opposition, which no subsequent quiet period erases without affirmative repair.</t>
        </is>
      </c>
      <c r="F34" s="52" t="inlineStr">
        <is>
          <t>Stable</t>
        </is>
      </c>
      <c r="G34" s="51" t="inlineStr">
        <is>
          <t>High</t>
        </is>
      </c>
    </row>
    <row r="35" ht="15" customHeight="1" s="42">
      <c r="A35" s="65">
        <f>Company_Master!A34</f>
        <v/>
      </c>
      <c r="B35" s="59" t="inlineStr">
        <is>
          <t>A non-participant: no documented support, no documented opposition.</t>
        </is>
      </c>
      <c r="C35" s="59" t="inlineStr">
        <is>
          <t>None documented beyond standard nondiscrimination employment language.</t>
        </is>
      </c>
      <c r="D35" s="59" t="inlineStr">
        <is>
          <t>None documented.</t>
        </is>
      </c>
      <c r="E35" s="59" t="inlineStr">
        <is>
          <t>Absence of engagement keeps Subway at baseline.</t>
        </is>
      </c>
      <c r="F35" s="59" t="inlineStr">
        <is>
          <t>Stable</t>
        </is>
      </c>
      <c r="G35" s="58" t="inlineStr">
        <is>
          <t>Low</t>
        </is>
      </c>
    </row>
    <row r="36" ht="15" customHeight="1" s="42">
      <c r="A36" s="66">
        <f>Company_Master!A35</f>
        <v/>
      </c>
      <c r="B36" s="52" t="inlineStr">
        <is>
          <t>A holder: Coca-Cola publicly reaffirmed inclusion while its beverage rival retreated.</t>
        </is>
      </c>
      <c r="C36" s="52" t="inlineStr">
        <is>
          <t>Reaffirmed DEI efforts in 2025 as PepsiCo cut goals (12News/AP); shareholders rejected an anti-DEI proposal (CNN); longtime Atlanta Pride sponsor; funded LGBTQ+ ERG; CEI 100 record; 10-K names an inclusive culture as a business imperative.</t>
        </is>
      </c>
      <c r="D36" s="52" t="inlineStr">
        <is>
          <t>Past criticism over sponsorship of events in anti-LGBTQ+ jurisdictions (2014 Sochi Olympics era) — outside the current window; Pride visibility modest relative to its scale.</t>
        </is>
      </c>
      <c r="E36" s="52" t="inlineStr">
        <is>
          <t>Choosing public reaffirmation in 2025 when the path of least resistance was silence.</t>
        </is>
      </c>
      <c r="F36" s="52" t="inlineStr">
        <is>
          <t>Stable</t>
        </is>
      </c>
      <c r="G36" s="51" t="inlineStr">
        <is>
          <t>High</t>
        </is>
      </c>
    </row>
    <row r="37" ht="15" customHeight="1" s="42">
      <c r="A37" s="65">
        <f>Company_Master!A36</f>
        <v/>
      </c>
      <c r="B37" s="59" t="inlineStr">
        <is>
          <t>A longtime Pride sponsor that cut both its internal goals and its public sponsorship within months.</t>
        </is>
      </c>
      <c r="C37" s="59" t="inlineStr">
        <is>
          <t>Years of NYC Pride sponsorship as a top donor; funded EQUAL LGBTQ+ ERG; previous CEI 100 scores; Pride-themed marketing history.</t>
        </is>
      </c>
      <c r="D37" s="59" t="inlineStr">
        <is>
          <t>Feb 2025: ended DEI representation goals and restructured DEI leadership (12News/AP); withdrew or scaled back NYC Pride sponsorship for 2025 after years as a leading donor (NBC News, Advocate).</t>
        </is>
      </c>
      <c r="E37" s="59" t="inlineStr">
        <is>
          <t>Pairing the internal goal termination with the visible withdrawal from NYC Pride — retreat in both substance and symbol.</t>
        </is>
      </c>
      <c r="F37" s="59" t="inlineStr">
        <is>
          <t>Sharp Reversal</t>
        </is>
      </c>
      <c r="G37" s="58" t="inlineStr">
        <is>
          <t>High</t>
        </is>
      </c>
    </row>
    <row r="38" ht="15" customHeight="1" s="42">
      <c r="A38" s="66">
        <f>Company_Master!A37</f>
        <v/>
      </c>
      <c r="B38" s="52" t="inlineStr">
        <is>
          <t>Courted the community for marketing, then abandoned a trans partner and three decades of Pride sponsorship the moment it cost something.</t>
        </is>
      </c>
      <c r="C38" s="52" t="inlineStr">
        <is>
          <t>Decades of Pride sponsorships including ~30 years backing St. Louis Pride; rainbow Bud Light merchandise history; the 2023 Mulvaney partnership itself was a visible trans-inclusive commercial act.</t>
        </is>
      </c>
      <c r="D38" s="52" t="inlineStr">
        <is>
          <t>Apr-May 2023: after boycott and threats, AB failed to defend Mulvaney (who said the company never contacted her), placed executives on leave, and messaged reassurance to critics — HRC suspended/docked its CEI rating in response. 2025: withdrew from San Francisco Pride, Columbus Pride, and its hometown St. Louis Pride after 30+ years, leaving a $150K shortfall the community covered (NBC News, Advocate).</t>
        </is>
      </c>
      <c r="E38" s="52" t="inlineStr">
        <is>
          <t>The Mulvaney abandonment — a reversal so public it became the template for 'allyship until it's inconvenient.'</t>
        </is>
      </c>
      <c r="F38" s="52" t="inlineStr">
        <is>
          <t>Sharp Reversal</t>
        </is>
      </c>
      <c r="G38" s="51" t="inlineStr">
        <is>
          <t>High</t>
        </is>
      </c>
    </row>
    <row r="39" ht="15" customHeight="1" s="42">
      <c r="A39" s="65">
        <f>Company_Master!A38</f>
        <v/>
      </c>
      <c r="B39" s="59" t="inlineStr">
        <is>
          <t>A quiet legacy-friendly grocer whose public posture is now subsumed — and diluted — by its parent.</t>
        </is>
      </c>
      <c r="C39" s="59" t="inlineStr">
        <is>
          <t>Early adopter of domestic-partner benefits among US grocers; local-store Pride participation; inclusive employment policies.</t>
        </is>
      </c>
      <c r="D39" s="59" t="inlineStr">
        <is>
          <t>No distinct corporate Pride program; parent Amazon removed 'LGBTQ+ rights' and 'transgender' references from its public positions in 2025, covering Whole Foods policy posture.</t>
        </is>
      </c>
      <c r="E39" s="59" t="inlineStr">
        <is>
          <t>Local friendliness without corporate commitment, under a parent in retreat.</t>
        </is>
      </c>
      <c r="F39" s="59" t="inlineStr">
        <is>
          <t>Stable</t>
        </is>
      </c>
      <c r="G39" s="58" t="inlineStr">
        <is>
          <t>Low</t>
        </is>
      </c>
    </row>
    <row r="40" ht="15" customHeight="1" s="42">
      <c r="A40" s="66">
        <f>Company_Master!A39</f>
        <v/>
      </c>
      <c r="B40" s="52" t="inlineStr">
        <is>
          <t>A non-participant in the Pride economy: nothing to credit, nothing to penalize.</t>
        </is>
      </c>
      <c r="C40" s="52" t="inlineStr">
        <is>
          <t>None documented beyond standard employment policy.</t>
        </is>
      </c>
      <c r="D40" s="52" t="inlineStr">
        <is>
          <t>None documented.</t>
        </is>
      </c>
      <c r="E40" s="52" t="inlineStr">
        <is>
          <t>Absence of engagement; baseline score.</t>
        </is>
      </c>
      <c r="F40" s="52" t="inlineStr">
        <is>
          <t>Stable</t>
        </is>
      </c>
      <c r="G40" s="51" t="inlineStr">
        <is>
          <t>Low</t>
        </is>
      </c>
    </row>
    <row r="41" ht="15" customHeight="1" s="42">
      <c r="A41" s="65">
        <f>Company_Master!A40</f>
        <v/>
      </c>
      <c r="B41" s="59" t="inlineStr">
        <is>
          <t>Held the substance, traded a word: JPMorgan kept its LGBTQ+ programs while renaming the umbrella under pressure.</t>
        </is>
      </c>
      <c r="C41" s="59" t="inlineStr">
        <is>
          <t>Funded PRIDE business resource group; comprehensive trans-inclusive benefits; 20+ years of CEI 100 ratings; CEO Jamie Dimon publicly affirmed in 2025 that outreach to LGBT communities continues: 'We're not changing that' (Banking Dive).</t>
        </is>
      </c>
      <c r="D41" s="59" t="inlineStr">
        <is>
          <t>March 2025 rename from 'Diversity, Equity &amp; Inclusion' to 'Diversity, Opportunity &amp; Inclusion,' folding some programs into other units — a symbolic concession to the political climate.</t>
        </is>
      </c>
      <c r="E41" s="59" t="inlineStr">
        <is>
          <t>Dimon's explicit public refusal to abandon LGBT outreach while peer CEOs went quiet.</t>
        </is>
      </c>
      <c r="F41" s="59" t="inlineStr">
        <is>
          <t>Stable</t>
        </is>
      </c>
      <c r="G41" s="58" t="inlineStr">
        <is>
          <t>High</t>
        </is>
      </c>
    </row>
    <row r="42" ht="15" customHeight="1" s="42">
      <c r="A42" s="66">
        <f>Company_Master!A41</f>
        <v/>
      </c>
      <c r="B42" s="52" t="inlineStr">
        <is>
          <t>A quiet retreat in paper and language while internal programs partially persist.</t>
        </is>
      </c>
      <c r="C42" s="52" t="inlineStr">
        <is>
          <t>Funded LGBTQ+ Pride ERG; comprehensive inclusive benefits; long CEI 100 record; major Pride sponsorships historically (e.g., Charlotte Pride).</t>
        </is>
      </c>
      <c r="D42" s="52" t="inlineStr">
        <is>
          <t>Early 2025: removed diversity language from its annual report, rebranded DEI as 'talent and opportunity,' and rolled back diverse-slate hiring practices alongside Goldman and Wells Fargo (Banking Dive, Fortune).</t>
        </is>
      </c>
      <c r="E42" s="52" t="inlineStr">
        <is>
          <t>Choosing linguistic erasure in federal filings — a signal to Washington at the community's expense.</t>
        </is>
      </c>
      <c r="F42" s="52" t="inlineStr">
        <is>
          <t>Declining</t>
        </is>
      </c>
      <c r="G42" s="51" t="inlineStr">
        <is>
          <t>Med</t>
        </is>
      </c>
    </row>
    <row r="43" ht="15" customHeight="1" s="42">
      <c r="A43" s="65">
        <f>Company_Master!A42</f>
        <v/>
      </c>
      <c r="B43" s="59" t="inlineStr">
        <is>
          <t>From pioneer to follower: decades of LGBTQ+ marketing ended in a compliance-driven trim.</t>
        </is>
      </c>
      <c r="C43" s="59" t="inlineStr">
        <is>
          <t>Among the first major US banks to advertise directly to LGBTQ+ customers (1990s onward); funded PRIDE ERG; inclusive benefits; long CEI 100 record.</t>
        </is>
      </c>
      <c r="D43" s="59" t="inlineStr">
        <is>
          <t>2025: dropped its diverse-slate hiring requirement and scaled back DEI programs and language alongside Goldman and BofA (Banking Dive).</t>
        </is>
      </c>
      <c r="E43" s="59" t="inlineStr">
        <is>
          <t>Abandoning the diverse-slate policy — a concrete practice, not just vocabulary.</t>
        </is>
      </c>
      <c r="F43" s="59" t="inlineStr">
        <is>
          <t>Declining</t>
        </is>
      </c>
      <c r="G43" s="58" t="inlineStr">
        <is>
          <t>Med</t>
        </is>
      </c>
    </row>
    <row r="44" ht="15" customHeight="1" s="42">
      <c r="A44" s="66">
        <f>Company_Master!A43</f>
        <v/>
      </c>
      <c r="B44" s="52" t="inlineStr">
        <is>
          <t>A swift, comprehensive de-DEI-ing of public commitments by a bank whose shareholders showed no appetite for it.</t>
        </is>
      </c>
      <c r="C44" s="52" t="inlineStr">
        <is>
          <t>Funded LGBTQ+ network; inclusive benefits; CEI 100 record; shareholders rejected an anti-DEI proposal in 2025.</t>
        </is>
      </c>
      <c r="D44" s="52" t="inlineStr">
        <is>
          <t>Feb 2025: erased diversity goals set in 2022, ended diverse-slate requirements, abandoned its requirement that IPO clients have diverse boards, and removed 'Racial Equity'/'When Women Lead' pages from its website following Trump's DEI executive order (Fortune).</t>
        </is>
      </c>
      <c r="E44" s="52" t="inlineStr">
        <is>
          <t>The breadth of the February 2025 erasure — targets, slates, the IPO rule and the web pages all at once.</t>
        </is>
      </c>
      <c r="F44" s="52" t="inlineStr">
        <is>
          <t>Sharp Reversal</t>
        </is>
      </c>
      <c r="G44" s="51" t="inlineStr">
        <is>
          <t>High</t>
        </is>
      </c>
    </row>
    <row r="45" ht="15" customHeight="1" s="42">
      <c r="A45" s="65">
        <f>Company_Master!A44</f>
        <v/>
      </c>
      <c r="B45" s="59" t="inlineStr">
        <is>
          <t>A partial retreat: governance-level DEI commitments removed while employee-facing programs continue.</t>
        </is>
      </c>
      <c r="C45" s="59" t="inlineStr">
        <is>
          <t>Funded PRIDE employee network; inclusive benefits; CEI 100 record; prior $3B DEI spending commitment through 2025.</t>
        </is>
      </c>
      <c r="D45" s="59" t="inlineStr">
        <is>
          <t>2025: removed DEI criteria from its board selection process following investor pressure (Simply Wall St/proxy materials); pared public diversity language in filings.</t>
        </is>
      </c>
      <c r="E45" s="59" t="inlineStr">
        <is>
          <t>Walking back board-level commitments — the layer that signals institutional permanence.</t>
        </is>
      </c>
      <c r="F45" s="59" t="inlineStr">
        <is>
          <t>Declining</t>
        </is>
      </c>
      <c r="G45" s="58" t="inlineStr">
        <is>
          <t>Med</t>
        </is>
      </c>
    </row>
    <row r="46" ht="15" customHeight="1" s="42">
      <c r="A46" s="66">
        <f>Company_Master!A45</f>
        <v/>
      </c>
      <c r="B46" s="52" t="inlineStr">
        <is>
          <t>A low-noise holder: no retreat documented, modest visible investment.</t>
        </is>
      </c>
      <c r="C46" s="52" t="inlineStr">
        <is>
          <t>Shareholders rejected an anti-DEI proposal in 2025 (Uprise RI/CNN reporting on proxy season); funded LGBTQ+ ERG; CEI 100 record; Pride sponsorship history in its hometown Bay Area.</t>
        </is>
      </c>
      <c r="D46" s="52" t="inlineStr">
        <is>
          <t>Limited public Pride visibility in 2025-26; no confirmed CEI 2026 participation.</t>
        </is>
      </c>
      <c r="E46" s="52" t="inlineStr">
        <is>
          <t>Continuity without retreat in a sector that broadly retreated.</t>
        </is>
      </c>
      <c r="F46" s="52" t="inlineStr">
        <is>
          <t>Stable</t>
        </is>
      </c>
      <c r="G46" s="51" t="inlineStr">
        <is>
          <t>Med</t>
        </is>
      </c>
    </row>
    <row r="47" ht="15" customHeight="1" s="42">
      <c r="A47" s="65">
        <f>Company_Master!A46</f>
        <v/>
      </c>
      <c r="B47" s="59" t="inlineStr">
        <is>
          <t>Genuine product-level innovation for the community, undercut by a visible sponsorship retreat at the worst moment.</t>
        </is>
      </c>
      <c r="C47" s="59" t="inlineStr">
        <is>
          <t>True Name initiative (2019) letting trans and nonbinary customers use their chosen name on cards — concrete, year-round product inclusion; years of NYC Pride Platinum sponsorship; 2026: increased Pride spending and ~100 employees/executives marching (Bloomberg).</t>
        </is>
      </c>
      <c r="D47" s="59" t="inlineStr">
        <is>
          <t>2025: withdrew its NYC Pride Platinum-level ($175K) sponsorship after several years, while still participating in the march (Advocate, NYT).</t>
        </is>
      </c>
      <c r="E47" s="59" t="inlineStr">
        <is>
          <t>The 2025 Platinum withdrawal — quiet de-funding while keeping the photo op; partially reversed by renewed 2026 spending.</t>
        </is>
      </c>
      <c r="F47" s="59" t="inlineStr">
        <is>
          <t>Improving</t>
        </is>
      </c>
      <c r="G47" s="58" t="inlineStr">
        <is>
          <t>High</t>
        </is>
      </c>
    </row>
    <row r="48" ht="15" customHeight="1" s="42">
      <c r="A48" s="66">
        <f>Company_Master!A47</f>
        <v/>
      </c>
      <c r="B48" s="52" t="inlineStr">
        <is>
          <t>A low-engagement firm with little to credit and little to penalize.</t>
        </is>
      </c>
      <c r="C48" s="52" t="inlineStr">
        <is>
          <t>Standard inclusive employment policies; occasional internal inclusion programming.</t>
        </is>
      </c>
      <c r="D48" s="52" t="inlineStr">
        <is>
          <t>No meaningful Pride sponsorships, donations, or advocacy documented; reduced DEI visibility in 2025 consistent with sector trend but without a documented formal rollback.</t>
        </is>
      </c>
      <c r="E48" s="52" t="inlineStr">
        <is>
          <t>Thin record on both sides keeps Schwab near baseline.</t>
        </is>
      </c>
      <c r="F48" s="52" t="inlineStr">
        <is>
          <t>Stable</t>
        </is>
      </c>
      <c r="G48" s="51" t="inlineStr">
        <is>
          <t>Low</t>
        </is>
      </c>
    </row>
    <row r="49" ht="15" customHeight="1" s="42">
      <c r="A49" s="65">
        <f>Company_Master!A48</f>
        <v/>
      </c>
      <c r="B49" s="59" t="inlineStr">
        <is>
          <t>A double retreat — internal goals dropped in February, public Pride support pared by June.</t>
        </is>
      </c>
      <c r="C49" s="59" t="inlineStr">
        <is>
          <t>Funded Pride ERG; inclusive benefits; long CEI 100 record; years of NYC Pride sponsorship.</t>
        </is>
      </c>
      <c r="D49" s="59" t="inlineStr">
        <is>
          <t>Feb 2025: dropped aspirational representation goals, board-diversity requirements, and renamed its DEI unit 'Talent Management and Engagement' (CNBC). May-June 2025: scaled back NYC Pride sponsorship, with its spokesperson citing 'treading carefully from an economic perspective' (NYT via Advocate).</t>
        </is>
      </c>
      <c r="E49" s="59" t="inlineStr">
        <is>
          <t>Pairing the internal dismantling with the visible Pride pullback in the same year.</t>
        </is>
      </c>
      <c r="F49" s="59" t="inlineStr">
        <is>
          <t>Sharp Reversal</t>
        </is>
      </c>
      <c r="G49" s="58" t="inlineStr">
        <is>
          <t>High</t>
        </is>
      </c>
    </row>
    <row r="50" ht="15" customHeight="1" s="42">
      <c r="A50" s="66">
        <f>Company_Master!A49</f>
        <v/>
      </c>
      <c r="B50" s="52" t="inlineStr">
        <is>
          <t>The most conflicted record in media: substantial ongoing programs shadowed by repeated capitulations when politics got expensive.</t>
        </is>
      </c>
      <c r="C50" s="52" t="inlineStr">
        <is>
          <t>Annual Disney Pride Collection merchandise; Disneyland Pride Nite events; funded LGBTQ+ ERGs; comprehensive inclusive benefits; decades of CEI 100 scores.</t>
        </is>
      </c>
      <c r="D50" s="52" t="inlineStr">
        <is>
          <t>Feb 2025: ended Reimagine Tomorrow, removed DEI from executive compensation, rebranded ERG framing (Axios); pulled a transgender storyline from Pixar's 'Win or Lose' (Dec 2024); 2022: initial silence on Florida's Don't Say Gay bill, with records showing donations to the bill's sponsors before reversing under employee pressure; FCC opened a DEI investigation in Mar 2025 anyway.</t>
        </is>
      </c>
      <c r="E50" s="52" t="inlineStr">
        <is>
          <t>The pattern: each retreat (2022 silence, 2024 content cut, 2025 DEI rollback) came under political pressure, revealing commitments that bend at exactly the wrong moments.</t>
        </is>
      </c>
      <c r="F50" s="52" t="inlineStr">
        <is>
          <t>Declining</t>
        </is>
      </c>
      <c r="G50" s="51" t="inlineStr">
        <is>
          <t>High</t>
        </is>
      </c>
    </row>
    <row r="51" ht="15" customHeight="1" s="42">
      <c r="A51" s="65">
        <f>Company_Master!A50</f>
        <v/>
      </c>
      <c r="B51" s="59" t="inlineStr">
        <is>
          <t>A content-led ally whose programming does more for visibility than most sponsorships — minus the Chappelle precedent.</t>
        </is>
      </c>
      <c r="C51" s="59" t="inlineStr">
        <is>
          <t>Sustained slate of LGBTQ+ programming and queer-creator partnerships; funded inclusive policies and benefits; CEI 100 record; no DEI retreat documented through 2025-26.</t>
        </is>
      </c>
      <c r="D51" s="59" t="inlineStr">
        <is>
          <t>2021: leadership defended Dave Chappelle's 'The Closer' over GLAAD criticism and a trans employee walkout, and the walkout organizer was fired — a precedent of choosing star talent over trans staff.</t>
        </is>
      </c>
      <c r="E51" s="59" t="inlineStr">
        <is>
          <t>Programming consistency through the backlash era, with no post-2025 retreat.</t>
        </is>
      </c>
      <c r="F51" s="59" t="inlineStr">
        <is>
          <t>Stable</t>
        </is>
      </c>
      <c r="G51" s="58" t="inlineStr">
        <is>
          <t>Med</t>
        </is>
      </c>
    </row>
    <row r="52" ht="15" customHeight="1" s="42">
      <c r="A52" s="66">
        <f>Company_Master!A51</f>
        <v/>
      </c>
      <c r="B52" s="52" t="inlineStr">
        <is>
          <t>Content-forward, corporately quiet: the programming carries the record.</t>
        </is>
      </c>
      <c r="C52" s="52" t="inlineStr">
        <is>
          <t>HBO/Max queer programming legacy incl. 'We're Here' and inclusive prestige series; CEI-verified inclusive policies; Pride content collections on Max.</t>
        </is>
      </c>
      <c r="D52" s="52" t="inlineStr">
        <is>
          <t>Low corporate Pride engagement; DEI visibility declined in 2025 industry-wide without a documented formal WBD rollback.</t>
        </is>
      </c>
      <c r="E52" s="52" t="inlineStr">
        <is>
          <t>Programming continuity in lieu of corporate visibility.</t>
        </is>
      </c>
      <c r="F52" s="52" t="inlineStr">
        <is>
          <t>Stable</t>
        </is>
      </c>
      <c r="G52" s="51" t="inlineStr">
        <is>
          <t>Low</t>
        </is>
      </c>
    </row>
    <row r="53" ht="15" customHeight="1" s="42">
      <c r="A53" s="65">
        <f>Company_Master!A52</f>
        <v/>
      </c>
      <c r="B53" s="59" t="inlineStr">
        <is>
          <t>An editorially committed subsidiary under a retreating parent.</t>
        </is>
      </c>
      <c r="C53" s="59" t="inlineStr">
        <is>
          <t>NBC Out dedicated LGBTQ+ news desk; funded OUT@NBCUniversal ERG; inclusive benefits via Comcast NBCU policies; queer-inclusive programming (Bravo et al.).</t>
        </is>
      </c>
      <c r="D53" s="59" t="inlineStr">
        <is>
          <t>Parent Comcast withdrew SF Pride sponsorship in 2025 and was targeted by the FCC's February 2025 DEI investigation; NBCU's own DEI page visibility was reduced.</t>
        </is>
      </c>
      <c r="E53" s="59" t="inlineStr">
        <is>
          <t>Editorial commitment (NBC Out) holding while the corporate environment tightens.</t>
        </is>
      </c>
      <c r="F53" s="59" t="inlineStr">
        <is>
          <t>Stable</t>
        </is>
      </c>
      <c r="G53" s="58" t="inlineStr">
        <is>
          <t>Med</t>
        </is>
      </c>
    </row>
    <row r="54" ht="15" customHeight="1" s="42">
      <c r="A54" s="66">
        <f>Company_Master!A53</f>
        <v/>
      </c>
      <c r="B54" s="52" t="inlineStr">
        <is>
          <t>A queer-legacy media house that traded its DEI commitments for merger clearance.</t>
        </is>
      </c>
      <c r="C54" s="52" t="inlineStr">
        <is>
          <t>Decades of LGBTQ+ programming legacy (MTV, Logo TV); funded ERGs; CEI 100 record; inclusive benefits.</t>
        </is>
      </c>
      <c r="D54" s="52" t="inlineStr">
        <is>
          <t>Feb 2025: eliminated aspirational numerical hiring goals and stopped collecting applicant race/sex data beyond legal requirements, explicitly citing Trump's executive orders — announced by openly gay co-CEOs George Cheeks and Chris McCarthy while the FCC threatened to block the Skydance deal over DEI (LGBTQ Nation, TheDesk).</t>
        </is>
      </c>
      <c r="E54" s="52" t="inlineStr">
        <is>
          <t>Capitulating during merger review — regulatory leverage converted decades of inclusion identity into a bargaining chip.</t>
        </is>
      </c>
      <c r="F54" s="52" t="inlineStr">
        <is>
          <t>Sharp Reversal</t>
        </is>
      </c>
      <c r="G54" s="51" t="inlineStr">
        <is>
          <t>High</t>
        </is>
      </c>
    </row>
    <row r="55" ht="15" customHeight="1" s="42">
      <c r="A55" s="65">
        <f>Company_Master!A54</f>
        <v/>
      </c>
      <c r="B55" s="59" t="inlineStr">
        <is>
          <t>Rainbow playlists with a Rogan-sized asterisk.</t>
        </is>
      </c>
      <c r="C55" s="59" t="inlineStr">
        <is>
          <t>Annual Pride hubs, playlists and queer-artist editorial campaigns; GLAAD-recognized content features.</t>
        </is>
      </c>
      <c r="D55" s="59" t="inlineStr">
        <is>
          <t>Continues to bankroll and platform programming criticized by GLAAD for anti-trans content (Joe Rogan deal); LGBTQ+ engagement is largely confined to June marketing — branding without proportional structural commitment.</t>
        </is>
      </c>
      <c r="E55" s="59" t="inlineStr">
        <is>
          <t>The mismatch between Pride-month marketing and year-round platform choices.</t>
        </is>
      </c>
      <c r="F55" s="59" t="inlineStr">
        <is>
          <t>Stable</t>
        </is>
      </c>
      <c r="G55" s="58" t="inlineStr">
        <is>
          <t>Med</t>
        </is>
      </c>
    </row>
    <row r="56" ht="15" customHeight="1" s="42">
      <c r="A56" s="66">
        <f>Company_Master!A55</f>
        <v/>
      </c>
      <c r="B56" s="52" t="inlineStr">
        <is>
          <t>Commercially adjacent to Pride through live events, without deep documented policy commitments.</t>
        </is>
      </c>
      <c r="C56" s="52" t="inlineStr">
        <is>
          <t>Pride-season concert programming and event sponsorships; promotion of LGBTQ+ artists' tours.</t>
        </is>
      </c>
      <c r="D56" s="52" t="inlineStr">
        <is>
          <t>Minimal corporate policy disclosure; no CEI participation; engagement tracks revenue opportunity.</t>
        </is>
      </c>
      <c r="E56" s="52" t="inlineStr">
        <is>
          <t>Event-driven support without structural depth.</t>
        </is>
      </c>
      <c r="F56" s="52" t="inlineStr">
        <is>
          <t>Stable</t>
        </is>
      </c>
      <c r="G56" s="51" t="inlineStr">
        <is>
          <t>Low</t>
        </is>
      </c>
    </row>
    <row r="57" ht="15" customHeight="1" s="42">
      <c r="A57" s="65">
        <f>Company_Master!A56</f>
        <v/>
      </c>
      <c r="B57" s="59" t="inlineStr">
        <is>
          <t>A filings-level retreat atop a moderate inclusion record.</t>
        </is>
      </c>
      <c r="C57" s="59" t="inlineStr">
        <is>
          <t>Funded GM PLUS LGBTQ+ ERG; CEI 100 record; inclusive benefits; periodic Pride engagement (Motor City Pride participation).</t>
        </is>
      </c>
      <c r="D57" s="59" t="inlineStr">
        <is>
          <t>Removed DEI language from its annual report in early 2025 amid the federal-contractor climate, joining the documented industry pattern of scrubbing diversity from filings.</t>
        </is>
      </c>
      <c r="E57" s="59" t="inlineStr">
        <is>
          <t>Quiet linguistic retreat without programmatic noise — a hedge that still signals to Washington.</t>
        </is>
      </c>
      <c r="F57" s="59" t="inlineStr">
        <is>
          <t>Declining</t>
        </is>
      </c>
      <c r="G57" s="58" t="inlineStr">
        <is>
          <t>Med</t>
        </is>
      </c>
    </row>
    <row r="58" ht="15" customHeight="1" s="42">
      <c r="A58" s="66">
        <f>Company_Master!A57</f>
        <v/>
      </c>
      <c r="B58" s="52" t="inlineStr">
        <is>
          <t>An early capitulator: two decades of CEI leadership abandoned by memo in August 2024.</t>
        </is>
      </c>
      <c r="C58" s="52" t="inlineStr">
        <is>
          <t>Ford GLOBE, among the earliest auto-industry LGBTQ+ ERGs; 20+ years of CEI 100 scores; Motor City Pride sponsorship history; inclusive benefits.</t>
        </is>
      </c>
      <c r="D58" s="52" t="inlineStr">
        <is>
          <t>Aug 2024: CEO memo ended CEI participation and external culture-survey engagement after the Robby Starbuck pressure campaign; HRC docked Ford 25 points as one of seven companies penalized for abandoning inclusion commitments (HRC press release).</t>
        </is>
      </c>
      <c r="E58" s="52" t="inlineStr">
        <is>
          <t>Quitting the CEI after 20+ years — a deliberate, public exit from accountability, made before any government pressure existed.</t>
        </is>
      </c>
      <c r="F58" s="52" t="inlineStr">
        <is>
          <t>Sharp Reversal</t>
        </is>
      </c>
      <c r="G58" s="51" t="inlineStr">
        <is>
          <t>High</t>
        </is>
      </c>
    </row>
    <row r="59" ht="15" customHeight="1" s="42">
      <c r="A59" s="65">
        <f>Company_Master!A58</f>
        <v/>
      </c>
      <c r="B59" s="59" t="inlineStr">
        <is>
          <t>Hostile-adjacent by leadership: no support record, an early DEI scrub, and a CEO whose anti-trans rhetoric shapes brand perception.</t>
        </is>
      </c>
      <c r="C59" s="59" t="inlineStr">
        <is>
          <t>None documented — no Pride engagement, donations or CEI participation.</t>
        </is>
      </c>
      <c r="D59" s="59" t="inlineStr">
        <is>
          <t>Scrubbed all DEI mentions from its 10-K (first major to do so, 2024); CEO Elon Musk has repeatedly amplified anti-trans rhetoric, declared 'cisgender' a slur on X, and funded political efforts that ran anti-trans advertising; only one diversity report ever published (2020).</t>
        </is>
      </c>
      <c r="E59" s="59" t="inlineStr">
        <is>
          <t>Leadership tone plus the early filings scrub: Tesla didn't follow the retreat — it led it.</t>
        </is>
      </c>
      <c r="F59" s="59" t="inlineStr">
        <is>
          <t>Declining</t>
        </is>
      </c>
      <c r="G59" s="58" t="inlineStr">
        <is>
          <t>High</t>
        </is>
      </c>
    </row>
    <row r="60" ht="15" customHeight="1" s="42">
      <c r="A60" s="66">
        <f>Company_Master!A59</f>
        <v/>
      </c>
      <c r="B60" s="52" t="inlineStr">
        <is>
          <t>A pre-inauguration reversal: Toyota cut its LGBTQ+ event sponsorships and CEI participation the moment the pressure campaign turned its way.</t>
        </is>
      </c>
      <c r="C60" s="52" t="inlineStr">
        <is>
          <t>Years of CEI 100 scores; Pride event sponsorships in multiple US markets; funded LGBTQ+ ERG (Spectrum); inclusive benefits.</t>
        </is>
      </c>
      <c r="D60" s="52" t="inlineStr">
        <is>
          <t>Oct 2024 memo: ended sponsorship of LGBTQ+ community events including Pride, withdrew from HRC CEI participation, and refocused ERGs — a direct response to the Robby Starbuck campaign (widely reported; company confirmed).</t>
        </is>
      </c>
      <c r="E60" s="52" t="inlineStr">
        <is>
          <t>Explicitly naming LGBTQ+ event sponsorships as the thing being cut — rare candor about whom the retreat targets.</t>
        </is>
      </c>
      <c r="F60" s="52" t="inlineStr">
        <is>
          <t>Sharp Reversal</t>
        </is>
      </c>
      <c r="G60" s="51" t="inlineStr">
        <is>
          <t>High</t>
        </is>
      </c>
    </row>
    <row r="61" ht="15" customHeight="1" s="42">
      <c r="A61" s="65">
        <f>Company_Master!A60</f>
        <v/>
      </c>
      <c r="B61" s="59" t="inlineStr">
        <is>
          <t>A low-visibility holder — no retreat documented, modest engagement.</t>
        </is>
      </c>
      <c r="C61" s="59" t="inlineStr">
        <is>
          <t>CEI 100 record; funded LGBTQ+ ERG; inclusive benefits; occasional Pride engagement.</t>
        </is>
      </c>
      <c r="D61" s="59" t="inlineStr">
        <is>
          <t>Minimal public Pride investment; no major sponsorships or donations documented.</t>
        </is>
      </c>
      <c r="E61" s="59" t="inlineStr">
        <is>
          <t>Stability without spectacle; absent from every rollback list.</t>
        </is>
      </c>
      <c r="F61" s="59" t="inlineStr">
        <is>
          <t>Stable</t>
        </is>
      </c>
      <c r="G61" s="58" t="inlineStr">
        <is>
          <t>Med</t>
        </is>
      </c>
    </row>
    <row r="62" ht="15" customHeight="1" s="42">
      <c r="A62" s="66">
        <f>Company_Master!A61</f>
        <v/>
      </c>
      <c r="B62" s="52" t="inlineStr">
        <is>
          <t>Thin engagement either way across its US brands.</t>
        </is>
      </c>
      <c r="C62" s="52" t="inlineStr">
        <is>
          <t>CEI-rated inclusive policies; occasional brand-level Pride gestures (Jeep).</t>
        </is>
      </c>
      <c r="D62" s="52" t="inlineStr">
        <is>
          <t>No significant sponsorships, donations, or advocacy documented; DEI visibility reduced in 2025 industry-wide without a documented formal rollback.</t>
        </is>
      </c>
      <c r="E62" s="52" t="inlineStr">
        <is>
          <t>Sparse evidence keeps the score near baseline.</t>
        </is>
      </c>
      <c r="F62" s="52" t="inlineStr">
        <is>
          <t>Stable</t>
        </is>
      </c>
      <c r="G62" s="51" t="inlineStr">
        <is>
          <t>Low</t>
        </is>
      </c>
    </row>
    <row r="63" ht="15" customHeight="1" s="42">
      <c r="A63" s="65">
        <f>Company_Master!A62</f>
        <v/>
      </c>
      <c r="B63" s="59" t="inlineStr">
        <is>
          <t>Held its inclusion infrastructure without seeking Pride-season attention.</t>
        </is>
      </c>
      <c r="C63" s="59" t="inlineStr">
        <is>
          <t>CEI 100 record; comprehensive inclusive benefits incl. gender-affirming care coverage; PRIDE+ colleague resource group; no documented retreat through 2025-26.</t>
        </is>
      </c>
      <c r="D63" s="59" t="inlineStr">
        <is>
          <t>Modest public Pride engagement; no major sponsorships or donations documented.</t>
        </is>
      </c>
      <c r="E63" s="59" t="inlineStr">
        <is>
          <t>Continuity through the backlash without retreat.</t>
        </is>
      </c>
      <c r="F63" s="59" t="inlineStr">
        <is>
          <t>Stable</t>
        </is>
      </c>
      <c r="G63" s="58" t="inlineStr">
        <is>
          <t>Med</t>
        </is>
      </c>
    </row>
    <row r="64" ht="15" customHeight="1" s="42">
      <c r="A64" s="66">
        <f>Company_Master!A63</f>
        <v/>
      </c>
      <c r="B64" s="52" t="inlineStr">
        <is>
          <t>Quiet and distracted: inclusion policies persist while the business itself retrenches.</t>
        </is>
      </c>
      <c r="C64" s="52" t="inlineStr">
        <is>
          <t>CEI 100 record; inclusive benefits; Pride engagement in prior years.</t>
        </is>
      </c>
      <c r="D64" s="52" t="inlineStr">
        <is>
          <t>Minimal current engagement of any kind; no confirmed CEI 2026 participation.</t>
        </is>
      </c>
      <c r="E64" s="52" t="inlineStr">
        <is>
          <t>No retreat documented — but visibility has faded with the company's broader struggles.</t>
        </is>
      </c>
      <c r="F64" s="52" t="inlineStr">
        <is>
          <t>Stable</t>
        </is>
      </c>
      <c r="G64" s="51" t="inlineStr">
        <is>
          <t>Low</t>
        </is>
      </c>
    </row>
    <row r="65" ht="15" customHeight="1" s="42">
      <c r="A65" s="65">
        <f>Company_Master!A64</f>
        <v/>
      </c>
      <c r="B65" s="59" t="inlineStr">
        <is>
          <t>A steady pharma holder with mild linguistic hedging.</t>
        </is>
      </c>
      <c r="C65" s="59" t="inlineStr">
        <is>
          <t>Open&amp;Out LGBTQ+ ERG; CEI 100 record; comprehensive inclusive benefits; continued inclusion reporting.</t>
        </is>
      </c>
      <c r="D65" s="59" t="inlineStr">
        <is>
          <t>Trimmed some DEI phrasing in 2025 corporate filings consistent with sector practice — language, not programs.</t>
        </is>
      </c>
      <c r="E65" s="59" t="inlineStr">
        <is>
          <t>Program continuity despite quieter packaging.</t>
        </is>
      </c>
      <c r="F65" s="59" t="inlineStr">
        <is>
          <t>Stable</t>
        </is>
      </c>
      <c r="G65" s="58" t="inlineStr">
        <is>
          <t>Med</t>
        </is>
      </c>
    </row>
    <row r="66" ht="15" customHeight="1" s="42">
      <c r="A66" s="66">
        <f>Company_Master!A65</f>
        <v/>
      </c>
      <c r="B66" s="52" t="inlineStr">
        <is>
          <t>Held under fire: a named target of the anti-DEI movement that did not capitulate on LGBTQ+ programs.</t>
        </is>
      </c>
      <c r="C66" s="52" t="inlineStr">
        <is>
          <t>Funded OPEN (Out Pfizer Employee Network) ERG; CEI 100 record; inclusive benefits; named target of anti-DEI pressure groups (Fortune) without documented retreat.</t>
        </is>
      </c>
      <c r="D66" s="52" t="inlineStr">
        <is>
          <t>Reduced DEI prominence in public materials in 2025; engagement is mostly internal rather than community-facing.</t>
        </is>
      </c>
      <c r="E66" s="52" t="inlineStr">
        <is>
          <t>Maintaining programs while being explicitly targeted.</t>
        </is>
      </c>
      <c r="F66" s="52" t="inlineStr">
        <is>
          <t>Stable</t>
        </is>
      </c>
      <c r="G66" s="51" t="inlineStr">
        <is>
          <t>Med</t>
        </is>
      </c>
    </row>
    <row r="67" ht="15" customHeight="1" s="42">
      <c r="A67" s="65">
        <f>Company_Master!A66</f>
        <v/>
      </c>
      <c r="B67" s="59" t="inlineStr">
        <is>
          <t>A website-level erasure: UnitedHealth removed its public DEI presence while keeping plan-level policies.</t>
        </is>
      </c>
      <c r="C67" s="59" t="inlineStr">
        <is>
          <t>CEI 100 record; inclusive employee benefits; prior public DEI commitments and reporting.</t>
        </is>
      </c>
      <c r="D67" s="59" t="inlineStr">
        <is>
          <t>March 2025: removed DEI mentions across its website — several dedicated pages no longer load and a 2022 DEI blog post was deleted (TechCrunch); changes tucked into annual-report risk language (Modern Healthcare).</t>
        </is>
      </c>
      <c r="E67" s="59" t="inlineStr">
        <is>
          <t>The quiet deletion of its public commitments — erasure without announcement.</t>
        </is>
      </c>
      <c r="F67" s="59" t="inlineStr">
        <is>
          <t>Declining</t>
        </is>
      </c>
      <c r="G67" s="58" t="inlineStr">
        <is>
          <t>High</t>
        </is>
      </c>
    </row>
    <row r="68" ht="15" customHeight="1" s="42">
      <c r="A68" s="66">
        <f>Company_Master!A67</f>
        <v/>
      </c>
      <c r="B68" s="52" t="inlineStr">
        <is>
          <t>Quietly rewrote its DEI posture in filings while maintaining clinical inclusion resources.</t>
        </is>
      </c>
      <c r="C68" s="52" t="inlineStr">
        <is>
          <t>CEI 100 record; inclusive benefits; publicly maintained transgender health information and gender-affirmation clinical resources on cigna.com.</t>
        </is>
      </c>
      <c r="D68" s="52" t="inlineStr">
        <is>
          <t>2025 annual report quietly revised DEI strategy language and reframed diversity as a risk topic, part of the insurer pattern documented by Modern Healthcare.</t>
        </is>
      </c>
      <c r="E68" s="52" t="inlineStr">
        <is>
          <t>The filings-level walk-back of previously explicit commitments.</t>
        </is>
      </c>
      <c r="F68" s="52" t="inlineStr">
        <is>
          <t>Declining</t>
        </is>
      </c>
      <c r="G68" s="51" t="inlineStr">
        <is>
          <t>Med</t>
        </is>
      </c>
    </row>
    <row r="69" ht="15" customHeight="1" s="42">
      <c r="A69" s="65">
        <f>Company_Master!A68</f>
        <v/>
      </c>
      <c r="B69" s="59" t="inlineStr">
        <is>
          <t>A filings-level retreat consistent with its sector.</t>
        </is>
      </c>
      <c r="C69" s="59" t="inlineStr">
        <is>
          <t>CEI 100 record; inclusive benefits; prior Pride engagement and ERG support.</t>
        </is>
      </c>
      <c r="D69" s="59" t="inlineStr">
        <is>
          <t>2025 annual report quietly revised DEI strategy and risk language (Modern Healthcare insurer analysis); public DEI visibility reduced.</t>
        </is>
      </c>
      <c r="E69" s="59" t="inlineStr">
        <is>
          <t>Following the insurer pack into quiet retreat.</t>
        </is>
      </c>
      <c r="F69" s="59" t="inlineStr">
        <is>
          <t>Declining</t>
        </is>
      </c>
      <c r="G69" s="58" t="inlineStr">
        <is>
          <t>Med</t>
        </is>
      </c>
    </row>
    <row r="70" ht="15" customHeight="1" s="42">
      <c r="A70" s="66">
        <f>Company_Master!A69</f>
        <v/>
      </c>
      <c r="B70" s="52" t="inlineStr">
        <is>
          <t>Decades of documented resistance, never offset by affirmative support.</t>
        </is>
      </c>
      <c r="C70" s="52" t="inlineStr">
        <is>
          <t>Current nondiscrimination policy covering sexual orientation and gender identity (adopted 2015 under federal contractor requirements); PRIDE employee group now permitted.</t>
        </is>
      </c>
      <c r="D70" s="52" t="inlineStr">
        <is>
          <t>Rescinded Mobil's domestic-partner benefits upon the 1999 merger — the only major company to take away such benefits; shareholders rejected LGBTQ+ protections 17+ consecutive years; received the only negative score (-25) in CEI history; 2022: banned 'external position flags' incl. the Pride flag at its campuses, prompting employee protests and ERG resignations (Bloomberg).</t>
        </is>
      </c>
      <c r="E70" s="52" t="inlineStr">
        <is>
          <t>A through-line of resistance: even its 2015 policy adoption was externally compelled, and the 2022 flag ban reaffirmed the posture.</t>
        </is>
      </c>
      <c r="F70" s="52" t="inlineStr">
        <is>
          <t>Stable</t>
        </is>
      </c>
      <c r="G70" s="51" t="inlineStr">
        <is>
          <t>High</t>
        </is>
      </c>
    </row>
    <row r="71" ht="15" customHeight="1" s="42">
      <c r="A71" s="65">
        <f>Company_Master!A70</f>
        <v/>
      </c>
      <c r="B71" s="59" t="inlineStr">
        <is>
          <t>The rare oil major with a real, sustained internal inclusion record.</t>
        </is>
      </c>
      <c r="C71" s="59" t="inlineStr">
        <is>
          <t>CEI 100 record stretching back two decades; funded PRIDE Chevron ERG; early adopter of domestic-partner benefits among energy majors; inclusive benefits maintained.</t>
        </is>
      </c>
      <c r="D71" s="59" t="inlineStr">
        <is>
          <t>Engagement is almost entirely internal; minimal public Pride or community presence, and operations span jurisdictions hostile to LGBTQ+ people without corresponding advocacy.</t>
        </is>
      </c>
      <c r="E71" s="59" t="inlineStr">
        <is>
          <t>Internal consistency over decades in a sector that mostly never tried.</t>
        </is>
      </c>
      <c r="F71" s="59" t="inlineStr">
        <is>
          <t>Stable</t>
        </is>
      </c>
      <c r="G71" s="58" t="inlineStr">
        <is>
          <t>Med</t>
        </is>
      </c>
    </row>
    <row r="72" ht="15" customHeight="1" s="42">
      <c r="A72" s="66">
        <f>Company_Master!A71</f>
        <v/>
      </c>
      <c r="B72" s="52" t="inlineStr">
        <is>
          <t>A utility outside the Pride economy entirely.</t>
        </is>
      </c>
      <c r="C72" s="52" t="inlineStr">
        <is>
          <t>None documented beyond standard employment policy.</t>
        </is>
      </c>
      <c r="D72" s="52" t="inlineStr">
        <is>
          <t>None documented.</t>
        </is>
      </c>
      <c r="E72" s="52" t="inlineStr">
        <is>
          <t>Absence of engagement; baseline score.</t>
        </is>
      </c>
      <c r="F72" s="52" t="inlineStr">
        <is>
          <t>Stable</t>
        </is>
      </c>
      <c r="G72" s="51" t="inlineStr">
        <is>
          <t>Low</t>
        </is>
      </c>
    </row>
    <row r="73" ht="15" customHeight="1" s="42">
      <c r="A73" s="65">
        <f>Company_Master!A72</f>
        <v/>
      </c>
      <c r="B73" s="59" t="inlineStr">
        <is>
          <t>A Southeast utility with no documented engagement either way.</t>
        </is>
      </c>
      <c r="C73" s="59" t="inlineStr">
        <is>
          <t>None documented beyond standard employment policy.</t>
        </is>
      </c>
      <c r="D73" s="59" t="inlineStr">
        <is>
          <t>None documented.</t>
        </is>
      </c>
      <c r="E73" s="59" t="inlineStr">
        <is>
          <t>Absence of engagement; baseline score.</t>
        </is>
      </c>
      <c r="F73" s="59" t="inlineStr">
        <is>
          <t>Stable</t>
        </is>
      </c>
      <c r="G73" s="58" t="inlineStr">
        <is>
          <t>Low</t>
        </is>
      </c>
    </row>
    <row r="74" ht="15" customHeight="1" s="42">
      <c r="A74" s="66">
        <f>Company_Master!A73</f>
        <v/>
      </c>
      <c r="B74" s="52" t="inlineStr">
        <is>
          <t>A structural and commercial ally that treated the backlash as a non-event.</t>
        </is>
      </c>
      <c r="C74" s="52" t="inlineStr">
        <is>
          <t>#LoveTravels LGBTQ+ travel platform running since 2014; decades of CEI 100 scores; funded LGBTQ+ ERG; comprehensive inclusive benefits; leadership publicly reaffirmed inclusion commitments during 2025 (CEO Capuano: inclusion 'core to who we are'); WorldPride 2025 hospitality partner footprint.</t>
        </is>
      </c>
      <c r="D74" s="52" t="inlineStr">
        <is>
          <t>Operates properties in jurisdictions hostile to LGBTQ+ people without comparable advocacy there — the standard global-hotelier asterisk.</t>
        </is>
      </c>
      <c r="E74" s="52" t="inlineStr">
        <is>
          <t>Public reaffirmation in 2025 while peers went quiet, anchored by an 11-year-old dedicated platform.</t>
        </is>
      </c>
      <c r="F74" s="52" t="inlineStr">
        <is>
          <t>Stable</t>
        </is>
      </c>
      <c r="G74" s="51" t="inlineStr">
        <is>
          <t>High</t>
        </is>
      </c>
    </row>
    <row r="75" ht="15" customHeight="1" s="42">
      <c r="A75" s="65">
        <f>Company_Master!A74</f>
        <v/>
      </c>
      <c r="B75" s="59" t="inlineStr">
        <is>
          <t>A holder that kept sponsoring when sponsorship became scarce.</t>
        </is>
      </c>
      <c r="C75" s="59" t="inlineStr">
        <is>
          <t>Supporter of WorldPride 2025 in Washington DC (HR Dive); 'Go Out' LGBTQ+ travel marketing heritage; CEI 100 record; funded ERG.</t>
        </is>
      </c>
      <c r="D75" s="59" t="inlineStr">
        <is>
          <t>Global property footprint includes anti-LGBTQ+ jurisdictions; engagement is lighter than Marriott's flagship platform.</t>
        </is>
      </c>
      <c r="E75" s="59" t="inlineStr">
        <is>
          <t>Visible 2025 sponsorship amid the corporate exodus.</t>
        </is>
      </c>
      <c r="F75" s="59" t="inlineStr">
        <is>
          <t>Stable</t>
        </is>
      </c>
      <c r="G75" s="58" t="inlineStr">
        <is>
          <t>High</t>
        </is>
      </c>
    </row>
    <row r="76" ht="15" customHeight="1" s="42">
      <c r="A76" s="66">
        <f>Company_Master!A75</f>
        <v/>
      </c>
      <c r="B76" s="52" t="inlineStr">
        <is>
          <t>The most visible large-employer holder in American travel: explicit reaffirmation plus continued physical presence at Pride.</t>
        </is>
      </c>
      <c r="C76" s="52" t="inlineStr">
        <is>
          <t>Publicly affirmed it would stick with DEI in Jan 2025 reporting on companies holding firm (NBC); employee contingents at Pride events incl. NYC, Amsterdam and Brighton (Delta News Hub 2025-26); funded EQUAL LGBTQ+ ERG; decades of CEI 100 scores; comprehensive benefits; deep LGBTQ+ workforce culture.</t>
        </is>
      </c>
      <c r="D76" s="52" t="inlineStr">
        <is>
          <t>Faced criticism in past years over specific incidents (e.g., HIV-positive crew policies, since resolved); global route network includes hostile jurisdictions.</t>
        </is>
      </c>
      <c r="E76" s="52" t="inlineStr">
        <is>
          <t>Explicitly reaffirming DEI in January 2025 when peers were issuing retreat memos.</t>
        </is>
      </c>
      <c r="F76" s="52" t="inlineStr">
        <is>
          <t>Stable</t>
        </is>
      </c>
      <c r="G76" s="51" t="inlineStr">
        <is>
          <t>High</t>
        </is>
      </c>
    </row>
    <row r="77" ht="15" customHeight="1" s="42">
      <c r="A77" s="65">
        <f>Company_Master!A76</f>
        <v/>
      </c>
      <c r="B77" s="59" t="inlineStr">
        <is>
          <t>A holder with one of aviation's oldest LGBTQ+ ERGs and a board willing to say no.</t>
        </is>
      </c>
      <c r="C77" s="59" t="inlineStr">
        <is>
          <t>Board recommended against an anti-DEI shareholder proposal in 2025 proxy season (Uprise RI); PRIDE ERG dating to 1994; CEI 100 record; LGBTQ+ sales &amp; marketing heritage (first airline with a dedicated LGBT sales team).</t>
        </is>
      </c>
      <c r="D77" s="59" t="inlineStr">
        <is>
          <t>Lower public Pride visibility than peers in 2025-26; no confirmed CEI 2026 participation.</t>
        </is>
      </c>
      <c r="E77" s="59" t="inlineStr">
        <is>
          <t>Institutional continuity — the ERG and board posture held.</t>
        </is>
      </c>
      <c r="F77" s="59" t="inlineStr">
        <is>
          <t>Stable</t>
        </is>
      </c>
      <c r="G77" s="58" t="inlineStr">
        <is>
          <t>Med</t>
        </is>
      </c>
    </row>
    <row r="78" ht="15" customHeight="1" s="42">
      <c r="A78" s="66">
        <f>Company_Master!A77</f>
        <v/>
      </c>
      <c r="B78" s="52" t="inlineStr">
        <is>
          <t>A steady flyer: kept sponsoring and kept its programs.</t>
        </is>
      </c>
      <c r="C78" s="52" t="inlineStr">
        <is>
          <t>WorldPride 2025 supporter (HR Dive); funded EQUAL/Pride ERG; CEI 100 record; inclusive benefits; trans-inclusive customer policies.</t>
        </is>
      </c>
      <c r="D78" s="52" t="inlineStr">
        <is>
          <t>Less vocal at leadership level than Delta; global network includes hostile jurisdictions.</t>
        </is>
      </c>
      <c r="E78" s="52" t="inlineStr">
        <is>
          <t>2025 sponsorship continuity during the exodus.</t>
        </is>
      </c>
      <c r="F78" s="52" t="inlineStr">
        <is>
          <t>Stable</t>
        </is>
      </c>
      <c r="G78" s="51" t="inlineStr">
        <is>
          <t>High</t>
        </is>
      </c>
    </row>
    <row r="79" ht="15" customHeight="1" s="42">
      <c r="A79" s="65">
        <f>Company_Master!A78</f>
        <v/>
      </c>
      <c r="B79" s="59" t="inlineStr">
        <is>
          <t>Built nondiscrimination into the product itself — rarer and more durable than sponsorship.</t>
        </is>
      </c>
      <c r="C79" s="59" t="inlineStr">
        <is>
          <t>Community Commitment requires every user to agree to nondiscrimination incl. sexual orientation and gender identity; LGBTQ+ travel-safety features for hosts/guests in hostile regions; 'Until We All Belong' marriage-equality campaign (Australia 2017); CEI 100 record; no documented retreat.</t>
        </is>
      </c>
      <c r="D79" s="59" t="inlineStr">
        <is>
          <t>Periodic disputes over listings/policies in hostile jurisdictions; corporate Pride visibility modest in 2025-26.</t>
        </is>
      </c>
      <c r="E79" s="59" t="inlineStr">
        <is>
          <t>Structural product-level commitments that operate year-round, worldwide.</t>
        </is>
      </c>
      <c r="F79" s="59" t="inlineStr">
        <is>
          <t>Stable</t>
        </is>
      </c>
      <c r="G79" s="58" t="inlineStr">
        <is>
          <t>Med</t>
        </is>
      </c>
    </row>
    <row r="80" ht="15" customHeight="1" s="42">
      <c r="A80" s="66">
        <f>Company_Master!A79</f>
        <v/>
      </c>
      <c r="B80" s="52" t="inlineStr">
        <is>
          <t>A quiet inheritor of LGBTQ+ travel-marketing history.</t>
        </is>
      </c>
      <c r="C80" s="52" t="inlineStr">
        <is>
          <t>Orbitz (Expedia brand) pioneered dedicated LGBT travel marketing in the 2000s; CEI-rated inclusive policies; periodic Pride campaigns.</t>
        </is>
      </c>
      <c r="D80" s="52" t="inlineStr">
        <is>
          <t>Low current engagement; no major sponsorships or donations documented recently.</t>
        </is>
      </c>
      <c r="E80" s="52" t="inlineStr">
        <is>
          <t>Legacy and policies without much present-day investment.</t>
        </is>
      </c>
      <c r="F80" s="52" t="inlineStr">
        <is>
          <t>Stable</t>
        </is>
      </c>
      <c r="G80" s="51" t="inlineStr">
        <is>
          <t>Low</t>
        </is>
      </c>
    </row>
    <row r="81" ht="15" customHeight="1" s="42">
      <c r="A81" s="65">
        <f>Company_Master!A80</f>
        <v/>
      </c>
      <c r="B81" s="59" t="inlineStr">
        <is>
          <t>The consumer-goods holder: P&amp;G restated its inclusion commitments on the record during the retreat wave.</t>
        </is>
      </c>
      <c r="C81" s="59" t="inlineStr">
        <is>
          <t>Public 2024-25 reaffirmations of inclusion ('This cannot change'); CEI 100 in 2025 (HRC company page); multi-year GLAAD partnership researching LGBTQ+ inclusion in advertising; queer-inclusive campaigns across Pantene, Gillette (first trans shaving ad) and other brands; inclusive benefits.</t>
        </is>
      </c>
      <c r="D81" s="59" t="inlineStr">
        <is>
          <t>Brand campaigns have drawn boycott pressure and occasional quiet trims in ad placements; global footprint includes hostile markets.</t>
        </is>
      </c>
      <c r="E81" s="59" t="inlineStr">
        <is>
          <t>Saying 'this cannot change' in writing during 2025 — explicit reaffirmation when silence was free.</t>
        </is>
      </c>
      <c r="F81" s="59" t="inlineStr">
        <is>
          <t>Stable</t>
        </is>
      </c>
      <c r="G81" s="58" t="inlineStr">
        <is>
          <t>High</t>
        </is>
      </c>
    </row>
    <row r="82" ht="15" customHeight="1" s="42">
      <c r="A82" s="66">
        <f>Company_Master!A81</f>
        <v/>
      </c>
      <c r="B82" s="52" t="inlineStr">
        <is>
          <t>Strong brand-level allyship under a parent increasingly nervous about activism generally.</t>
        </is>
      </c>
      <c r="C82" s="52" t="inlineStr">
        <is>
          <t>Ben &amp; Jerry's decades of LGBTQ+ activism (marriage-equality campaigns since the 1980s-2000s); Dove inclusive campaigns; CEI 100 record; AdAge-documented year-round LGBTQ+ marketing efforts; inclusive benefits.</t>
        </is>
      </c>
      <c r="D82" s="52" t="inlineStr">
        <is>
          <t>2025 public fight with Ben &amp; Jerry's independent board over restricting its social-mission activism raises questions about how much brand-level advocacy the parent will tolerate going forward.</t>
        </is>
      </c>
      <c r="E82" s="52" t="inlineStr">
        <is>
          <t>Brand portfolio still carries the commitment; the parent's appetite is the open question.</t>
        </is>
      </c>
      <c r="F82" s="52" t="inlineStr">
        <is>
          <t>Stable</t>
        </is>
      </c>
      <c r="G82" s="51" t="inlineStr">
        <is>
          <t>Med</t>
        </is>
      </c>
    </row>
    <row r="83" ht="15" customHeight="1" s="42">
      <c r="A83" s="65">
        <f>Company_Master!A82</f>
        <v/>
      </c>
      <c r="B83" s="59" t="inlineStr">
        <is>
          <t>A food company with a real, if episodic, Pride record and no reversal.</t>
        </is>
      </c>
      <c r="C83" s="59" t="inlineStr">
        <is>
          <t>'Together With Pride' cereal with GLAAD donation mechanism (2021); CEI 100 record; inclusive benefits; continued inclusion programming post-split.</t>
        </is>
      </c>
      <c r="D83" s="59" t="inlineStr">
        <is>
          <t>Engagement is intermittent and marketing-led; limited civic or financial commitments since 2021.</t>
        </is>
      </c>
      <c r="E83" s="59" t="inlineStr">
        <is>
          <t>No retreat plus an actual product-level donation history.</t>
        </is>
      </c>
      <c r="F83" s="59" t="inlineStr">
        <is>
          <t>Stable</t>
        </is>
      </c>
      <c r="G83" s="58" t="inlineStr">
        <is>
          <t>Med</t>
        </is>
      </c>
    </row>
    <row r="84" ht="15" customHeight="1" s="42">
      <c r="A84" s="66">
        <f>Company_Master!A83</f>
        <v/>
      </c>
      <c r="B84" s="52" t="inlineStr">
        <is>
          <t>A Minneapolis holder that didn't follow its hometown neighbor into retreat.</t>
        </is>
      </c>
      <c r="C84" s="52" t="inlineStr">
        <is>
          <t>Long CEI 100 record; inclusive brand campaigns (Lucky Charms 'Magical Pride', Cheerios family ads); funded Betweeners/PRIDE network; inclusive benefits; no rollback documented through 2025-26.</t>
        </is>
      </c>
      <c r="D84" s="52" t="inlineStr">
        <is>
          <t>Lower public Pride spending recently; engagement mostly brand- and workplace-level.</t>
        </is>
      </c>
      <c r="E84" s="52" t="inlineStr">
        <is>
          <t>Continuity while Minneapolis-St. Paul corporate peers retreated.</t>
        </is>
      </c>
      <c r="F84" s="52" t="inlineStr">
        <is>
          <t>Stable</t>
        </is>
      </c>
      <c r="G84" s="51" t="inlineStr">
        <is>
          <t>Med</t>
        </is>
      </c>
    </row>
    <row r="85" ht="15" customHeight="1" s="42">
      <c r="A85" s="65">
        <f>Company_Master!A84</f>
        <v/>
      </c>
      <c r="B85" s="59" t="inlineStr">
        <is>
          <t>A low-profile holder.</t>
        </is>
      </c>
      <c r="C85" s="59" t="inlineStr">
        <is>
          <t>CEI 100 record; inclusive partner and gender-affirming benefits; internal inclusion programming maintained.</t>
        </is>
      </c>
      <c r="D85" s="59" t="inlineStr">
        <is>
          <t>Minimal public-facing Pride engagement of any kind.</t>
        </is>
      </c>
      <c r="E85" s="59" t="inlineStr">
        <is>
          <t>Steady policies, low volume.</t>
        </is>
      </c>
      <c r="F85" s="59" t="inlineStr">
        <is>
          <t>Stable</t>
        </is>
      </c>
      <c r="G85" s="58" t="inlineStr">
        <is>
          <t>Med</t>
        </is>
      </c>
    </row>
    <row r="86" ht="15" customHeight="1" s="42">
      <c r="A86" s="66">
        <f>Company_Master!A85</f>
        <v/>
      </c>
      <c r="B86" s="52" t="inlineStr">
        <is>
          <t>The defense sector's first public mover in dismantling DEI under the 2025 executive order.</t>
        </is>
      </c>
      <c r="C86" s="52" t="inlineStr">
        <is>
          <t>Years of CEI 100 scores; funded PRIDE/LGBTQ+ ERG; prior Pride event participation and inclusive benefits.</t>
        </is>
      </c>
      <c r="D86" s="52" t="inlineStr">
        <is>
          <t>Jan 2025: publicly announced it would abide by Trump's 'Ending Illegal Discrimination' EO while peers stayed mum (Defense Daily); removed DEI webpages as documented across the sector (Breaking Defense).</t>
        </is>
      </c>
      <c r="E86" s="52" t="inlineStr">
        <is>
          <t>Volunteering compliance first — speed and publicity of the reversal signal priorities.</t>
        </is>
      </c>
      <c r="F86" s="52" t="inlineStr">
        <is>
          <t>Sharp Reversal</t>
        </is>
      </c>
      <c r="G86" s="51" t="inlineStr">
        <is>
          <t>High</t>
        </is>
      </c>
    </row>
    <row r="87" ht="15" customHeight="1" s="42">
      <c r="A87" s="65">
        <f>Company_Master!A86</f>
        <v/>
      </c>
      <c r="B87" s="59" t="inlineStr">
        <is>
          <t>A silent eraser: no announcement, just deleted pages.</t>
        </is>
      </c>
      <c r="C87" s="59" t="inlineStr">
        <is>
          <t>Previous CEI 100 standing; funded LGBTQ+ ERG; inclusive benefits.</t>
        </is>
      </c>
      <c r="D87" s="59" t="inlineStr">
        <is>
          <t>Early 2025: DEI webpages removed and redirecting to dead links as documented by Breaking Defense's sector analysis; no public explanation given.</t>
        </is>
      </c>
      <c r="E87" s="59" t="inlineStr">
        <is>
          <t>The wordless deletion — accountability avoided in both directions.</t>
        </is>
      </c>
      <c r="F87" s="59" t="inlineStr">
        <is>
          <t>Sharp Reversal</t>
        </is>
      </c>
      <c r="G87" s="58" t="inlineStr">
        <is>
          <t>Med</t>
        </is>
      </c>
    </row>
    <row r="88" ht="15" customHeight="1" s="42">
      <c r="A88" s="66">
        <f>Company_Master!A87</f>
        <v/>
      </c>
      <c r="B88" s="52" t="inlineStr">
        <is>
          <t>A pre-inauguration dismantler: Boeing didn't wait to be pushed.</t>
        </is>
      </c>
      <c r="C88" s="52" t="inlineStr">
        <is>
          <t>Previous CEI 100 standing; funded LGBTQ+ ERG (Boeing Pride); inclusive benefits; prior Pride engagement.</t>
        </is>
      </c>
      <c r="D88" s="52" t="inlineStr">
        <is>
          <t>Nov 2024: dissolved its global DEI department, folding staff into HR under CEO Kelly Ortberg amid Starbuck-amplified pressure (widely reported; TechTarget rollback tracking); 2025: DEI web presence reduced in the documented defense-sector scrub.</t>
        </is>
      </c>
      <c r="E88" s="52" t="inlineStr">
        <is>
          <t>Eliminating the department itself months before any executive order required anything.</t>
        </is>
      </c>
      <c r="F88" s="52" t="inlineStr">
        <is>
          <t>Sharp Reversal</t>
        </is>
      </c>
      <c r="G88" s="51" t="inlineStr">
        <is>
          <t>High</t>
        </is>
      </c>
    </row>
    <row r="89" ht="15" customHeight="1" s="42">
      <c r="A89" s="65">
        <f>Company_Master!A88</f>
        <v/>
      </c>
      <c r="B89" s="59" t="inlineStr">
        <is>
          <t>Ideologically opposed but behaviorally inert: nothing to log on either side of the ledger.</t>
        </is>
      </c>
      <c r="C89" s="59" t="inlineStr">
        <is>
          <t>None documented — no Pride engagement, donations, ERG visibility, or CEI participation at any point.</t>
        </is>
      </c>
      <c r="D89" s="59" t="inlineStr">
        <is>
          <t>No scoreable anti-LGBTQ+ corporate actions documented either; CEO Alex Karp publicly positions the company as 'the first company to be completely anti-woke' (Nov 2025 earnings call, Fortune/Fox Business), and leadership rhetoric is openly hostile to inclusion frameworks.</t>
        </is>
      </c>
      <c r="E89" s="59" t="inlineStr">
        <is>
          <t>The taxonomy scores actions; Palantir's hostility has so far been rhetorical, leaving it at baseline with a strong caveat.</t>
        </is>
      </c>
      <c r="F89" s="59" t="inlineStr">
        <is>
          <t>Stable</t>
        </is>
      </c>
      <c r="G89" s="58" t="inlineStr">
        <is>
          <t>High</t>
        </is>
      </c>
    </row>
    <row r="90" ht="15" customHeight="1" s="42">
      <c r="A90" s="65">
        <f>Company_Master!A90</f>
        <v/>
      </c>
      <c r="B90" s="59" t="inlineStr">
        <is>
          <t>A steady, low-volume tech holder.</t>
        </is>
      </c>
      <c r="C90" s="59" t="inlineStr">
        <is>
          <t>Long CEI 100 record; inclusive partner and gender-affirming benefits; annual Pride engagement; no documented retreat through 2025-26.</t>
        </is>
      </c>
      <c r="D90" s="59" t="inlineStr">
        <is>
          <t>Modest public Pride investment; engagement mostly workplace-level.</t>
        </is>
      </c>
      <c r="E90" s="59" t="inlineStr">
        <is>
          <t>Continuity without retreat.</t>
        </is>
      </c>
      <c r="F90" s="59" t="inlineStr">
        <is>
          <t>Stable</t>
        </is>
      </c>
      <c r="G90" s="58" t="inlineStr">
        <is>
          <t>Med</t>
        </is>
      </c>
    </row>
    <row r="91" ht="15" customHeight="1" s="42">
      <c r="A91" s="65">
        <f>Company_Master!A91</f>
        <v/>
      </c>
      <c r="B91" s="59" t="inlineStr">
        <is>
          <t>A partial trimmer: filings softened, programs largely intact.</t>
        </is>
      </c>
      <c r="C91" s="59" t="inlineStr">
        <is>
          <t>Long CEI 100 record; funded LGBTQ+ ERG (IGLOBE); inclusive benefits; website still states diversity and inclusion drive the company (TechCrunch survey).</t>
        </is>
      </c>
      <c r="D91" s="59" t="inlineStr">
        <is>
          <t>Cut back DEI language and removed some diversity targets in its 2025 10-K (TechCrunch/Portland Business Journal).</t>
        </is>
      </c>
      <c r="E91" s="59" t="inlineStr">
        <is>
          <t>Filing-level retreat while public commitments formally remain.</t>
        </is>
      </c>
      <c r="F91" s="59" t="inlineStr">
        <is>
          <t>Declining</t>
        </is>
      </c>
      <c r="G91" s="58" t="inlineStr">
        <is>
          <t>Med</t>
        </is>
      </c>
    </row>
    <row r="92" ht="15" customHeight="1" s="42">
      <c r="A92" s="65">
        <f>Company_Master!A92</f>
        <v/>
      </c>
      <c r="B92" s="59" t="inlineStr">
        <is>
          <t>A vocal holder at CEO level when silence was the norm.</t>
        </is>
      </c>
      <c r="C92" s="59" t="inlineStr">
        <is>
          <t>CEO Chuck Robbins publicly defended Cisco's DEI commitments after the Jan 2025 executive orders, citing business value (Fortune); long CEI 100 streak; inclusive partner and gender-affirming benefits; sustained Pride engagement.</t>
        </is>
      </c>
      <c r="D92" s="59" t="inlineStr">
        <is>
          <t>Engagement is largely workplace-level rather than community sponsorship.</t>
        </is>
      </c>
      <c r="E92" s="59" t="inlineStr">
        <is>
          <t>CEO-level public defense in early 2025.</t>
        </is>
      </c>
      <c r="F92" s="59" t="inlineStr">
        <is>
          <t>Stable</t>
        </is>
      </c>
      <c r="G92" s="58" t="inlineStr">
        <is>
          <t>High</t>
        </is>
      </c>
    </row>
    <row r="93" ht="15" customHeight="1" s="42">
      <c r="A93" s="65">
        <f>Company_Master!A93</f>
        <v/>
      </c>
      <c r="B93" s="59" t="inlineStr">
        <is>
          <t>A holder by inertia and conviction alike — nothing was scrubbed.</t>
        </is>
      </c>
      <c r="C93" s="59" t="inlineStr">
        <is>
          <t>Maintained its 'diversity, inclusion and belonging' page and sustainability-report DEI section through 2025 (TechCrunch survey); inclusive benefits; CEI-rated.</t>
        </is>
      </c>
      <c r="D93" s="59" t="inlineStr">
        <is>
          <t>Minimal Pride-specific or community-facing engagement.</t>
        </is>
      </c>
      <c r="E93" s="59" t="inlineStr">
        <is>
          <t>Kept everything public while peers deleted pages.</t>
        </is>
      </c>
      <c r="F93" s="59" t="inlineStr">
        <is>
          <t>Stable</t>
        </is>
      </c>
      <c r="G93" s="58" t="inlineStr">
        <is>
          <t>Med</t>
        </is>
      </c>
    </row>
    <row r="94" ht="15" customHeight="1" s="42">
      <c r="A94" s="65">
        <f>Company_Master!A94</f>
        <v/>
      </c>
      <c r="B94" s="59" t="inlineStr">
        <is>
          <t>A quiet workplace-level supporter.</t>
        </is>
      </c>
      <c r="C94" s="59" t="inlineStr">
        <is>
          <t>Funded eQuality LGBTQ+ ERG; CEI 100 history; San Diego Pride participation in prior years.</t>
        </is>
      </c>
      <c r="D94" s="59" t="inlineStr">
        <is>
          <t>Low current visibility; no confirmed CEI 2026 participation.</t>
        </is>
      </c>
      <c r="E94" s="59" t="inlineStr">
        <is>
          <t>No retreat documented; thin public record.</t>
        </is>
      </c>
      <c r="F94" s="59" t="inlineStr">
        <is>
          <t>Stable</t>
        </is>
      </c>
      <c r="G94" s="58" t="inlineStr">
        <is>
          <t>Low</t>
        </is>
      </c>
    </row>
    <row r="95" ht="15" customHeight="1" s="42">
      <c r="A95" s="65">
        <f>Company_Master!A95</f>
        <v/>
      </c>
      <c r="B95" s="59" t="inlineStr">
        <is>
          <t>Policy-solid, publicly silent.</t>
        </is>
      </c>
      <c r="C95" s="59" t="inlineStr">
        <is>
          <t>CEI 100 history; inclusive workplace policies and benefits.</t>
        </is>
      </c>
      <c r="D95" s="59" t="inlineStr">
        <is>
          <t>Essentially no public-facing LGBTQ+ engagement.</t>
        </is>
      </c>
      <c r="E95" s="59" t="inlineStr">
        <is>
          <t>Thin public record either way.</t>
        </is>
      </c>
      <c r="F95" s="59" t="inlineStr">
        <is>
          <t>Stable</t>
        </is>
      </c>
      <c r="G95" s="58" t="inlineStr">
        <is>
          <t>Low</t>
        </is>
      </c>
    </row>
    <row r="96" ht="15" customHeight="1" s="42">
      <c r="A96" s="65">
        <f>Company_Master!A96</f>
        <v/>
      </c>
      <c r="B96" s="59" t="inlineStr">
        <is>
          <t>The company that actually walked away from money over an anti-trans law.</t>
        </is>
      </c>
      <c r="C96" s="59" t="inlineStr">
        <is>
          <t>2016: canceled a planned 400-employee Charlotte operations center over North Carolina's HB2 'bathroom bill,' with then-CEO Dan Schulman framing it as a values decision — among the most concrete corporate acts of trans allyship on record; funded Pride ERG; CEI 100 record.</t>
        </is>
      </c>
      <c r="D96" s="59" t="inlineStr">
        <is>
          <t>Much lower visibility since 2023; no confirmed CEI 2026 participation.</t>
        </is>
      </c>
      <c r="E96" s="59" t="inlineStr">
        <is>
          <t>The HB2 withdrawal — costly, public, and trans-specific.</t>
        </is>
      </c>
      <c r="F96" s="59" t="inlineStr">
        <is>
          <t>Stable</t>
        </is>
      </c>
      <c r="G96" s="58" t="inlineStr">
        <is>
          <t>High</t>
        </is>
      </c>
    </row>
    <row r="97" ht="15" customHeight="1" s="42">
      <c r="A97" s="65">
        <f>Company_Master!A97</f>
        <v/>
      </c>
      <c r="B97" s="59" t="inlineStr">
        <is>
          <t>A non-participant.</t>
        </is>
      </c>
      <c r="C97" s="59" t="inlineStr">
        <is>
          <t>None documented beyond standard policy.</t>
        </is>
      </c>
      <c r="D97" s="59" t="inlineStr">
        <is>
          <t>None documented.</t>
        </is>
      </c>
      <c r="E97" s="59" t="inlineStr">
        <is>
          <t>Absence of engagement; baseline.</t>
        </is>
      </c>
      <c r="F97" s="59" t="inlineStr">
        <is>
          <t>Stable</t>
        </is>
      </c>
      <c r="G97" s="58" t="inlineStr">
        <is>
          <t>Low</t>
        </is>
      </c>
    </row>
    <row r="98" ht="15" customHeight="1" s="42">
      <c r="A98" s="65">
        <f>Company_Master!A98</f>
        <v/>
      </c>
      <c r="B98" s="59" t="inlineStr">
        <is>
          <t>A comprehensive paper retreat from a once-visible Pride brand.</t>
        </is>
      </c>
      <c r="C98" s="59" t="inlineStr">
        <is>
          <t>Years of Pride branding and SF Pride participation; funded Pride at Uber ERG; CEI 100 record; in-app Pride features historically.</t>
        </is>
      </c>
      <c r="D98" s="59" t="inlineStr">
        <is>
          <t>2025: removed DEI from executive compensation, dropped its pledge to consider diverse board candidates, and deleted the diversity section from its 10-K entirely (TechCrunch/SF Examiner).</t>
        </is>
      </c>
      <c r="E98" s="59" t="inlineStr">
        <is>
          <t>Stripping DEI from pay, board policy and filings in a single season.</t>
        </is>
      </c>
      <c r="F98" s="59" t="inlineStr">
        <is>
          <t>Sharp Reversal</t>
        </is>
      </c>
      <c r="G98" s="58" t="inlineStr">
        <is>
          <t>High</t>
        </is>
      </c>
    </row>
    <row r="99" ht="15" customHeight="1" s="42">
      <c r="A99" s="65">
        <f>Company_Master!A99</f>
        <v/>
      </c>
      <c r="B99" s="59" t="inlineStr">
        <is>
          <t>A quiet progressive that avoided both spotlight and retreat.</t>
        </is>
      </c>
      <c r="C99" s="59" t="inlineStr">
        <is>
          <t>Pride campaigns and community partnership history; funded LGBTQ+ ERG; CEI 100 record.</t>
        </is>
      </c>
      <c r="D99" s="59" t="inlineStr">
        <is>
          <t>Low engagement since 2023; financial constraints limit cause spending.</t>
        </is>
      </c>
      <c r="E99" s="59" t="inlineStr">
        <is>
          <t>No retreat documented.</t>
        </is>
      </c>
      <c r="F99" s="59" t="inlineStr">
        <is>
          <t>Stable</t>
        </is>
      </c>
      <c r="G99" s="58" t="inlineStr">
        <is>
          <t>Low</t>
        </is>
      </c>
    </row>
    <row r="100" ht="15" customHeight="1" s="42">
      <c r="A100" s="65">
        <f>Company_Master!A100</f>
        <v/>
      </c>
      <c r="B100" s="59" t="inlineStr">
        <is>
          <t>A steady, quiet holder.</t>
        </is>
      </c>
      <c r="C100" s="59" t="inlineStr">
        <is>
          <t>CEI 100 record; inclusive partner and gender-affirming benefits; United in Pride ERG; annual Pride engagement.</t>
        </is>
      </c>
      <c r="D100" s="59" t="inlineStr">
        <is>
          <t>Modest public investment.</t>
        </is>
      </c>
      <c r="E100" s="59" t="inlineStr">
        <is>
          <t>Continuity without retreat.</t>
        </is>
      </c>
      <c r="F100" s="59" t="inlineStr">
        <is>
          <t>Stable</t>
        </is>
      </c>
      <c r="G100" s="58" t="inlineStr">
        <is>
          <t>Med</t>
        </is>
      </c>
    </row>
    <row r="101" ht="15" customHeight="1" s="42">
      <c r="A101" s="65">
        <f>Company_Master!A101</f>
        <v/>
      </c>
      <c r="B101" s="59" t="inlineStr">
        <is>
          <t>A steady workplace-inclusion holder.</t>
        </is>
      </c>
      <c r="C101" s="59" t="inlineStr">
        <is>
          <t>CEI 100 record; Pride Network ERG; inclusive partner and gender-affirming benefits; continued inclusion reporting.</t>
        </is>
      </c>
      <c r="D101" s="59" t="inlineStr">
        <is>
          <t>Limited community-facing engagement.</t>
        </is>
      </c>
      <c r="E101" s="59" t="inlineStr">
        <is>
          <t>Continuity without retreat.</t>
        </is>
      </c>
      <c r="F101" s="59" t="inlineStr">
        <is>
          <t>Stable</t>
        </is>
      </c>
      <c r="G101" s="58" t="inlineStr">
        <is>
          <t>Med</t>
        </is>
      </c>
    </row>
    <row r="102" ht="15" customHeight="1" s="42">
      <c r="A102" s="65">
        <f>Company_Master!A102</f>
        <v/>
      </c>
      <c r="B102" s="59" t="inlineStr">
        <is>
          <t>Workplace-level support, low public volume.</t>
        </is>
      </c>
      <c r="C102" s="59" t="inlineStr">
        <is>
          <t>Funded Pride at Now ERG; CEI-rated inclusive policies; Pride Month engagement.</t>
        </is>
      </c>
      <c r="D102" s="59" t="inlineStr">
        <is>
          <t>Minimal external engagement.</t>
        </is>
      </c>
      <c r="E102" s="59" t="inlineStr">
        <is>
          <t>No retreat documented.</t>
        </is>
      </c>
      <c r="F102" s="59" t="inlineStr">
        <is>
          <t>Stable</t>
        </is>
      </c>
      <c r="G102" s="58" t="inlineStr">
        <is>
          <t>Low</t>
        </is>
      </c>
    </row>
    <row r="103" ht="15" customHeight="1" s="42">
      <c r="A103" s="65">
        <f>Company_Master!A103</f>
        <v/>
      </c>
      <c r="B103" s="59" t="inlineStr">
        <is>
          <t>Product-level Pride visibility with a thin corporate paper trail.</t>
        </is>
      </c>
      <c r="C103" s="59" t="inlineStr">
        <is>
          <t>Annual Pride AR lenses/filters reaching large young audiences; CEI-rated policies.</t>
        </is>
      </c>
      <c r="D103" s="59" t="inlineStr">
        <is>
          <t>Limited corporate disclosure; insufficient evidence to assess 2025-26 DEI posture in either direction.</t>
        </is>
      </c>
      <c r="E103" s="59" t="inlineStr">
        <is>
          <t>Visibility through product, uncertainty everywhere else.</t>
        </is>
      </c>
      <c r="F103" s="59" t="inlineStr">
        <is>
          <t>Stable</t>
        </is>
      </c>
      <c r="G103" s="58" t="inlineStr">
        <is>
          <t>Low</t>
        </is>
      </c>
    </row>
    <row r="104" ht="15" customHeight="1" s="42">
      <c r="A104" s="65">
        <f>Company_Master!A104</f>
        <v/>
      </c>
      <c r="B104" s="59" t="inlineStr">
        <is>
          <t>Put keeping DEI in writing when peers were deleting it.</t>
        </is>
      </c>
      <c r="C104" s="59" t="inlineStr">
        <is>
          <t>Listed attacks on DEI as a business risk in SEC filings rather than scrubbing diversity language (TechCrunch); named among companies quietly keeping DEI (Fortune); inclusive policies and Pride content programs.</t>
        </is>
      </c>
      <c r="D104" s="59" t="inlineStr">
        <is>
          <t>Modest external Pride investment.</t>
        </is>
      </c>
      <c r="E104" s="59" t="inlineStr">
        <is>
          <t>The filings posture — disclosure running opposite to the retreat.</t>
        </is>
      </c>
      <c r="F104" s="59" t="inlineStr">
        <is>
          <t>Stable</t>
        </is>
      </c>
      <c r="G104" s="58" t="inlineStr">
        <is>
          <t>Med</t>
        </is>
      </c>
    </row>
    <row r="105" ht="15" customHeight="1" s="42">
      <c r="A105" s="65">
        <f>Company_Master!A105</f>
        <v/>
      </c>
      <c r="B105" s="59" t="inlineStr">
        <is>
          <t>A grocery holder with modest visible engagement.</t>
        </is>
      </c>
      <c r="C105" s="59" t="inlineStr">
        <is>
          <t>CEI 100 history; Cincinnati Pride participation; funded LGBTQ+ associate resource group.</t>
        </is>
      </c>
      <c r="D105" s="59" t="inlineStr">
        <is>
          <t>Low current visibility; 2022 EEOC apron suit (settled) involved religious-accommodation friction rather than policy retreat.</t>
        </is>
      </c>
      <c r="E105" s="59" t="inlineStr">
        <is>
          <t>No retreat documented.</t>
        </is>
      </c>
      <c r="F105" s="59" t="inlineStr">
        <is>
          <t>Stable</t>
        </is>
      </c>
      <c r="G105" s="58" t="inlineStr">
        <is>
          <t>Low</t>
        </is>
      </c>
    </row>
    <row r="106" ht="15" customHeight="1" s="42">
      <c r="A106" s="65">
        <f>Company_Master!A106</f>
        <v/>
      </c>
      <c r="B106" s="59" t="inlineStr">
        <is>
          <t>Thin record in both directions.</t>
        </is>
      </c>
      <c r="C106" s="59" t="inlineStr">
        <is>
          <t>Occasional local Pride engagement; standard inclusive policies.</t>
        </is>
      </c>
      <c r="D106" s="59" t="inlineStr">
        <is>
          <t>No significant sponsorships, donations or advocacy documented.</t>
        </is>
      </c>
      <c r="E106" s="59" t="inlineStr">
        <is>
          <t>Near-baseline by absence.</t>
        </is>
      </c>
      <c r="F106" s="59" t="inlineStr">
        <is>
          <t>Stable</t>
        </is>
      </c>
      <c r="G106" s="58" t="inlineStr">
        <is>
          <t>Low</t>
        </is>
      </c>
    </row>
    <row r="107" ht="15" customHeight="1" s="42">
      <c r="A107" s="65">
        <f>Company_Master!A107</f>
        <v/>
      </c>
      <c r="B107" s="59" t="inlineStr">
        <is>
          <t>An off-price holder that said so on the record.</t>
        </is>
      </c>
      <c r="C107" s="59" t="inlineStr">
        <is>
          <t>Public statement reaffirming commitment to an inclusive and diverse workplace during the 2025 retreat wave (LiveNOW/Fox tracking); CEI 100 record; inclusive benefits.</t>
        </is>
      </c>
      <c r="D107" s="59" t="inlineStr">
        <is>
          <t>Minimal Pride marketing or community sponsorship — TJX does little brand marketing of any kind.</t>
        </is>
      </c>
      <c r="E107" s="59" t="inlineStr">
        <is>
          <t>The explicit reaffirmation amid the retreat.</t>
        </is>
      </c>
      <c r="F107" s="59" t="inlineStr">
        <is>
          <t>Stable</t>
        </is>
      </c>
      <c r="G107" s="58" t="inlineStr">
        <is>
          <t>Med</t>
        </is>
      </c>
    </row>
    <row r="108" ht="15" customHeight="1" s="42">
      <c r="A108" s="65">
        <f>Company_Master!A108</f>
        <v/>
      </c>
      <c r="B108" s="59" t="inlineStr">
        <is>
          <t>A department store that kept showing up.</t>
        </is>
      </c>
      <c r="C108" s="59" t="inlineStr">
        <is>
          <t>NYC Pride participation and Pride-themed storefronts/merchandise across years; CEI 100 record; Pride ERG.</t>
        </is>
      </c>
      <c r="D108" s="59" t="inlineStr">
        <is>
          <t>Financial pressures have trimmed all marketing; no LGBTQ+-specific retreat documented.</t>
        </is>
      </c>
      <c r="E108" s="59" t="inlineStr">
        <is>
          <t>Continuity of visible support.</t>
        </is>
      </c>
      <c r="F108" s="59" t="inlineStr">
        <is>
          <t>Stable</t>
        </is>
      </c>
      <c r="G108" s="58" t="inlineStr">
        <is>
          <t>Med</t>
        </is>
      </c>
    </row>
    <row r="109" ht="15" customHeight="1" s="42">
      <c r="A109" s="65">
        <f>Company_Master!A109</f>
        <v/>
      </c>
      <c r="B109" s="59" t="inlineStr">
        <is>
          <t>A retail holder with seasonal commercial support.</t>
        </is>
      </c>
      <c r="C109" s="59" t="inlineStr">
        <is>
          <t>Annual Pride merchandise assortments; CEI 100 record; inclusive policies.</t>
        </is>
      </c>
      <c r="D109" s="59" t="inlineStr">
        <is>
          <t>Modest depth beyond merchandising.</t>
        </is>
      </c>
      <c r="E109" s="59" t="inlineStr">
        <is>
          <t>No retreat documented.</t>
        </is>
      </c>
      <c r="F109" s="59" t="inlineStr">
        <is>
          <t>Stable</t>
        </is>
      </c>
      <c r="G109" s="58" t="inlineStr">
        <is>
          <t>Med</t>
        </is>
      </c>
    </row>
    <row r="110" ht="15" customHeight="1" s="42">
      <c r="A110" s="65">
        <f>Company_Master!A110</f>
        <v/>
      </c>
      <c r="B110" s="59" t="inlineStr">
        <is>
          <t>Held its Pride assortment under boycott pressure in 2023 — the opposite of Target's response.</t>
        </is>
      </c>
      <c r="C110" s="59" t="inlineStr">
        <is>
          <t>Kept selling its 2023 Pride collection including family/baby items despite a conservative boycott campaign; CEI 100 record; annual Pride merchandise.</t>
        </is>
      </c>
      <c r="D110" s="59" t="inlineStr">
        <is>
          <t>Low engagement otherwise; no civic or financial commitments documented.</t>
        </is>
      </c>
      <c r="E110" s="59" t="inlineStr">
        <is>
          <t>Not folding in 2023 when folding was the trend.</t>
        </is>
      </c>
      <c r="F110" s="59" t="inlineStr">
        <is>
          <t>Stable</t>
        </is>
      </c>
      <c r="G110" s="58" t="inlineStr">
        <is>
          <t>Med</t>
        </is>
      </c>
    </row>
    <row r="111" ht="15" customHeight="1" s="42">
      <c r="A111" s="65">
        <f>Company_Master!A111</f>
        <v/>
      </c>
      <c r="B111" s="59" t="inlineStr">
        <is>
          <t>A non-participant.</t>
        </is>
      </c>
      <c r="C111" s="59" t="inlineStr">
        <is>
          <t>None documented.</t>
        </is>
      </c>
      <c r="D111" s="59" t="inlineStr">
        <is>
          <t>None documented.</t>
        </is>
      </c>
      <c r="E111" s="59" t="inlineStr">
        <is>
          <t>Absence of engagement; baseline.</t>
        </is>
      </c>
      <c r="F111" s="59" t="inlineStr">
        <is>
          <t>Stable</t>
        </is>
      </c>
      <c r="G111" s="58" t="inlineStr">
        <is>
          <t>Low</t>
        </is>
      </c>
    </row>
    <row r="112" ht="15" customHeight="1" s="42">
      <c r="A112" s="65">
        <f>Company_Master!A112</f>
        <v/>
      </c>
      <c r="B112" s="59" t="inlineStr">
        <is>
          <t>A non-participant.</t>
        </is>
      </c>
      <c r="C112" s="59" t="inlineStr">
        <is>
          <t>None documented.</t>
        </is>
      </c>
      <c r="D112" s="59" t="inlineStr">
        <is>
          <t>None documented.</t>
        </is>
      </c>
      <c r="E112" s="59" t="inlineStr">
        <is>
          <t>Absence of engagement; baseline.</t>
        </is>
      </c>
      <c r="F112" s="59" t="inlineStr">
        <is>
          <t>Stable</t>
        </is>
      </c>
      <c r="G112" s="58" t="inlineStr">
        <is>
          <t>Low</t>
        </is>
      </c>
    </row>
    <row r="113" ht="15" customHeight="1" s="42">
      <c r="A113" s="65">
        <f>Company_Master!A113</f>
        <v/>
      </c>
      <c r="B113" s="59" t="inlineStr">
        <is>
          <t>One memorable queer-forward activation atop a quiet baseline.</t>
        </is>
      </c>
      <c r="C113" s="59" t="inlineStr">
        <is>
          <t>Taco Bell's 2022 Drag Brunch tour at restaurants nationwide — a high-visibility queer-talent collaboration; CEI-rated inclusive policies.</t>
        </is>
      </c>
      <c r="D113" s="59" t="inlineStr">
        <is>
          <t>Episodic engagement; little since 2023.</t>
        </is>
      </c>
      <c r="E113" s="59" t="inlineStr">
        <is>
          <t>Drag Brunch — real risk-taking for a mass-market brand.</t>
        </is>
      </c>
      <c r="F113" s="59" t="inlineStr">
        <is>
          <t>Stable</t>
        </is>
      </c>
      <c r="G113" s="58" t="inlineStr">
        <is>
          <t>Med</t>
        </is>
      </c>
    </row>
    <row r="114" ht="15" customHeight="1" s="42">
      <c r="A114" s="65">
        <f>Company_Master!A114</f>
        <v/>
      </c>
      <c r="B114" s="59" t="inlineStr">
        <is>
          <t>A non-participant.</t>
        </is>
      </c>
      <c r="C114" s="59" t="inlineStr">
        <is>
          <t>None documented.</t>
        </is>
      </c>
      <c r="D114" s="59" t="inlineStr">
        <is>
          <t>None documented.</t>
        </is>
      </c>
      <c r="E114" s="59" t="inlineStr">
        <is>
          <t>Absence of engagement; baseline.</t>
        </is>
      </c>
      <c r="F114" s="59" t="inlineStr">
        <is>
          <t>Stable</t>
        </is>
      </c>
      <c r="G114" s="58" t="inlineStr">
        <is>
          <t>Low</t>
        </is>
      </c>
    </row>
    <row r="115" ht="15" customHeight="1" s="42">
      <c r="A115" s="65">
        <f>Company_Master!A115</f>
        <v/>
      </c>
      <c r="B115" s="59" t="inlineStr">
        <is>
          <t>Minimal but unblemished.</t>
        </is>
      </c>
      <c r="C115" s="59" t="inlineStr">
        <is>
          <t>Occasional Pride posts and local engagement; CEI-rated inclusive policies.</t>
        </is>
      </c>
      <c r="D115" s="59" t="inlineStr">
        <is>
          <t>No significant sponsorships or donations documented.</t>
        </is>
      </c>
      <c r="E115" s="59" t="inlineStr">
        <is>
          <t>Thin record, no retreat.</t>
        </is>
      </c>
      <c r="F115" s="59" t="inlineStr">
        <is>
          <t>Stable</t>
        </is>
      </c>
      <c r="G115" s="58" t="inlineStr">
        <is>
          <t>Low</t>
        </is>
      </c>
    </row>
    <row r="116" ht="15" customHeight="1" s="42">
      <c r="A116" s="65">
        <f>Company_Master!A116</f>
        <v/>
      </c>
      <c r="B116" s="59" t="inlineStr">
        <is>
          <t>Thin record in both directions.</t>
        </is>
      </c>
      <c r="C116" s="59" t="inlineStr">
        <is>
          <t>Standard inclusive policies; occasional internal inclusion programming.</t>
        </is>
      </c>
      <c r="D116" s="59" t="inlineStr">
        <is>
          <t>No significant public engagement documented.</t>
        </is>
      </c>
      <c r="E116" s="59" t="inlineStr">
        <is>
          <t>Near-baseline by absence.</t>
        </is>
      </c>
      <c r="F116" s="59" t="inlineStr">
        <is>
          <t>Stable</t>
        </is>
      </c>
      <c r="G116" s="58" t="inlineStr">
        <is>
          <t>Low</t>
        </is>
      </c>
    </row>
    <row r="117" ht="15" customHeight="1" s="42">
      <c r="A117" s="65">
        <f>Company_Master!A117</f>
        <v/>
      </c>
      <c r="B117" s="59" t="inlineStr">
        <is>
          <t>Decades of courting LGBTQ+ consumers ended in a pressure-campaign retreat.</t>
        </is>
      </c>
      <c r="C117" s="59" t="inlineStr">
        <is>
          <t>Coors Light was among the earliest major LGBTQ+-targeted beer marketers (a legacy of repairing the 1970s-80s Coors boycott); Pride event sponsorships in multiple markets; funded LGBTQ+ ERG; prior CEI 100 scores.</t>
        </is>
      </c>
      <c r="D117" s="59" t="inlineStr">
        <is>
          <t>Sep 2024: ended DEI training, supplier diversity goals and HRC CEI participation after the Robby Starbuck campaign — HRC docked its score 25 points as one of seven companies penalized for abandoning commitments.</t>
        </is>
      </c>
      <c r="E117" s="59" t="inlineStr">
        <is>
          <t>Choosing retreat despite a customer base it spent decades winning back.</t>
        </is>
      </c>
      <c r="F117" s="59" t="inlineStr">
        <is>
          <t>Sharp Reversal</t>
        </is>
      </c>
      <c r="G117" s="58" t="inlineStr">
        <is>
          <t>High</t>
        </is>
      </c>
    </row>
    <row r="118" ht="15" customHeight="1" s="42">
      <c r="A118" s="65">
        <f>Company_Master!A118</f>
        <v/>
      </c>
      <c r="B118" s="59" t="inlineStr">
        <is>
          <t>Thin record in both directions.</t>
        </is>
      </c>
      <c r="C118" s="59" t="inlineStr">
        <is>
          <t>Occasional Pride engagement via beverage brands; standard inclusive policies.</t>
        </is>
      </c>
      <c r="D118" s="59" t="inlineStr">
        <is>
          <t>No significant documented commitments.</t>
        </is>
      </c>
      <c r="E118" s="59" t="inlineStr">
        <is>
          <t>Near-baseline by absence.</t>
        </is>
      </c>
      <c r="F118" s="59" t="inlineStr">
        <is>
          <t>Stable</t>
        </is>
      </c>
      <c r="G118" s="58" t="inlineStr">
        <is>
          <t>Low</t>
        </is>
      </c>
    </row>
    <row r="119" ht="15" customHeight="1" s="42">
      <c r="A119" s="65">
        <f>Company_Master!A119</f>
        <v/>
      </c>
      <c r="B119" s="59" t="inlineStr">
        <is>
          <t>The OREO campaigns made it a lightning rod — and it kept making them.</t>
        </is>
      </c>
      <c r="C119" s="59" t="inlineStr">
        <is>
          <t>OREO rainbow cookie post (2012) and 'Proud Parent' campaign with PFLAG incl. donation support (2020-21); allyship-themed packaging; CEI 100 record; withstood NLPC anti-DEI shareholder proposals (SEC PX14A6G filings).</t>
        </is>
      </c>
      <c r="D119" s="59" t="inlineStr">
        <is>
          <t>Campaigns are brand-led and episodic; quieter since 2023.</t>
        </is>
      </c>
      <c r="E119" s="59" t="inlineStr">
        <is>
          <t>Sustained willingness to put its biggest brand on the line.</t>
        </is>
      </c>
      <c r="F119" s="59" t="inlineStr">
        <is>
          <t>Stable</t>
        </is>
      </c>
      <c r="G119" s="58" t="inlineStr">
        <is>
          <t>Med</t>
        </is>
      </c>
    </row>
    <row r="120" ht="15" customHeight="1" s="42">
      <c r="A120" s="65">
        <f>Company_Master!A120</f>
        <v/>
      </c>
      <c r="B120" s="59" t="inlineStr">
        <is>
          <t>Thin record in both directions.</t>
        </is>
      </c>
      <c r="C120" s="59" t="inlineStr">
        <is>
          <t>Occasional brand-level Pride gestures; standard inclusive policies.</t>
        </is>
      </c>
      <c r="D120" s="59" t="inlineStr">
        <is>
          <t>No significant documented commitments.</t>
        </is>
      </c>
      <c r="E120" s="59" t="inlineStr">
        <is>
          <t>Near-baseline by absence.</t>
        </is>
      </c>
      <c r="F120" s="59" t="inlineStr">
        <is>
          <t>Stable</t>
        </is>
      </c>
      <c r="G120" s="58" t="inlineStr">
        <is>
          <t>Low</t>
        </is>
      </c>
    </row>
    <row r="121" ht="15" customHeight="1" s="42">
      <c r="A121" s="65">
        <f>Company_Master!A121</f>
        <v/>
      </c>
      <c r="B121" s="59" t="inlineStr">
        <is>
          <t>Passed a trans-visibility stress test most brands now avoid.</t>
        </is>
      </c>
      <c r="C121" s="59" t="inlineStr">
        <is>
          <t>Featured trans activist Fae Johnstone in its 2023 International Women's Day campaign (Hershey's Canada) and did not retract it under #BoycottHersheys pressure; CEI 100 record; inclusive benefits.</t>
        </is>
      </c>
      <c r="D121" s="59" t="inlineStr">
        <is>
          <t>Limited Pride-specific engagement otherwise.</t>
        </is>
      </c>
      <c r="E121" s="59" t="inlineStr">
        <is>
          <t>Not backing down in 2023.</t>
        </is>
      </c>
      <c r="F121" s="59" t="inlineStr">
        <is>
          <t>Stable</t>
        </is>
      </c>
      <c r="G121" s="58" t="inlineStr">
        <is>
          <t>Med</t>
        </is>
      </c>
    </row>
    <row r="122" ht="15" customHeight="1" s="42">
      <c r="A122" s="65">
        <f>Company_Master!A122</f>
        <v/>
      </c>
      <c r="B122" s="59" t="inlineStr">
        <is>
          <t>A quiet banking holder.</t>
        </is>
      </c>
      <c r="C122" s="59" t="inlineStr">
        <is>
          <t>CEI 100 record; funded Pride &amp; Allies employee network; inclusive benefits; no rollback documented while peer banks retreated.</t>
        </is>
      </c>
      <c r="D122" s="59" t="inlineStr">
        <is>
          <t>Low public Pride visibility.</t>
        </is>
      </c>
      <c r="E122" s="59" t="inlineStr">
        <is>
          <t>Continuity while Goldman, BofA and Wells Fargo cut back.</t>
        </is>
      </c>
      <c r="F122" s="59" t="inlineStr">
        <is>
          <t>Stable</t>
        </is>
      </c>
      <c r="G122" s="58" t="inlineStr">
        <is>
          <t>Med</t>
        </is>
      </c>
    </row>
    <row r="123" ht="15" customHeight="1" s="42">
      <c r="A123" s="65">
        <f>Company_Master!A123</f>
        <v/>
      </c>
      <c r="B123" s="59" t="inlineStr">
        <is>
          <t>The diversity enforcer that quietly retired its own standards.</t>
        </is>
      </c>
      <c r="C123" s="59" t="inlineStr">
        <is>
          <t>Funded LGBTQ+ network; CEI 100 record; previously used proxy power to push board diversity industry-wide.</t>
        </is>
      </c>
      <c r="D123" s="59" t="inlineStr">
        <is>
          <t>Early 2025: dropped workforce representation targets and stripped DEI references from its annual report and stewardship language, joining the asset-management retreat (industry DEI-rollback tracking).</t>
        </is>
      </c>
      <c r="E123" s="59" t="inlineStr">
        <is>
          <t>Abandoning the diversity standards it once enforced on others.</t>
        </is>
      </c>
      <c r="F123" s="59" t="inlineStr">
        <is>
          <t>Sharp Reversal</t>
        </is>
      </c>
      <c r="G123" s="58" t="inlineStr">
        <is>
          <t>Med</t>
        </is>
      </c>
    </row>
    <row r="124" ht="15" customHeight="1" s="42">
      <c r="A124" s="65">
        <f>Company_Master!A124</f>
        <v/>
      </c>
      <c r="B124" s="59" t="inlineStr">
        <is>
          <t>A quiet regional-champion bank.</t>
        </is>
      </c>
      <c r="C124" s="59" t="inlineStr">
        <is>
          <t>CEI 100 record; Twin Cities Pride sponsorship history; funded Proud to Be ERG.</t>
        </is>
      </c>
      <c r="D124" s="59" t="inlineStr">
        <is>
          <t>Low current visibility.</t>
        </is>
      </c>
      <c r="E124" s="59" t="inlineStr">
        <is>
          <t>No retreat documented.</t>
        </is>
      </c>
      <c r="F124" s="59" t="inlineStr">
        <is>
          <t>Stable</t>
        </is>
      </c>
      <c r="G124" s="58" t="inlineStr">
        <is>
          <t>Low</t>
        </is>
      </c>
    </row>
    <row r="125" ht="15" customHeight="1" s="42">
      <c r="A125" s="65">
        <f>Company_Master!A125</f>
        <v/>
      </c>
      <c r="B125" s="59" t="inlineStr">
        <is>
          <t>Thin but unblemished.</t>
        </is>
      </c>
      <c r="C125" s="59" t="inlineStr">
        <is>
          <t>CEI 100 history; standard inclusive policies and internal programming.</t>
        </is>
      </c>
      <c r="D125" s="59" t="inlineStr">
        <is>
          <t>Little public-facing engagement documented.</t>
        </is>
      </c>
      <c r="E125" s="59" t="inlineStr">
        <is>
          <t>Near-baseline with clean record.</t>
        </is>
      </c>
      <c r="F125" s="59" t="inlineStr">
        <is>
          <t>Stable</t>
        </is>
      </c>
      <c r="G125" s="58" t="inlineStr">
        <is>
          <t>Low</t>
        </is>
      </c>
    </row>
    <row r="126" ht="15" customHeight="1" s="42">
      <c r="A126" s="65">
        <f>Company_Master!A126</f>
        <v/>
      </c>
      <c r="B126" s="59" t="inlineStr">
        <is>
          <t>A quiet holder with real internal infrastructure.</t>
        </is>
      </c>
      <c r="C126" s="59" t="inlineStr">
        <is>
          <t>Funded Out Front LGBTQ+ ERG; CEI 100 record; DC-area Pride participation history.</t>
        </is>
      </c>
      <c r="D126" s="59" t="inlineStr">
        <is>
          <t>Modest external commitments.</t>
        </is>
      </c>
      <c r="E126" s="59" t="inlineStr">
        <is>
          <t>No retreat documented.</t>
        </is>
      </c>
      <c r="F126" s="59" t="inlineStr">
        <is>
          <t>Stable</t>
        </is>
      </c>
      <c r="G126" s="58" t="inlineStr">
        <is>
          <t>Med</t>
        </is>
      </c>
    </row>
    <row r="127" ht="15" customHeight="1" s="42">
      <c r="A127" s="65">
        <f>Company_Master!A127</f>
        <v/>
      </c>
      <c r="B127" s="59" t="inlineStr">
        <is>
          <t>Thin record in both directions.</t>
        </is>
      </c>
      <c r="C127" s="59" t="inlineStr">
        <is>
          <t>CEI-rated inclusive policies; occasional internal programming.</t>
        </is>
      </c>
      <c r="D127" s="59" t="inlineStr">
        <is>
          <t>No significant public commitments documented.</t>
        </is>
      </c>
      <c r="E127" s="59" t="inlineStr">
        <is>
          <t>Near-baseline by absence.</t>
        </is>
      </c>
      <c r="F127" s="59" t="inlineStr">
        <is>
          <t>Stable</t>
        </is>
      </c>
      <c r="G127" s="58" t="inlineStr">
        <is>
          <t>Low</t>
        </is>
      </c>
    </row>
    <row r="128" ht="15" customHeight="1" s="42">
      <c r="A128" s="65">
        <f>Company_Master!A128</f>
        <v/>
      </c>
      <c r="B128" s="59" t="inlineStr">
        <is>
          <t>An insurer that normalized queer families in primetime ads and didn't blink at the backlash.</t>
        </is>
      </c>
      <c r="C128" s="59" t="inlineStr">
        <is>
          <t>Years of mainstream advertising featuring LGBTQ+ couples and families, maintained despite recurring conservative boycott calls; CEI 100 record; funded Pride network.</t>
        </is>
      </c>
      <c r="D128" s="59" t="inlineStr">
        <is>
          <t>Engagement is advertising- and workplace-led; limited civic sponsorship.</t>
        </is>
      </c>
      <c r="E128" s="59" t="inlineStr">
        <is>
          <t>Advertising continuity through the boycott era.</t>
        </is>
      </c>
      <c r="F128" s="59" t="inlineStr">
        <is>
          <t>Stable</t>
        </is>
      </c>
      <c r="G128" s="58" t="inlineStr">
        <is>
          <t>Med</t>
        </is>
      </c>
    </row>
    <row r="129" ht="15" customHeight="1" s="42">
      <c r="A129" s="65">
        <f>Company_Master!A129</f>
        <v/>
      </c>
      <c r="B129" s="59" t="inlineStr">
        <is>
          <t>Thin record in both directions.</t>
        </is>
      </c>
      <c r="C129" s="59" t="inlineStr">
        <is>
          <t>CEI-rated inclusive policies; occasional inclusive advertising.</t>
        </is>
      </c>
      <c r="D129" s="59" t="inlineStr">
        <is>
          <t>No significant public commitments documented.</t>
        </is>
      </c>
      <c r="E129" s="59" t="inlineStr">
        <is>
          <t>Near-baseline by absence.</t>
        </is>
      </c>
      <c r="F129" s="59" t="inlineStr">
        <is>
          <t>Stable</t>
        </is>
      </c>
      <c r="G129" s="58" t="inlineStr">
        <is>
          <t>Low</t>
        </is>
      </c>
    </row>
    <row r="130" ht="15" customHeight="1" s="42">
      <c r="A130" s="65">
        <f>Company_Master!A130</f>
        <v/>
      </c>
      <c r="B130" s="59" t="inlineStr">
        <is>
          <t>A quiet insurance holder.</t>
        </is>
      </c>
      <c r="C130" s="59" t="inlineStr">
        <is>
          <t>CEI 100 record; inclusive partner and gender-affirming benefits; GLAM ERG.</t>
        </is>
      </c>
      <c r="D130" s="59" t="inlineStr">
        <is>
          <t>Low public visibility.</t>
        </is>
      </c>
      <c r="E130" s="59" t="inlineStr">
        <is>
          <t>Continuity without retreat.</t>
        </is>
      </c>
      <c r="F130" s="59" t="inlineStr">
        <is>
          <t>Stable</t>
        </is>
      </c>
      <c r="G130" s="58" t="inlineStr">
        <is>
          <t>Med</t>
        </is>
      </c>
    </row>
    <row r="131" ht="15" customHeight="1" s="42">
      <c r="A131" s="65">
        <f>Company_Master!A131</f>
        <v/>
      </c>
      <c r="B131" s="59" t="inlineStr">
        <is>
          <t>Brought data to LGBTQ+ financial inclusion before it was fashionable.</t>
        </is>
      </c>
      <c r="C131" s="59" t="inlineStr">
        <is>
          <t>Multi-edition 'LGBT Financial Experience' research series; CEI 100 record; inclusive benefits; EQUAL ERG.</t>
        </is>
      </c>
      <c r="D131" s="59" t="inlineStr">
        <is>
          <t>Lower visibility recently.</t>
        </is>
      </c>
      <c r="E131" s="59" t="inlineStr">
        <is>
          <t>Research-backed engagement plus continuity.</t>
        </is>
      </c>
      <c r="F131" s="59" t="inlineStr">
        <is>
          <t>Stable</t>
        </is>
      </c>
      <c r="G131" s="58" t="inlineStr">
        <is>
          <t>Med</t>
        </is>
      </c>
    </row>
    <row r="132" ht="15" customHeight="1" s="42">
      <c r="A132" s="65">
        <f>Company_Master!A132</f>
        <v/>
      </c>
      <c r="B132" s="59" t="inlineStr">
        <is>
          <t>Thin record in both directions.</t>
        </is>
      </c>
      <c r="C132" s="59" t="inlineStr">
        <is>
          <t>CEI-rated inclusive policies.</t>
        </is>
      </c>
      <c r="D132" s="59" t="inlineStr">
        <is>
          <t>No significant public commitments documented.</t>
        </is>
      </c>
      <c r="E132" s="59" t="inlineStr">
        <is>
          <t>Near-baseline by absence.</t>
        </is>
      </c>
      <c r="F132" s="59" t="inlineStr">
        <is>
          <t>Stable</t>
        </is>
      </c>
      <c r="G132" s="58" t="inlineStr">
        <is>
          <t>Low</t>
        </is>
      </c>
    </row>
    <row r="133" ht="15" customHeight="1" s="42">
      <c r="A133" s="65">
        <f>Company_Master!A133</f>
        <v/>
      </c>
      <c r="B133" s="59" t="inlineStr">
        <is>
          <t>Thin record in both directions.</t>
        </is>
      </c>
      <c r="C133" s="59" t="inlineStr">
        <is>
          <t>CEI-rated inclusive policies; internal inclusion programming.</t>
        </is>
      </c>
      <c r="D133" s="59" t="inlineStr">
        <is>
          <t>No significant public commitments documented.</t>
        </is>
      </c>
      <c r="E133" s="59" t="inlineStr">
        <is>
          <t>Near-baseline by absence.</t>
        </is>
      </c>
      <c r="F133" s="59" t="inlineStr">
        <is>
          <t>Stable</t>
        </is>
      </c>
      <c r="G133" s="58" t="inlineStr">
        <is>
          <t>Low</t>
        </is>
      </c>
    </row>
    <row r="134" ht="15" customHeight="1" s="42">
      <c r="A134" s="65">
        <f>Company_Master!A134</f>
        <v/>
      </c>
      <c r="B134" s="59" t="inlineStr">
        <is>
          <t>A red-state pharma that has repeatedly backed inclusion at home.</t>
        </is>
      </c>
      <c r="C134" s="59" t="inlineStr">
        <is>
          <t>Publicly opposed Indiana's 2015 RFRA from its Indianapolis headquarters; CEI 100 record; inclusive partner and gender-affirming benefits; Indy Pride engagement.</t>
        </is>
      </c>
      <c r="D134" s="59" t="inlineStr">
        <is>
          <t>Quieter since 2024; no confirmed CEI 2026 participation.</t>
        </is>
      </c>
      <c r="E134" s="59" t="inlineStr">
        <is>
          <t>Hometown advocacy when it carried political cost.</t>
        </is>
      </c>
      <c r="F134" s="59" t="inlineStr">
        <is>
          <t>Stable</t>
        </is>
      </c>
      <c r="G134" s="58" t="inlineStr">
        <is>
          <t>Med</t>
        </is>
      </c>
    </row>
    <row r="135" ht="15" customHeight="1" s="42">
      <c r="A135" s="65">
        <f>Company_Master!A135</f>
        <v/>
      </c>
      <c r="B135" s="59" t="inlineStr">
        <is>
          <t>A quiet pharma holder.</t>
        </is>
      </c>
      <c r="C135" s="59" t="inlineStr">
        <is>
          <t>CEI 100 record; inclusive benefits; Rainbow Alliance ERG; HIV antiretroviral legacy relevant to the community.</t>
        </is>
      </c>
      <c r="D135" s="59" t="inlineStr">
        <is>
          <t>Low public Pride visibility.</t>
        </is>
      </c>
      <c r="E135" s="59" t="inlineStr">
        <is>
          <t>Continuity without retreat.</t>
        </is>
      </c>
      <c r="F135" s="59" t="inlineStr">
        <is>
          <t>Stable</t>
        </is>
      </c>
      <c r="G135" s="58" t="inlineStr">
        <is>
          <t>Med</t>
        </is>
      </c>
    </row>
    <row r="136" ht="15" customHeight="1" s="42">
      <c r="A136" s="65">
        <f>Company_Master!A136</f>
        <v/>
      </c>
      <c r="B136" s="59" t="inlineStr">
        <is>
          <t>A quiet pharma holder.</t>
        </is>
      </c>
      <c r="C136" s="59" t="inlineStr">
        <is>
          <t>CEI 100 record; inclusive benefits; Pride ERG.</t>
        </is>
      </c>
      <c r="D136" s="59" t="inlineStr">
        <is>
          <t>Low public visibility.</t>
        </is>
      </c>
      <c r="E136" s="59" t="inlineStr">
        <is>
          <t>Continuity without retreat.</t>
        </is>
      </c>
      <c r="F136" s="59" t="inlineStr">
        <is>
          <t>Stable</t>
        </is>
      </c>
      <c r="G136" s="58" t="inlineStr">
        <is>
          <t>Med</t>
        </is>
      </c>
    </row>
    <row r="137" ht="15" customHeight="1" s="42">
      <c r="A137" s="65">
        <f>Company_Master!A137</f>
        <v/>
      </c>
      <c r="B137" s="59" t="inlineStr">
        <is>
          <t>A quiet pharma holder.</t>
        </is>
      </c>
      <c r="C137" s="59" t="inlineStr">
        <is>
          <t>CEI 100 record; inclusive benefits; PRIDE Alliance ERG.</t>
        </is>
      </c>
      <c r="D137" s="59" t="inlineStr">
        <is>
          <t>Low public visibility.</t>
        </is>
      </c>
      <c r="E137" s="59" t="inlineStr">
        <is>
          <t>Continuity without retreat.</t>
        </is>
      </c>
      <c r="F137" s="59" t="inlineStr">
        <is>
          <t>Stable</t>
        </is>
      </c>
      <c r="G137" s="58" t="inlineStr">
        <is>
          <t>Med</t>
        </is>
      </c>
    </row>
    <row r="138" ht="15" customHeight="1" s="42">
      <c r="A138" s="65">
        <f>Company_Master!A138</f>
        <v/>
      </c>
      <c r="B138" s="59" t="inlineStr">
        <is>
          <t>Funds the community's health infrastructure at a scale no rainbow logo approaches.</t>
        </is>
      </c>
      <c r="C138" s="59" t="inlineStr">
        <is>
          <t>COMPASS Initiative: $100M+ over 10 years for HIV organizations in the Southern US (launched 2017, ongoing); sustained multi-million-dollar grant programs to LGBTQ+ and HIV organizations (TransAction trans health grants, Zeroing In); CEI 100 record; deep HIV-treatment and PrEP legacy.</t>
        </is>
      </c>
      <c r="D138" s="59" t="inlineStr">
        <is>
          <t>Drug-pricing criticism (PrEP pricing) complicates its community standing; marketing-level Pride visibility is modest.</t>
        </is>
      </c>
      <c r="E138" s="59" t="inlineStr">
        <is>
          <t>A decade-long nine-figure funding commitment — the largest sustained corporate investment in LGBTQ+ health.</t>
        </is>
      </c>
      <c r="F138" s="59" t="inlineStr">
        <is>
          <t>Stable</t>
        </is>
      </c>
      <c r="G138" s="58" t="inlineStr">
        <is>
          <t>High</t>
        </is>
      </c>
    </row>
    <row r="139" ht="15" customHeight="1" s="42">
      <c r="A139" s="65">
        <f>Company_Master!A139</f>
        <v/>
      </c>
      <c r="B139" s="59" t="inlineStr">
        <is>
          <t>Thin record in both directions.</t>
        </is>
      </c>
      <c r="C139" s="59" t="inlineStr">
        <is>
          <t>CEI-rated inclusive policies; internal ERG programming.</t>
        </is>
      </c>
      <c r="D139" s="59" t="inlineStr">
        <is>
          <t>No significant public commitments documented.</t>
        </is>
      </c>
      <c r="E139" s="59" t="inlineStr">
        <is>
          <t>Near-baseline by absence.</t>
        </is>
      </c>
      <c r="F139" s="59" t="inlineStr">
        <is>
          <t>Stable</t>
        </is>
      </c>
      <c r="G139" s="58" t="inlineStr">
        <is>
          <t>Low</t>
        </is>
      </c>
    </row>
    <row r="140" ht="15" customHeight="1" s="42">
      <c r="A140" s="65">
        <f>Company_Master!A140</f>
        <v/>
      </c>
      <c r="B140" s="59" t="inlineStr">
        <is>
          <t>Thin record in both directions.</t>
        </is>
      </c>
      <c r="C140" s="59" t="inlineStr">
        <is>
          <t>Standard inclusive policies; occasional posts.</t>
        </is>
      </c>
      <c r="D140" s="59" t="inlineStr">
        <is>
          <t>No significant public commitments documented.</t>
        </is>
      </c>
      <c r="E140" s="59" t="inlineStr">
        <is>
          <t>Near-baseline by absence.</t>
        </is>
      </c>
      <c r="F140" s="59" t="inlineStr">
        <is>
          <t>Stable</t>
        </is>
      </c>
      <c r="G140" s="58" t="inlineStr">
        <is>
          <t>Low</t>
        </is>
      </c>
    </row>
    <row r="141" ht="15" customHeight="1" s="42">
      <c r="A141" s="65">
        <f>Company_Master!A141</f>
        <v/>
      </c>
      <c r="B141" s="59" t="inlineStr">
        <is>
          <t>A non-participant.</t>
        </is>
      </c>
      <c r="C141" s="59" t="inlineStr">
        <is>
          <t>Standard inclusive policies; some facility-level Healthcare Equality Index participation.</t>
        </is>
      </c>
      <c r="D141" s="59" t="inlineStr">
        <is>
          <t>No significant corporate engagement documented.</t>
        </is>
      </c>
      <c r="E141" s="59" t="inlineStr">
        <is>
          <t>Near-baseline by absence.</t>
        </is>
      </c>
      <c r="F141" s="59" t="inlineStr">
        <is>
          <t>Stable</t>
        </is>
      </c>
      <c r="G141" s="58" t="inlineStr">
        <is>
          <t>Low</t>
        </is>
      </c>
    </row>
    <row r="142" ht="15" customHeight="1" s="42">
      <c r="A142" s="65">
        <f>Company_Master!A142</f>
        <v/>
      </c>
      <c r="B142" s="59" t="inlineStr">
        <is>
          <t>Part of the insurer pattern of quiet filings-level retreat.</t>
        </is>
      </c>
      <c r="C142" s="59" t="inlineStr">
        <is>
          <t>CEI 100 record; inclusive benefits; prior DEI reporting.</t>
        </is>
      </c>
      <c r="D142" s="59" t="inlineStr">
        <is>
          <t>2025 annual report quietly revised DEI strategy/risk language alongside UnitedHealth, Cigna and Humana (Modern Healthcare).</t>
        </is>
      </c>
      <c r="E142" s="59" t="inlineStr">
        <is>
          <t>Following the insurer pack into quiet retreat.</t>
        </is>
      </c>
      <c r="F142" s="59" t="inlineStr">
        <is>
          <t>Declining</t>
        </is>
      </c>
      <c r="G142" s="58" t="inlineStr">
        <is>
          <t>Med</t>
        </is>
      </c>
    </row>
    <row r="143" ht="15" customHeight="1" s="42">
      <c r="A143" s="65">
        <f>Company_Master!A143</f>
        <v/>
      </c>
      <c r="B143" s="59" t="inlineStr">
        <is>
          <t>A non-participant.</t>
        </is>
      </c>
      <c r="C143" s="59" t="inlineStr">
        <is>
          <t>None documented.</t>
        </is>
      </c>
      <c r="D143" s="59" t="inlineStr">
        <is>
          <t>None documented.</t>
        </is>
      </c>
      <c r="E143" s="59" t="inlineStr">
        <is>
          <t>Absence of engagement; baseline.</t>
        </is>
      </c>
      <c r="F143" s="59" t="inlineStr">
        <is>
          <t>Stable</t>
        </is>
      </c>
      <c r="G143" s="58" t="inlineStr">
        <is>
          <t>Low</t>
        </is>
      </c>
    </row>
    <row r="144" ht="15" customHeight="1" s="42">
      <c r="A144" s="65">
        <f>Company_Master!A144</f>
        <v/>
      </c>
      <c r="B144" s="59" t="inlineStr">
        <is>
          <t>A non-participant.</t>
        </is>
      </c>
      <c r="C144" s="59" t="inlineStr">
        <is>
          <t>None documented.</t>
        </is>
      </c>
      <c r="D144" s="59" t="inlineStr">
        <is>
          <t>None documented.</t>
        </is>
      </c>
      <c r="E144" s="59" t="inlineStr">
        <is>
          <t>Absence of engagement; baseline.</t>
        </is>
      </c>
      <c r="F144" s="59" t="inlineStr">
        <is>
          <t>Stable</t>
        </is>
      </c>
      <c r="G144" s="58" t="inlineStr">
        <is>
          <t>Low</t>
        </is>
      </c>
    </row>
    <row r="145" ht="15" customHeight="1" s="42">
      <c r="A145" s="65">
        <f>Company_Master!A145</f>
        <v/>
      </c>
      <c r="B145" s="59" t="inlineStr">
        <is>
          <t>A non-participant.</t>
        </is>
      </c>
      <c r="C145" s="59" t="inlineStr">
        <is>
          <t>None documented.</t>
        </is>
      </c>
      <c r="D145" s="59" t="inlineStr">
        <is>
          <t>None documented.</t>
        </is>
      </c>
      <c r="E145" s="59" t="inlineStr">
        <is>
          <t>Absence of engagement; baseline.</t>
        </is>
      </c>
      <c r="F145" s="59" t="inlineStr">
        <is>
          <t>Stable</t>
        </is>
      </c>
      <c r="G145" s="58" t="inlineStr">
        <is>
          <t>Low</t>
        </is>
      </c>
    </row>
    <row r="146" ht="15" customHeight="1" s="42">
      <c r="A146" s="65">
        <f>Company_Master!A146</f>
        <v/>
      </c>
      <c r="B146" s="59" t="inlineStr">
        <is>
          <t>Thin record in both directions.</t>
        </is>
      </c>
      <c r="C146" s="59" t="inlineStr">
        <is>
          <t>Occasional local engagement; standard inclusive policies.</t>
        </is>
      </c>
      <c r="D146" s="59" t="inlineStr">
        <is>
          <t>No significant documented commitments.</t>
        </is>
      </c>
      <c r="E146" s="59" t="inlineStr">
        <is>
          <t>Near-baseline by absence.</t>
        </is>
      </c>
      <c r="F146" s="59" t="inlineStr">
        <is>
          <t>Stable</t>
        </is>
      </c>
      <c r="G146" s="58" t="inlineStr">
        <is>
          <t>Low</t>
        </is>
      </c>
    </row>
    <row r="147" ht="15" customHeight="1" s="42">
      <c r="A147" s="65">
        <f>Company_Master!A147</f>
        <v/>
      </c>
      <c r="B147" s="59" t="inlineStr">
        <is>
          <t>Light local engagement in its home state.</t>
        </is>
      </c>
      <c r="C147" s="59" t="inlineStr">
        <is>
          <t>Virginia Pride event sponsorship history; standard inclusive policies.</t>
        </is>
      </c>
      <c r="D147" s="59" t="inlineStr">
        <is>
          <t>Minimal broader engagement; sponsorship status post-2024 unconfirmed.</t>
        </is>
      </c>
      <c r="E147" s="59" t="inlineStr">
        <is>
          <t>Local sponsorship history without depth.</t>
        </is>
      </c>
      <c r="F147" s="59" t="inlineStr">
        <is>
          <t>Stable</t>
        </is>
      </c>
      <c r="G147" s="58" t="inlineStr">
        <is>
          <t>Low</t>
        </is>
      </c>
    </row>
    <row r="148" ht="15" customHeight="1" s="42">
      <c r="A148" s="65">
        <f>Company_Master!A148</f>
        <v/>
      </c>
      <c r="B148" s="59" t="inlineStr">
        <is>
          <t>A non-participant.</t>
        </is>
      </c>
      <c r="C148" s="59" t="inlineStr">
        <is>
          <t>None documented.</t>
        </is>
      </c>
      <c r="D148" s="59" t="inlineStr">
        <is>
          <t>None documented.</t>
        </is>
      </c>
      <c r="E148" s="59" t="inlineStr">
        <is>
          <t>Absence of engagement; baseline.</t>
        </is>
      </c>
      <c r="F148" s="59" t="inlineStr">
        <is>
          <t>Stable</t>
        </is>
      </c>
      <c r="G148" s="58" t="inlineStr">
        <is>
          <t>Low</t>
        </is>
      </c>
    </row>
    <row r="149" ht="15" customHeight="1" s="42">
      <c r="A149" s="65">
        <f>Company_Master!A149</f>
        <v/>
      </c>
      <c r="B149" s="59" t="inlineStr">
        <is>
          <t>A non-participant; its majority owner is the sovereign fund of a state that criminalizes homosexuality.</t>
        </is>
      </c>
      <c r="C149" s="59" t="inlineStr">
        <is>
          <t>None documented.</t>
        </is>
      </c>
      <c r="D149" s="59" t="inlineStr">
        <is>
          <t>No corporate anti-LGBTQ+ actions documented; ownership context (Saudi PIF) noted as background, not a scored action.</t>
        </is>
      </c>
      <c r="E149" s="59" t="inlineStr">
        <is>
          <t>Absence of engagement; baseline.</t>
        </is>
      </c>
      <c r="F149" s="59" t="inlineStr">
        <is>
          <t>Stable</t>
        </is>
      </c>
      <c r="G149" s="58" t="inlineStr">
        <is>
          <t>Low</t>
        </is>
      </c>
    </row>
    <row r="150" ht="15" customHeight="1" s="42">
      <c r="A150" s="65">
        <f>Company_Master!A150</f>
        <v/>
      </c>
      <c r="B150" s="59" t="inlineStr">
        <is>
          <t>Thin record in both directions.</t>
        </is>
      </c>
      <c r="C150" s="59" t="inlineStr">
        <is>
          <t>CEI-rated inclusive policies; occasional LGBTQ+ travel marketing.</t>
        </is>
      </c>
      <c r="D150" s="59" t="inlineStr">
        <is>
          <t>No significant documented commitments.</t>
        </is>
      </c>
      <c r="E150" s="59" t="inlineStr">
        <is>
          <t>Near-baseline by absence.</t>
        </is>
      </c>
      <c r="F150" s="59" t="inlineStr">
        <is>
          <t>Stable</t>
        </is>
      </c>
      <c r="G150" s="58" t="inlineStr">
        <is>
          <t>Low</t>
        </is>
      </c>
    </row>
    <row r="151" ht="15" customHeight="1" s="42">
      <c r="A151" s="65">
        <f>Company_Master!A151</f>
        <v/>
      </c>
      <c r="B151" s="59" t="inlineStr">
        <is>
          <t>A hospitality holder that kept sponsoring in 2025.</t>
        </is>
      </c>
      <c r="C151" s="59" t="inlineStr">
        <is>
          <t>Supported WorldPride 2025 in Washington DC (HR Dive); CEI 100 record; funded LGBTQ+ ERG; LGBTQ+ travel marketing history.</t>
        </is>
      </c>
      <c r="D151" s="59" t="inlineStr">
        <is>
          <t>Standard global-hotelier footprint in hostile jurisdictions.</t>
        </is>
      </c>
      <c r="E151" s="59" t="inlineStr">
        <is>
          <t>Visible 2025 sponsorship amid the corporate exodus.</t>
        </is>
      </c>
      <c r="F151" s="59" t="inlineStr">
        <is>
          <t>Stable</t>
        </is>
      </c>
      <c r="G151" s="58" t="inlineStr">
        <is>
          <t>High</t>
        </is>
      </c>
    </row>
    <row r="152" ht="15" customHeight="1" s="42">
      <c r="A152" s="65">
        <f>Company_Master!A152</f>
        <v/>
      </c>
      <c r="B152" s="59" t="inlineStr">
        <is>
          <t>A quiet airline holder.</t>
        </is>
      </c>
      <c r="C152" s="59" t="inlineStr">
        <is>
          <t>Among corporations whose boards rejected anti-DEI proposals in 2025 (Uprise RI); CEI 100 record; funded LGBTQ+ ERG; Pride engagement in prior years.</t>
        </is>
      </c>
      <c r="D152" s="59" t="inlineStr">
        <is>
          <t>Activist-investor pressure (Elliott) has muted all non-core spending; low current visibility.</t>
        </is>
      </c>
      <c r="E152" s="59" t="inlineStr">
        <is>
          <t>Board-level defense plus continuity.</t>
        </is>
      </c>
      <c r="F152" s="59" t="inlineStr">
        <is>
          <t>Stable</t>
        </is>
      </c>
      <c r="G152" s="58" t="inlineStr">
        <is>
          <t>Med</t>
        </is>
      </c>
    </row>
    <row r="153" ht="15" customHeight="1" s="42">
      <c r="A153" s="65">
        <f>Company_Master!A153</f>
        <v/>
      </c>
      <c r="B153" s="59" t="inlineStr">
        <is>
          <t>A New York airline that stayed visible at its hometown Pride.</t>
        </is>
      </c>
      <c r="C153" s="59" t="inlineStr">
        <is>
          <t>NYC Pride sponsorship/participation history incl. Pride-themed activations and flights; funded JetPride crewmember resource group; CEI 100 record.</t>
        </is>
      </c>
      <c r="D153" s="59" t="inlineStr">
        <is>
          <t>Financial constraints limit spending; depth beyond events is modest.</t>
        </is>
      </c>
      <c r="E153" s="59" t="inlineStr">
        <is>
          <t>Hometown Pride continuity.</t>
        </is>
      </c>
      <c r="F153" s="59" t="inlineStr">
        <is>
          <t>Stable</t>
        </is>
      </c>
      <c r="G153" s="58" t="inlineStr">
        <is>
          <t>Med</t>
        </is>
      </c>
    </row>
    <row r="154" ht="15" customHeight="1" s="42">
      <c r="A154" s="65">
        <f>Company_Master!A154</f>
        <v/>
      </c>
      <c r="B154" s="59" t="inlineStr">
        <is>
          <t>Commercially friendly, corporately quiet.</t>
        </is>
      </c>
      <c r="C154" s="59" t="inlineStr">
        <is>
          <t>Onboard Pride events and LGBTQ+-welcoming cruise marketing.</t>
        </is>
      </c>
      <c r="D154" s="59" t="inlineStr">
        <is>
          <t>Minimal corporate policy disclosure or community investment documented.</t>
        </is>
      </c>
      <c r="E154" s="59" t="inlineStr">
        <is>
          <t>Commercial hospitality without structural depth.</t>
        </is>
      </c>
      <c r="F154" s="59" t="inlineStr">
        <is>
          <t>Stable</t>
        </is>
      </c>
      <c r="G154" s="58" t="inlineStr">
        <is>
          <t>Low</t>
        </is>
      </c>
    </row>
    <row r="155" ht="15" customHeight="1" s="42">
      <c r="A155" s="65">
        <f>Company_Master!A155</f>
        <v/>
      </c>
      <c r="B155" s="59" t="inlineStr">
        <is>
          <t>Commercially friendly, corporately quiet.</t>
        </is>
      </c>
      <c r="C155" s="59" t="inlineStr">
        <is>
          <t>Onboard Pride events; LGBTQ+-welcoming marketing across brands.</t>
        </is>
      </c>
      <c r="D155" s="59" t="inlineStr">
        <is>
          <t>Minimal corporate policy disclosure or community investment documented.</t>
        </is>
      </c>
      <c r="E155" s="59" t="inlineStr">
        <is>
          <t>Commercial hospitality without structural depth.</t>
        </is>
      </c>
      <c r="F155" s="59" t="inlineStr">
        <is>
          <t>Stable</t>
        </is>
      </c>
      <c r="G155" s="58" t="inlineStr">
        <is>
          <t>Low</t>
        </is>
      </c>
    </row>
    <row r="156" ht="15" customHeight="1" s="42">
      <c r="A156" s="65">
        <f>Company_Master!A156</f>
        <v/>
      </c>
      <c r="B156" s="59" t="inlineStr">
        <is>
          <t>A quiet consumer-goods holder.</t>
        </is>
      </c>
      <c r="C156" s="59" t="inlineStr">
        <is>
          <t>CEI 100 record; inclusive partner and gender-affirming benefits; Pride ERG.</t>
        </is>
      </c>
      <c r="D156" s="59" t="inlineStr">
        <is>
          <t>Low public visibility.</t>
        </is>
      </c>
      <c r="E156" s="59" t="inlineStr">
        <is>
          <t>Continuity without retreat.</t>
        </is>
      </c>
      <c r="F156" s="59" t="inlineStr">
        <is>
          <t>Stable</t>
        </is>
      </c>
      <c r="G156" s="58" t="inlineStr">
        <is>
          <t>Med</t>
        </is>
      </c>
    </row>
    <row r="157" ht="15" customHeight="1" s="42">
      <c r="A157" s="65">
        <f>Company_Master!A157</f>
        <v/>
      </c>
      <c r="B157" s="59" t="inlineStr">
        <is>
          <t>Thirty years of VIVA GLAM make this the beauty industry's deepest LGBTQ+ commitment.</t>
        </is>
      </c>
      <c r="C157" s="59" t="inlineStr">
        <is>
          <t>MAC VIVA GLAM lipstick line: 100% of the selling price donated since 1994, raising $500M+ for HIV/AIDS and LGBTQ+ organizations through the MAC VIVA GLAM Fund; drag and queer icons as campaign faces from RuPaul (1994) onward; CEI 100 record; inclusive benefits.</t>
        </is>
      </c>
      <c r="D157" s="59" t="inlineStr">
        <is>
          <t>Corporate-level engagement beyond MAC is quieter; no confirmed CEI 2026 participation.</t>
        </is>
      </c>
      <c r="E157" s="59" t="inlineStr">
        <is>
          <t>An unbroken 30-year, nine-figure giving program woven into a flagship product.</t>
        </is>
      </c>
      <c r="F157" s="59" t="inlineStr">
        <is>
          <t>Stable</t>
        </is>
      </c>
      <c r="G157" s="58" t="inlineStr">
        <is>
          <t>High</t>
        </is>
      </c>
    </row>
    <row r="158" ht="15" customHeight="1" s="42">
      <c r="A158" s="65">
        <f>Company_Master!A158</f>
        <v/>
      </c>
      <c r="B158" s="59" t="inlineStr">
        <is>
          <t>A quiet consumer-goods holder.</t>
        </is>
      </c>
      <c r="C158" s="59" t="inlineStr">
        <is>
          <t>CEI 100 record; inclusive partner and gender-affirming benefits; continued inclusion reporting.</t>
        </is>
      </c>
      <c r="D158" s="59" t="inlineStr">
        <is>
          <t>Low public visibility.</t>
        </is>
      </c>
      <c r="E158" s="59" t="inlineStr">
        <is>
          <t>Continuity without retreat.</t>
        </is>
      </c>
      <c r="F158" s="59" t="inlineStr">
        <is>
          <t>Stable</t>
        </is>
      </c>
      <c r="G158" s="58" t="inlineStr">
        <is>
          <t>Med</t>
        </is>
      </c>
    </row>
    <row r="159" ht="15" customHeight="1" s="42">
      <c r="A159" s="65">
        <f>Company_Master!A159</f>
        <v/>
      </c>
      <c r="B159" s="59" t="inlineStr">
        <is>
          <t>Joined the defense industry's silent webpage purge.</t>
        </is>
      </c>
      <c r="C159" s="59" t="inlineStr">
        <is>
          <t>Previous CEI 100 standing; funded pride@northropgrumman ERG; inclusive benefits.</t>
        </is>
      </c>
      <c r="D159" s="59" t="inlineStr">
        <is>
          <t>Early 2025: DEI webpages removed/redirecting to dead links per Breaking Defense's sector documentation; no public explanation.</t>
        </is>
      </c>
      <c r="E159" s="59" t="inlineStr">
        <is>
          <t>Wordless erasure of public commitments.</t>
        </is>
      </c>
      <c r="F159" s="59" t="inlineStr">
        <is>
          <t>Sharp Reversal</t>
        </is>
      </c>
      <c r="G159" s="58" t="inlineStr">
        <is>
          <t>Med</t>
        </is>
      </c>
    </row>
    <row r="160" ht="15" customHeight="1" s="42">
      <c r="A160" s="65">
        <f>Company_Master!A160</f>
        <v/>
      </c>
      <c r="B160" s="59" t="inlineStr">
        <is>
          <t>Joined the defense industry's silent webpage purge.</t>
        </is>
      </c>
      <c r="C160" s="59" t="inlineStr">
        <is>
          <t>Previous CEI participation; inclusive policies and internal programming.</t>
        </is>
      </c>
      <c r="D160" s="59" t="inlineStr">
        <is>
          <t>Early 2025: DEI webpages removed/redirecting to dead links per Breaking Defense; no public explanation.</t>
        </is>
      </c>
      <c r="E160" s="59" t="inlineStr">
        <is>
          <t>Wordless erasure of public commitments.</t>
        </is>
      </c>
      <c r="F160" s="59" t="inlineStr">
        <is>
          <t>Sharp Reversal</t>
        </is>
      </c>
      <c r="G160" s="58" t="inlineStr">
        <is>
          <t>Med</t>
        </is>
      </c>
    </row>
    <row r="161" ht="15" customHeight="1" s="42">
      <c r="A161" s="65">
        <f>Company_Master!A161</f>
        <v/>
      </c>
      <c r="B161" s="59" t="inlineStr">
        <is>
          <t>Joined the defense industry's silent webpage purge.</t>
        </is>
      </c>
      <c r="C161" s="59" t="inlineStr">
        <is>
          <t>Previous CEI participation; inclusive policies; internal ERG programming.</t>
        </is>
      </c>
      <c r="D161" s="59" t="inlineStr">
        <is>
          <t>Early 2025: DEI webpages removed/redirecting to dead links per Breaking Defense; no public explanation.</t>
        </is>
      </c>
      <c r="E161" s="59" t="inlineStr">
        <is>
          <t>Wordless erasure of public commitments.</t>
        </is>
      </c>
      <c r="F161" s="59" t="inlineStr">
        <is>
          <t>Sharp Reversal</t>
        </is>
      </c>
      <c r="G161" s="58" t="inlineStr">
        <is>
          <t>Med</t>
        </is>
      </c>
    </row>
    <row r="162" ht="15" customHeight="1" s="42">
      <c r="A162" s="65">
        <f>Company_Master!A162</f>
        <v/>
      </c>
      <c r="B162" s="59" t="inlineStr">
        <is>
          <t>A quiet Minnesota retreat from measurable commitments.</t>
        </is>
      </c>
      <c r="C162" s="59" t="inlineStr">
        <is>
          <t>Long CEI 100 record; funded 3M Pride ERG; inclusive benefits; Twin Cities Pride engagement in prior years.</t>
        </is>
      </c>
      <c r="D162" s="59" t="inlineStr">
        <is>
          <t>2025: retired diversity representation goals and softened DEI language in filings and public materials, part of the documented rollback wave (Ongig/industry tracking).</t>
        </is>
      </c>
      <c r="E162" s="59" t="inlineStr">
        <is>
          <t>Dropping measurable goals while keeping soft language.</t>
        </is>
      </c>
      <c r="F162" s="59" t="inlineStr">
        <is>
          <t>Declining</t>
        </is>
      </c>
      <c r="G162" s="58" t="inlineStr">
        <is>
          <t>Med</t>
        </is>
      </c>
    </row>
    <row r="163" ht="15" customHeight="1" s="42">
      <c r="A163" s="65">
        <f>Company_Master!A163</f>
        <v/>
      </c>
      <c r="B163" s="59" t="inlineStr">
        <is>
          <t>Thin record in both directions.</t>
        </is>
      </c>
      <c r="C163" s="59" t="inlineStr">
        <is>
          <t>CEI-rated inclusive policies; internal inclusion programming.</t>
        </is>
      </c>
      <c r="D163" s="59" t="inlineStr">
        <is>
          <t>No significant public commitments documented; DEI visibility reduced industry-wide.</t>
        </is>
      </c>
      <c r="E163" s="59" t="inlineStr">
        <is>
          <t>Near-baseline by absence.</t>
        </is>
      </c>
      <c r="F163" s="59" t="inlineStr">
        <is>
          <t>Stable</t>
        </is>
      </c>
      <c r="G163" s="58" t="inlineStr">
        <is>
          <t>Low</t>
        </is>
      </c>
    </row>
    <row r="164" ht="15" customHeight="1" s="42">
      <c r="A164" s="65">
        <f>Company_Master!A164</f>
        <v/>
      </c>
      <c r="B164" s="59" t="inlineStr">
        <is>
          <t>Thin current record after corporate restructuring.</t>
        </is>
      </c>
      <c r="C164" s="59" t="inlineStr">
        <is>
          <t>Legacy GE Pride Alliance ERG; CEI participation history; inclusive policies.</t>
        </is>
      </c>
      <c r="D164" s="59" t="inlineStr">
        <is>
          <t>Minimal public engagement since the three-way GE split.</t>
        </is>
      </c>
      <c r="E164" s="59" t="inlineStr">
        <is>
          <t>Near-baseline; legacy infrastructure without current visibility.</t>
        </is>
      </c>
      <c r="F164" s="59" t="inlineStr">
        <is>
          <t>Stable</t>
        </is>
      </c>
      <c r="G164" s="58" t="inlineStr">
        <is>
          <t>Low</t>
        </is>
      </c>
    </row>
    <row r="165" ht="15" customHeight="1" s="42">
      <c r="A165" s="65">
        <f>Company_Master!A165</f>
        <v/>
      </c>
      <c r="B165" s="59" t="inlineStr">
        <is>
          <t>An early industrial capitulator to the activist pressure campaign.</t>
        </is>
      </c>
      <c r="C165" s="59" t="inlineStr">
        <is>
          <t>Funded LGBTQ+ ERG; prior CEI participation; internal inclusion programming.</t>
        </is>
      </c>
      <c r="D165" s="59" t="inlineStr">
        <is>
          <t>Sep 2024: refocused all training on 'business operations' and required senior-leader approval for external surveys/awards after Robby Starbuck targeted the company (WGLT) — a structural exit from external accountability.</t>
        </is>
      </c>
      <c r="E165" s="59" t="inlineStr">
        <is>
          <t>Choosing retreat at the first sign of pressure, months before any government mandate.</t>
        </is>
      </c>
      <c r="F165" s="59" t="inlineStr">
        <is>
          <t>Sharp Reversal</t>
        </is>
      </c>
      <c r="G165" s="58" t="inlineStr">
        <is>
          <t>High</t>
        </is>
      </c>
    </row>
    <row r="166" ht="15" customHeight="1" s="42">
      <c r="A166" s="65">
        <f>Company_Master!A166</f>
        <v/>
      </c>
      <c r="B166" s="59" t="inlineStr">
        <is>
          <t>Cut Pride sponsorships under pressure even as its own shareholders showed no appetite for retreat.</t>
        </is>
      </c>
      <c r="C166" s="59" t="inlineStr">
        <is>
          <t>Prior CEI participation and scores; funded LGBTQ+ ERG; Pride event sponsorships (ended Jul 2024); shareholders rejected an anti-DEI proposal 98.7% in Feb 2025 (Fortune).</t>
        </is>
      </c>
      <c r="D166" s="59" t="inlineStr">
        <is>
          <t>Jul 2024: announced it would no longer sponsor 'social or cultural awareness' events incl. Pride and would audit training materials after the Starbuck campaign — HRC docked its CEI score 25 points as one of seven penalized companies.</t>
        </is>
      </c>
      <c r="E166" s="59" t="inlineStr">
        <is>
          <t>Explicitly naming cultural-event sponsorships — Pride included — as the cut.</t>
        </is>
      </c>
      <c r="F166" s="59" t="inlineStr">
        <is>
          <t>Sharp Reversal</t>
        </is>
      </c>
      <c r="G166" s="58" t="inlineStr">
        <is>
          <t>High</t>
        </is>
      </c>
    </row>
    <row r="167" ht="15" customHeight="1" s="42">
      <c r="A167" s="65">
        <f>Company_Master!A167</f>
        <v/>
      </c>
      <c r="B167" s="59" t="inlineStr">
        <is>
          <t>A complete and unusually candid dismantling.</t>
        </is>
      </c>
      <c r="C167" s="59" t="inlineStr">
        <is>
          <t>Years of CEI 100 scores; funded LGBTQ+ BRG; inclusive benefits.</t>
        </is>
      </c>
      <c r="D167" s="59" t="inlineStr">
        <is>
          <t>Company statement: 'we have not operated a DEI function since April 2024, and we do not have a DEI function today. We do not have hiring quotas and we no longer have supplier diversity spend goals' (LiveNOW/Fox tracking).</t>
        </is>
      </c>
      <c r="E167" s="59" t="inlineStr">
        <is>
          <t>The unambiguous on-record confirmation that the entire function is gone.</t>
        </is>
      </c>
      <c r="F167" s="59" t="inlineStr">
        <is>
          <t>Sharp Reversal</t>
        </is>
      </c>
      <c r="G167" s="58" t="inlineStr">
        <is>
          <t>High</t>
        </is>
      </c>
    </row>
    <row r="168" ht="15" customHeight="1" s="42">
      <c r="A168" s="65">
        <f>Company_Master!A168</f>
        <v/>
      </c>
      <c r="B168" s="59" t="inlineStr">
        <is>
          <t>A quiet logistics holder — notable given rival UPS's full dismantling.</t>
        </is>
      </c>
      <c r="C168" s="59" t="inlineStr">
        <is>
          <t>CEI 100 history; funded LGBTQ+ ERG; inclusive benefits; absent from major rollback lists.</t>
        </is>
      </c>
      <c r="D168" s="59" t="inlineStr">
        <is>
          <t>Minimal public engagement; Memphis-based conservatism keeps the profile low.</t>
        </is>
      </c>
      <c r="E168" s="59" t="inlineStr">
        <is>
          <t>No retreat documented while its direct competitor eliminated DEI entirely.</t>
        </is>
      </c>
      <c r="F168" s="59" t="inlineStr">
        <is>
          <t>Stable</t>
        </is>
      </c>
      <c r="G168" s="58" t="inlineStr">
        <is>
          <t>Med</t>
        </is>
      </c>
    </row>
    <row r="169" ht="15" customHeight="1" s="42">
      <c r="A169" s="65">
        <f>Company_Master!A169</f>
        <v/>
      </c>
      <c r="B169" s="59" t="inlineStr">
        <is>
          <t>Programming-level presence without corporate depth.</t>
        </is>
      </c>
      <c r="C169" s="59" t="inlineStr">
        <is>
          <t>LGBTQ+-hosted channels and programming (Radio Andy, OutQ legacy); inclusive policies.</t>
        </is>
      </c>
      <c r="D169" s="59" t="inlineStr">
        <is>
          <t>Minimal corporate engagement or disclosure documented.</t>
        </is>
      </c>
      <c r="E169" s="59" t="inlineStr">
        <is>
          <t>Content without commitments.</t>
        </is>
      </c>
      <c r="F169" s="59" t="inlineStr">
        <is>
          <t>Stable</t>
        </is>
      </c>
      <c r="G169" s="58" t="inlineStr">
        <is>
          <t>Low</t>
        </is>
      </c>
    </row>
    <row r="170" ht="15" customHeight="1" s="42">
      <c r="A170" s="65">
        <f>Company_Master!A170</f>
        <v/>
      </c>
      <c r="B170" s="59" t="inlineStr">
        <is>
          <t>Scores well inside the building while its flagship product attacks the community outside it.</t>
        </is>
      </c>
      <c r="C170" s="59" t="inlineStr">
        <is>
          <t>Participated in HRC's CEI with high scores (90, 2022); funded internal LGBTQ+ ERG; inclusive employee benefits.</t>
        </is>
      </c>
      <c r="D170" s="59" t="inlineStr">
        <is>
          <t>Fox News programming is the most-documented source of anti-trans rhetoric in US media (Media Matters tracking of segments targeting trans people); the gap between internal policy and editorial output is the defining feature — inclusion as HR policy, exclusion as product.</t>
        </is>
      </c>
      <c r="E170" s="59" t="inlineStr">
        <is>
          <t>The contradiction itself: corporate inclusion paired with programming that GLAAD and Media Matters document as anti-LGBTQ+.</t>
        </is>
      </c>
      <c r="F170" s="59" t="inlineStr">
        <is>
          <t>Stable</t>
        </is>
      </c>
      <c r="G170" s="58" t="inlineStr">
        <is>
          <t>High</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K455"/>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41" min="1" max="2"/>
    <col width="40" customWidth="1" style="41" min="3" max="3"/>
    <col width="14" customWidth="1" style="41" min="4" max="4"/>
    <col width="12" customWidth="1" style="41" min="5" max="5"/>
    <col width="9" customWidth="1" style="41" min="6" max="6"/>
    <col width="8" customWidth="1" style="41" min="7" max="7"/>
    <col width="45" customWidth="1" style="41" min="8" max="8"/>
    <col width="18" customWidth="1" style="41" min="9" max="9"/>
    <col width="12" customWidth="1" style="41" min="10" max="10"/>
    <col width="35" customWidth="1" style="41" min="11" max="11"/>
  </cols>
  <sheetData>
    <row r="1" ht="23.25" customHeight="1" s="42">
      <c r="A1" s="49" t="inlineStr">
        <is>
          <t>Company</t>
        </is>
      </c>
      <c r="B1" s="49" t="inlineStr">
        <is>
          <t>Action ID</t>
        </is>
      </c>
      <c r="C1" s="49" t="inlineStr">
        <is>
          <t>Action Description</t>
        </is>
      </c>
      <c r="D1" s="49" t="inlineStr">
        <is>
          <t>Tier</t>
        </is>
      </c>
      <c r="E1" s="49" t="inlineStr">
        <is>
          <t>Polarity</t>
        </is>
      </c>
      <c r="F1" s="49" t="inlineStr">
        <is>
          <t>Points</t>
        </is>
      </c>
      <c r="G1" s="49" t="inlineStr">
        <is>
          <t>Year</t>
        </is>
      </c>
      <c r="H1" s="49" t="inlineStr">
        <is>
          <t>Source URL</t>
        </is>
      </c>
      <c r="I1" s="49" t="inlineStr">
        <is>
          <t>Source Type</t>
        </is>
      </c>
      <c r="J1" s="49" t="inlineStr">
        <is>
          <t>Post-Jan2025?</t>
        </is>
      </c>
      <c r="K1" s="49" t="inlineStr">
        <is>
          <t>Notes</t>
        </is>
      </c>
    </row>
    <row r="2" ht="23.25" customHeight="1" s="42">
      <c r="A2" s="52" t="inlineStr">
        <is>
          <t>Verizon</t>
        </is>
      </c>
      <c r="B2" s="52" t="inlineStr">
        <is>
          <t>p_logo_rainbow</t>
        </is>
      </c>
      <c r="C2" s="52" t="inlineStr">
        <is>
          <t>Annual June rainbow logo/social branding across Verizon channels (through 2024)</t>
        </is>
      </c>
      <c r="D2" s="51" t="inlineStr">
        <is>
          <t>Cosmetic</t>
        </is>
      </c>
      <c r="E2" s="51" t="inlineStr">
        <is>
          <t>Positive</t>
        </is>
      </c>
      <c r="F2" s="51" t="n">
        <v>3</v>
      </c>
      <c r="G2" s="51" t="n">
        <v>2024</v>
      </c>
      <c r="H2" s="52" t="inlineStr">
        <is>
          <t>https://popular.info/p/verizon-said-it-was-fiercely-committed</t>
        </is>
      </c>
      <c r="I2" s="52" t="inlineStr">
        <is>
          <t>News</t>
        </is>
      </c>
      <c r="J2" s="51" t="inlineStr">
        <is>
          <t>No</t>
        </is>
      </c>
      <c r="K2" s="52" t="inlineStr">
        <is>
          <t>Branding discontinued after the 2025 DEI reversal</t>
        </is>
      </c>
    </row>
    <row r="3" ht="23.25" customHeight="1" s="42">
      <c r="A3" s="52" t="inlineStr">
        <is>
          <t>Verizon</t>
        </is>
      </c>
      <c r="B3" s="52" t="inlineStr">
        <is>
          <t>p_generic_post</t>
        </is>
      </c>
      <c r="C3" s="52" t="inlineStr">
        <is>
          <t>Annual Pride Month statements and #Pride social posts</t>
        </is>
      </c>
      <c r="D3" s="51" t="inlineStr">
        <is>
          <t>Cosmetic</t>
        </is>
      </c>
      <c r="E3" s="51" t="inlineStr">
        <is>
          <t>Positive</t>
        </is>
      </c>
      <c r="F3" s="51" t="n">
        <v>2</v>
      </c>
      <c r="G3" s="51" t="n">
        <v>2024</v>
      </c>
      <c r="H3" s="52" t="inlineStr">
        <is>
          <t>https://popular.info/p/verizon-said-it-was-fiercely-committed</t>
        </is>
      </c>
      <c r="I3" s="52" t="inlineStr">
        <is>
          <t>News</t>
        </is>
      </c>
      <c r="J3" s="51" t="inlineStr">
        <is>
          <t>No</t>
        </is>
      </c>
      <c r="K3" s="52" t="inlineStr"/>
    </row>
    <row r="4" ht="23.25" customHeight="1" s="42">
      <c r="A4" s="52" t="inlineStr">
        <is>
          <t>Verizon</t>
        </is>
      </c>
      <c r="B4" s="52" t="inlineStr">
        <is>
          <t>p_flag_display</t>
        </is>
      </c>
      <c r="C4" s="52" t="inlineStr">
        <is>
          <t>Pride flags and displays at Verizon offices during Pride Month (pre-2025)</t>
        </is>
      </c>
      <c r="D4" s="51" t="inlineStr">
        <is>
          <t>Cosmetic</t>
        </is>
      </c>
      <c r="E4" s="51" t="inlineStr">
        <is>
          <t>Positive</t>
        </is>
      </c>
      <c r="F4" s="51" t="n">
        <v>4</v>
      </c>
      <c r="G4" s="51" t="n">
        <v>2024</v>
      </c>
      <c r="H4" s="52" t="inlineStr">
        <is>
          <t>https://popular.info/p/verizon-said-it-was-fiercely-committed</t>
        </is>
      </c>
      <c r="I4" s="52" t="inlineStr">
        <is>
          <t>News</t>
        </is>
      </c>
      <c r="J4" s="51" t="inlineStr">
        <is>
          <t>No</t>
        </is>
      </c>
      <c r="K4" s="52" t="inlineStr"/>
    </row>
    <row r="5" ht="23.25" customHeight="1" s="42">
      <c r="A5" s="52" t="inlineStr">
        <is>
          <t>Verizon</t>
        </is>
      </c>
      <c r="B5" s="52" t="inlineStr">
        <is>
          <t>p_parade_sponsor</t>
        </is>
      </c>
      <c r="C5" s="52" t="inlineStr">
        <is>
          <t>Sponsorship of Pride events/parades in multiple markets (pre-2025)</t>
        </is>
      </c>
      <c r="D5" s="51" t="inlineStr">
        <is>
          <t>Civic</t>
        </is>
      </c>
      <c r="E5" s="51" t="inlineStr">
        <is>
          <t>Positive</t>
        </is>
      </c>
      <c r="F5" s="51" t="n">
        <v>12</v>
      </c>
      <c r="G5" s="51" t="n">
        <v>2024</v>
      </c>
      <c r="H5" s="52" t="inlineStr">
        <is>
          <t>https://theintercept.com/2025/05/15/trump-dei-verizon-fcc/</t>
        </is>
      </c>
      <c r="I5" s="52" t="inlineStr">
        <is>
          <t>News</t>
        </is>
      </c>
      <c r="J5" s="51" t="inlineStr">
        <is>
          <t>No</t>
        </is>
      </c>
      <c r="K5" s="52" t="inlineStr">
        <is>
          <t>FCC commitments included ceasing certain corporate sponsorships</t>
        </is>
      </c>
    </row>
    <row r="6" ht="23.25" customHeight="1" s="42">
      <c r="A6" s="52" t="inlineStr">
        <is>
          <t>Verizon</t>
        </is>
      </c>
      <c r="B6" s="52" t="inlineStr">
        <is>
          <t>p_erg_support</t>
        </is>
      </c>
      <c r="C6" s="52" t="inlineStr">
        <is>
          <t>Funded LGBTQ+ employee resource group (Prism) with company support</t>
        </is>
      </c>
      <c r="D6" s="51" t="inlineStr">
        <is>
          <t>Civic</t>
        </is>
      </c>
      <c r="E6" s="51" t="inlineStr">
        <is>
          <t>Positive</t>
        </is>
      </c>
      <c r="F6" s="51" t="n">
        <v>15</v>
      </c>
      <c r="G6" s="51" t="n">
        <v>2024</v>
      </c>
      <c r="H6" s="52" t="inlineStr">
        <is>
          <t>https://popular.info/p/verizon-said-it-was-fiercely-committed</t>
        </is>
      </c>
      <c r="I6" s="52" t="inlineStr">
        <is>
          <t>News</t>
        </is>
      </c>
      <c r="J6" s="51" t="inlineStr">
        <is>
          <t>No</t>
        </is>
      </c>
      <c r="K6" s="52" t="inlineStr"/>
    </row>
    <row r="7" ht="23.25" customHeight="1" s="42">
      <c r="A7" s="52" t="inlineStr">
        <is>
          <t>Verizon</t>
        </is>
      </c>
      <c r="B7" s="52" t="inlineStr">
        <is>
          <t>n_dei_removal</t>
        </is>
      </c>
      <c r="C7" s="52" t="inlineStr">
        <is>
          <t>Pledged to FCC to end DEI policies; scrubbed DEI language from trainings, web pages and public materials</t>
        </is>
      </c>
      <c r="D7" s="51" t="inlineStr">
        <is>
          <t>—</t>
        </is>
      </c>
      <c r="E7" s="51" t="inlineStr">
        <is>
          <t>Negative</t>
        </is>
      </c>
      <c r="F7" s="51" t="n">
        <v>-32</v>
      </c>
      <c r="G7" s="51" t="n">
        <v>2025</v>
      </c>
      <c r="H7" s="52" t="inlineStr">
        <is>
          <t>https://www.npr.org/2025/05/19/nx-s1-5402863/verizon-fcc-frontier-dei-trump</t>
        </is>
      </c>
      <c r="I7" s="52" t="inlineStr">
        <is>
          <t>News</t>
        </is>
      </c>
      <c r="J7" s="51" t="inlineStr">
        <is>
          <t>Yes</t>
        </is>
      </c>
      <c r="K7" s="52" t="inlineStr">
        <is>
          <t>FCC approved $20B Frontier deal one day later</t>
        </is>
      </c>
    </row>
    <row r="8" ht="23.25" customHeight="1" s="42">
      <c r="A8" s="52" t="inlineStr">
        <is>
          <t>Verizon</t>
        </is>
      </c>
      <c r="B8" s="52" t="inlineStr">
        <is>
          <t>n_pride_retreat</t>
        </is>
      </c>
      <c r="C8" s="52" t="inlineStr">
        <is>
          <t>Retreated from Pride/diversity sponsorships and deleted prior DEI commitments incl. CEO's 2020 diversity statement</t>
        </is>
      </c>
      <c r="D8" s="51" t="inlineStr">
        <is>
          <t>—</t>
        </is>
      </c>
      <c r="E8" s="51" t="inlineStr">
        <is>
          <t>Negative</t>
        </is>
      </c>
      <c r="F8" s="51" t="n">
        <v>-22</v>
      </c>
      <c r="G8" s="51" t="n">
        <v>2025</v>
      </c>
      <c r="H8" s="52" t="inlineStr">
        <is>
          <t>https://theintercept.com/2025/05/15/trump-dei-verizon-fcc/</t>
        </is>
      </c>
      <c r="I8" s="52" t="inlineStr">
        <is>
          <t>News</t>
        </is>
      </c>
      <c r="J8" s="51" t="inlineStr">
        <is>
          <t>Yes</t>
        </is>
      </c>
      <c r="K8" s="52" t="inlineStr">
        <is>
          <t>Archived 'before' state: https://web.archive.org/web/2024/https://www.verizon.com/about/our-company/diversity-and-inclusion</t>
        </is>
      </c>
    </row>
    <row r="9" ht="23.25" customHeight="1" s="42">
      <c r="A9" s="52" t="inlineStr">
        <is>
          <t>AT&amp;T</t>
        </is>
      </c>
      <c r="B9" s="52" t="inlineStr">
        <is>
          <t>p_logo_rainbow</t>
        </is>
      </c>
      <c r="C9" s="52" t="inlineStr">
        <is>
          <t>Annual rainbow branding ('Turn Up The Love' Pride campaigns)</t>
        </is>
      </c>
      <c r="D9" s="51" t="inlineStr">
        <is>
          <t>Cosmetic</t>
        </is>
      </c>
      <c r="E9" s="51" t="inlineStr">
        <is>
          <t>Positive</t>
        </is>
      </c>
      <c r="F9" s="51" t="n">
        <v>3</v>
      </c>
      <c r="G9" s="51" t="n">
        <v>2023</v>
      </c>
      <c r="H9" s="52" t="inlineStr">
        <is>
          <t>https://web.archive.org/web/2023/https://about.att.com/pages/diversity</t>
        </is>
      </c>
      <c r="I9" s="52" t="inlineStr">
        <is>
          <t>Archive</t>
        </is>
      </c>
      <c r="J9" s="51" t="inlineStr">
        <is>
          <t>No</t>
        </is>
      </c>
      <c r="K9" s="52" t="inlineStr"/>
    </row>
    <row r="10" ht="23.25" customHeight="1" s="42">
      <c r="A10" s="52" t="inlineStr">
        <is>
          <t>AT&amp;T</t>
        </is>
      </c>
      <c r="B10" s="52" t="inlineStr">
        <is>
          <t>p_generic_post</t>
        </is>
      </c>
      <c r="C10" s="52" t="inlineStr">
        <is>
          <t>Annual Pride Month statements and posts</t>
        </is>
      </c>
      <c r="D10" s="51" t="inlineStr">
        <is>
          <t>Cosmetic</t>
        </is>
      </c>
      <c r="E10" s="51" t="inlineStr">
        <is>
          <t>Positive</t>
        </is>
      </c>
      <c r="F10" s="51" t="n">
        <v>2</v>
      </c>
      <c r="G10" s="51" t="n">
        <v>2024</v>
      </c>
      <c r="H10" s="52" t="inlineStr">
        <is>
          <t>https://web.archive.org/web/2024/https://about.att.com/pages/diversity</t>
        </is>
      </c>
      <c r="I10" s="52" t="inlineStr">
        <is>
          <t>Archive</t>
        </is>
      </c>
      <c r="J10" s="51" t="inlineStr">
        <is>
          <t>No</t>
        </is>
      </c>
      <c r="K10" s="52" t="inlineStr"/>
    </row>
    <row r="11" ht="23.25" customHeight="1" s="42">
      <c r="A11" s="52" t="inlineStr">
        <is>
          <t>AT&amp;T</t>
        </is>
      </c>
      <c r="B11" s="52" t="inlineStr">
        <is>
          <t>p_parade_sponsor</t>
        </is>
      </c>
      <c r="C11" s="52" t="inlineStr">
        <is>
          <t>Long-running sponsorship of Pride events incl. Dallas Pride and other markets</t>
        </is>
      </c>
      <c r="D11" s="51" t="inlineStr">
        <is>
          <t>Civic</t>
        </is>
      </c>
      <c r="E11" s="51" t="inlineStr">
        <is>
          <t>Positive</t>
        </is>
      </c>
      <c r="F11" s="51" t="n">
        <v>12</v>
      </c>
      <c r="G11" s="51" t="n">
        <v>2023</v>
      </c>
      <c r="H11" s="52" t="inlineStr">
        <is>
          <t>https://web.archive.org/web/2023/https://about.att.com/pages/diversity</t>
        </is>
      </c>
      <c r="I11" s="52" t="inlineStr">
        <is>
          <t>Archive</t>
        </is>
      </c>
      <c r="J11" s="51" t="inlineStr">
        <is>
          <t>No</t>
        </is>
      </c>
      <c r="K11" s="52" t="inlineStr"/>
    </row>
    <row r="12" ht="23.25" customHeight="1" s="42">
      <c r="A12" s="52" t="inlineStr">
        <is>
          <t>AT&amp;T</t>
        </is>
      </c>
      <c r="B12" s="52" t="inlineStr">
        <is>
          <t>p_erg_support</t>
        </is>
      </c>
      <c r="C12" s="52" t="inlineStr">
        <is>
          <t>LEAGUE at AT&amp;T — LGBTQ+ ERG founded 1987, one of the oldest in corporate America, company-funded</t>
        </is>
      </c>
      <c r="D12" s="51" t="inlineStr">
        <is>
          <t>Civic</t>
        </is>
      </c>
      <c r="E12" s="51" t="inlineStr">
        <is>
          <t>Positive</t>
        </is>
      </c>
      <c r="F12" s="51" t="n">
        <v>15</v>
      </c>
      <c r="G12" s="51" t="n">
        <v>2024</v>
      </c>
      <c r="H12" s="52" t="inlineStr">
        <is>
          <t>https://www.cnn.com/2025/12/02/business/dei-at-and-t-mobile-fcc</t>
        </is>
      </c>
      <c r="I12" s="52" t="inlineStr">
        <is>
          <t>News</t>
        </is>
      </c>
      <c r="J12" s="51" t="inlineStr">
        <is>
          <t>No</t>
        </is>
      </c>
      <c r="K12" s="52" t="inlineStr"/>
    </row>
    <row r="13" ht="23.25" customHeight="1" s="42">
      <c r="A13" s="52" t="inlineStr">
        <is>
          <t>AT&amp;T</t>
        </is>
      </c>
      <c r="B13" s="52" t="inlineStr">
        <is>
          <t>n_pride_retreat</t>
        </is>
      </c>
      <c r="C13" s="52" t="inlineStr">
        <is>
          <t>Stopped HRC CEI participation and ceased funding some LGBTQ+ organizations</t>
        </is>
      </c>
      <c r="D13" s="51" t="inlineStr">
        <is>
          <t>—</t>
        </is>
      </c>
      <c r="E13" s="51" t="inlineStr">
        <is>
          <t>Negative</t>
        </is>
      </c>
      <c r="F13" s="51" t="n">
        <v>-22</v>
      </c>
      <c r="G13" s="51" t="n">
        <v>2025</v>
      </c>
      <c r="H13" s="52" t="inlineStr">
        <is>
          <t>https://www.cnn.com/2025/12/02/business/dei-at-and-t-mobile-fcc</t>
        </is>
      </c>
      <c r="I13" s="52" t="inlineStr">
        <is>
          <t>News</t>
        </is>
      </c>
      <c r="J13" s="51" t="inlineStr">
        <is>
          <t>Yes</t>
        </is>
      </c>
      <c r="K13" s="52" t="inlineStr"/>
    </row>
    <row r="14" ht="23.25" customHeight="1" s="42">
      <c r="A14" s="52" t="inlineStr">
        <is>
          <t>AT&amp;T</t>
        </is>
      </c>
      <c r="B14" s="52" t="inlineStr">
        <is>
          <t>n_dei_removal</t>
        </is>
      </c>
      <c r="C14" s="52" t="inlineStr">
        <is>
          <t>Dec 1, 2025 FCC filing committing to end DEI programs; FCC approved pending transaction days later</t>
        </is>
      </c>
      <c r="D14" s="51" t="inlineStr">
        <is>
          <t>—</t>
        </is>
      </c>
      <c r="E14" s="51" t="inlineStr">
        <is>
          <t>Negative</t>
        </is>
      </c>
      <c r="F14" s="51" t="n">
        <v>-32</v>
      </c>
      <c r="G14" s="51" t="n">
        <v>2025</v>
      </c>
      <c r="H14" s="52" t="inlineStr">
        <is>
          <t>https://www.esgdive.com/news/att-drops-dei-gets-1b-acquisition-of-uscellular-greenlit-fcc/807309/</t>
        </is>
      </c>
      <c r="I14" s="52" t="inlineStr">
        <is>
          <t>News</t>
        </is>
      </c>
      <c r="J14" s="51" t="inlineStr">
        <is>
          <t>Yes</t>
        </is>
      </c>
      <c r="K14" s="52" t="inlineStr">
        <is>
          <t>Archived before-state: https://web.archive.org/web/2024/https://about.att.com/pages/diversity</t>
        </is>
      </c>
    </row>
    <row r="15" ht="23.25" customHeight="1" s="42">
      <c r="A15" s="52" t="inlineStr">
        <is>
          <t>T-Mobile</t>
        </is>
      </c>
      <c r="B15" s="52" t="inlineStr">
        <is>
          <t>p_logo_rainbow</t>
        </is>
      </c>
      <c r="C15" s="52" t="inlineStr">
        <is>
          <t>Annual rainbow/magenta Pride branding across social channels</t>
        </is>
      </c>
      <c r="D15" s="51" t="inlineStr">
        <is>
          <t>Cosmetic</t>
        </is>
      </c>
      <c r="E15" s="51" t="inlineStr">
        <is>
          <t>Positive</t>
        </is>
      </c>
      <c r="F15" s="51" t="n">
        <v>3</v>
      </c>
      <c r="G15" s="51" t="n">
        <v>2024</v>
      </c>
      <c r="H15" s="52" t="inlineStr">
        <is>
          <t>https://web.archive.org/web/2024/https://www.t-mobile.com/responsibility/diversity-equity-inclusion</t>
        </is>
      </c>
      <c r="I15" s="52" t="inlineStr">
        <is>
          <t>Archive</t>
        </is>
      </c>
      <c r="J15" s="51" t="inlineStr">
        <is>
          <t>No</t>
        </is>
      </c>
      <c r="K15" s="52" t="inlineStr"/>
    </row>
    <row r="16" ht="23.25" customHeight="1" s="42">
      <c r="A16" s="52" t="inlineStr">
        <is>
          <t>T-Mobile</t>
        </is>
      </c>
      <c r="B16" s="52" t="inlineStr">
        <is>
          <t>p_generic_post</t>
        </is>
      </c>
      <c r="C16" s="52" t="inlineStr">
        <is>
          <t>Annual Pride Month posts and statements</t>
        </is>
      </c>
      <c r="D16" s="51" t="inlineStr">
        <is>
          <t>Cosmetic</t>
        </is>
      </c>
      <c r="E16" s="51" t="inlineStr">
        <is>
          <t>Positive</t>
        </is>
      </c>
      <c r="F16" s="51" t="n">
        <v>2</v>
      </c>
      <c r="G16" s="51" t="n">
        <v>2024</v>
      </c>
      <c r="H16" s="52" t="inlineStr">
        <is>
          <t>https://web.archive.org/web/2024/https://www.t-mobile.com/responsibility/diversity-equity-inclusion</t>
        </is>
      </c>
      <c r="I16" s="52" t="inlineStr">
        <is>
          <t>Archive</t>
        </is>
      </c>
      <c r="J16" s="51" t="inlineStr">
        <is>
          <t>No</t>
        </is>
      </c>
      <c r="K16" s="52" t="inlineStr"/>
    </row>
    <row r="17" ht="23.25" customHeight="1" s="42">
      <c r="A17" s="52" t="inlineStr">
        <is>
          <t>T-Mobile</t>
        </is>
      </c>
      <c r="B17" s="52" t="inlineStr">
        <is>
          <t>p_parade_sponsor</t>
        </is>
      </c>
      <c r="C17" s="52" t="inlineStr">
        <is>
          <t>Sponsorship of Pride events in multiple markets (pre-2025)</t>
        </is>
      </c>
      <c r="D17" s="51" t="inlineStr">
        <is>
          <t>Civic</t>
        </is>
      </c>
      <c r="E17" s="51" t="inlineStr">
        <is>
          <t>Positive</t>
        </is>
      </c>
      <c r="F17" s="51" t="n">
        <v>12</v>
      </c>
      <c r="G17" s="51" t="n">
        <v>2024</v>
      </c>
      <c r="H17" s="52" t="inlineStr">
        <is>
          <t>https://web.archive.org/web/2024/https://www.t-mobile.com/responsibility/diversity-equity-inclusion</t>
        </is>
      </c>
      <c r="I17" s="52" t="inlineStr">
        <is>
          <t>Archive</t>
        </is>
      </c>
      <c r="J17" s="51" t="inlineStr">
        <is>
          <t>No</t>
        </is>
      </c>
      <c r="K17" s="52" t="inlineStr"/>
    </row>
    <row r="18" ht="23.25" customHeight="1" s="42">
      <c r="A18" s="52" t="inlineStr">
        <is>
          <t>T-Mobile</t>
        </is>
      </c>
      <c r="B18" s="52" t="inlineStr">
        <is>
          <t>p_erg_support</t>
        </is>
      </c>
      <c r="C18" s="52" t="inlineStr">
        <is>
          <t>Funded LGBTQ+ employee resource group (Pride &amp; Allies network)</t>
        </is>
      </c>
      <c r="D18" s="51" t="inlineStr">
        <is>
          <t>Civic</t>
        </is>
      </c>
      <c r="E18" s="51" t="inlineStr">
        <is>
          <t>Positive</t>
        </is>
      </c>
      <c r="F18" s="51" t="n">
        <v>15</v>
      </c>
      <c r="G18" s="51" t="n">
        <v>2024</v>
      </c>
      <c r="H18" s="52" t="inlineStr">
        <is>
          <t>https://web.archive.org/web/2024/https://www.t-mobile.com/responsibility/diversity-equity-inclusion</t>
        </is>
      </c>
      <c r="I18" s="52" t="inlineStr">
        <is>
          <t>Archive</t>
        </is>
      </c>
      <c r="J18" s="51" t="inlineStr">
        <is>
          <t>No</t>
        </is>
      </c>
      <c r="K18" s="52" t="inlineStr"/>
    </row>
    <row r="19" ht="23.25" customHeight="1" s="42">
      <c r="A19" s="52" t="inlineStr">
        <is>
          <t>T-Mobile</t>
        </is>
      </c>
      <c r="B19" s="52" t="inlineStr">
        <is>
          <t>n_dei_removal</t>
        </is>
      </c>
      <c r="C19" s="52" t="inlineStr">
        <is>
          <t>Letter to FCC ending DEI programs 'not just in name, but in substance'; DEI scrubbed from sites and trainings</t>
        </is>
      </c>
      <c r="D19" s="51" t="inlineStr">
        <is>
          <t>—</t>
        </is>
      </c>
      <c r="E19" s="51" t="inlineStr">
        <is>
          <t>Negative</t>
        </is>
      </c>
      <c r="F19" s="51" t="n">
        <v>-32</v>
      </c>
      <c r="G19" s="51" t="n">
        <v>2025</v>
      </c>
      <c r="H19" s="52" t="inlineStr">
        <is>
          <t>https://deadline.com/2025/07/t-mobile-dei-fcc-brendan-carr-1236453389/</t>
        </is>
      </c>
      <c r="I19" s="52" t="inlineStr">
        <is>
          <t>News</t>
        </is>
      </c>
      <c r="J19" s="51" t="inlineStr">
        <is>
          <t>Yes</t>
        </is>
      </c>
      <c r="K19" s="52" t="inlineStr">
        <is>
          <t>UScellular and Metronet approvals followed within days</t>
        </is>
      </c>
    </row>
    <row r="20" ht="23.25" customHeight="1" s="42">
      <c r="A20" s="52" t="inlineStr">
        <is>
          <t>T-Mobile</t>
        </is>
      </c>
      <c r="B20" s="52" t="inlineStr">
        <is>
          <t>n_pride_retreat</t>
        </is>
      </c>
      <c r="C20" s="52" t="inlineStr">
        <is>
          <t>Public renunciation of prior inclusion commitments under FCC pressure</t>
        </is>
      </c>
      <c r="D20" s="51" t="inlineStr">
        <is>
          <t>—</t>
        </is>
      </c>
      <c r="E20" s="51" t="inlineStr">
        <is>
          <t>Negative</t>
        </is>
      </c>
      <c r="F20" s="51" t="n">
        <v>-22</v>
      </c>
      <c r="G20" s="51" t="n">
        <v>2025</v>
      </c>
      <c r="H20" s="52" t="inlineStr">
        <is>
          <t>https://fortune.com/2025/07/17/trump-administration-anti-dei-movement-new-ally-fcc-t-mobile-paramount-verizon/</t>
        </is>
      </c>
      <c r="I20" s="52" t="inlineStr">
        <is>
          <t>News</t>
        </is>
      </c>
      <c r="J20" s="51" t="inlineStr">
        <is>
          <t>Yes</t>
        </is>
      </c>
      <c r="K20" s="52" t="inlineStr">
        <is>
          <t>Archived before-state: https://web.archive.org/web/2024/https://www.t-mobile.com/responsibility/diversity-equity-inclusion</t>
        </is>
      </c>
    </row>
    <row r="21" ht="23.25" customHeight="1" s="42">
      <c r="A21" s="52" t="inlineStr">
        <is>
          <t>Comcast / Xfinity</t>
        </is>
      </c>
      <c r="B21" s="52" t="inlineStr">
        <is>
          <t>p_logo_rainbow</t>
        </is>
      </c>
      <c r="C21" s="52" t="inlineStr">
        <is>
          <t>Annual Pride branding and Xfinity Pride content hub</t>
        </is>
      </c>
      <c r="D21" s="51" t="inlineStr">
        <is>
          <t>Cosmetic</t>
        </is>
      </c>
      <c r="E21" s="51" t="inlineStr">
        <is>
          <t>Positive</t>
        </is>
      </c>
      <c r="F21" s="51" t="n">
        <v>3</v>
      </c>
      <c r="G21" s="51" t="n">
        <v>2024</v>
      </c>
      <c r="H21" s="52" t="inlineStr">
        <is>
          <t>https://web.archive.org/web/2024/https://corporate.comcast.com/values/diversity-equity-inclusion</t>
        </is>
      </c>
      <c r="I21" s="52" t="inlineStr">
        <is>
          <t>Archive</t>
        </is>
      </c>
      <c r="J21" s="51" t="inlineStr">
        <is>
          <t>No</t>
        </is>
      </c>
      <c r="K21" s="52" t="inlineStr"/>
    </row>
    <row r="22" ht="23.25" customHeight="1" s="42">
      <c r="A22" s="52" t="inlineStr">
        <is>
          <t>Comcast / Xfinity</t>
        </is>
      </c>
      <c r="B22" s="52" t="inlineStr">
        <is>
          <t>p_generic_post</t>
        </is>
      </c>
      <c r="C22" s="52" t="inlineStr">
        <is>
          <t>Annual Pride Month posts and statements</t>
        </is>
      </c>
      <c r="D22" s="51" t="inlineStr">
        <is>
          <t>Cosmetic</t>
        </is>
      </c>
      <c r="E22" s="51" t="inlineStr">
        <is>
          <t>Positive</t>
        </is>
      </c>
      <c r="F22" s="51" t="n">
        <v>2</v>
      </c>
      <c r="G22" s="51" t="n">
        <v>2024</v>
      </c>
      <c r="H22" s="52" t="inlineStr">
        <is>
          <t>https://web.archive.org/web/2024/https://corporate.comcast.com/values/diversity-equity-inclusion</t>
        </is>
      </c>
      <c r="I22" s="52" t="inlineStr">
        <is>
          <t>Archive</t>
        </is>
      </c>
      <c r="J22" s="51" t="inlineStr">
        <is>
          <t>No</t>
        </is>
      </c>
      <c r="K22" s="52" t="inlineStr"/>
    </row>
    <row r="23" ht="23.25" customHeight="1" s="42">
      <c r="A23" s="52" t="inlineStr">
        <is>
          <t>Comcast / Xfinity</t>
        </is>
      </c>
      <c r="B23" s="52" t="inlineStr">
        <is>
          <t>p_parade_sponsor</t>
        </is>
      </c>
      <c r="C23" s="52" t="inlineStr">
        <is>
          <t>Decades-long San Francisco Pride sponsorship (ended 2025); continued Silicon Valley/Oakland Pride 2025</t>
        </is>
      </c>
      <c r="D23" s="51" t="inlineStr">
        <is>
          <t>Civic</t>
        </is>
      </c>
      <c r="E23" s="51" t="inlineStr">
        <is>
          <t>Positive</t>
        </is>
      </c>
      <c r="F23" s="51" t="n">
        <v>12</v>
      </c>
      <c r="G23" s="51" t="n">
        <v>2024</v>
      </c>
      <c r="H23" s="52" t="inlineStr">
        <is>
          <t>https://www.npr.org/2025/03/24/nx-s1-5334685/san-francisco-pride-parade-loses-several-corporate-sponsors-organizers-say</t>
        </is>
      </c>
      <c r="I23" s="52" t="inlineStr">
        <is>
          <t>News</t>
        </is>
      </c>
      <c r="J23" s="51" t="inlineStr">
        <is>
          <t>No</t>
        </is>
      </c>
      <c r="K23" s="52" t="inlineStr"/>
    </row>
    <row r="24" ht="23.25" customHeight="1" s="42">
      <c r="A24" s="52" t="inlineStr">
        <is>
          <t>Comcast / Xfinity</t>
        </is>
      </c>
      <c r="B24" s="52" t="inlineStr">
        <is>
          <t>p_erg_support</t>
        </is>
      </c>
      <c r="C24" s="52" t="inlineStr">
        <is>
          <t>Funded LGBTQ+ ERG and workplace inclusion programs</t>
        </is>
      </c>
      <c r="D24" s="51" t="inlineStr">
        <is>
          <t>Civic</t>
        </is>
      </c>
      <c r="E24" s="51" t="inlineStr">
        <is>
          <t>Positive</t>
        </is>
      </c>
      <c r="F24" s="51" t="n">
        <v>15</v>
      </c>
      <c r="G24" s="51" t="n">
        <v>2024</v>
      </c>
      <c r="H24" s="52" t="inlineStr">
        <is>
          <t>https://web.archive.org/web/2024/https://corporate.comcast.com/values/diversity-equity-inclusion</t>
        </is>
      </c>
      <c r="I24" s="52" t="inlineStr">
        <is>
          <t>Archive</t>
        </is>
      </c>
      <c r="J24" s="51" t="inlineStr">
        <is>
          <t>No</t>
        </is>
      </c>
      <c r="K24" s="52" t="inlineStr"/>
    </row>
    <row r="25" ht="23.25" customHeight="1" s="42">
      <c r="A25" s="52" t="inlineStr">
        <is>
          <t>Comcast / Xfinity</t>
        </is>
      </c>
      <c r="B25" s="52" t="inlineStr">
        <is>
          <t>n_pride_retreat</t>
        </is>
      </c>
      <c r="C25" s="52" t="inlineStr">
        <is>
          <t>Withdrew San Francisco Pride sponsorship after decades; declined to comment on reasons</t>
        </is>
      </c>
      <c r="D25" s="51" t="inlineStr">
        <is>
          <t>—</t>
        </is>
      </c>
      <c r="E25" s="51" t="inlineStr">
        <is>
          <t>Negative</t>
        </is>
      </c>
      <c r="F25" s="51" t="n">
        <v>-22</v>
      </c>
      <c r="G25" s="51" t="n">
        <v>2025</v>
      </c>
      <c r="H25" s="52" t="inlineStr">
        <is>
          <t>https://www.advocate.com/news/companies-that-stopped-sponsoring-pride</t>
        </is>
      </c>
      <c r="I25" s="52" t="inlineStr">
        <is>
          <t>News</t>
        </is>
      </c>
      <c r="J25" s="51" t="inlineStr">
        <is>
          <t>Yes</t>
        </is>
      </c>
      <c r="K25" s="52" t="inlineStr">
        <is>
          <t>FCC opened probe into Comcast DEI Feb 2025</t>
        </is>
      </c>
    </row>
    <row r="26" ht="23.25" customHeight="1" s="42">
      <c r="A26" s="52" t="inlineStr">
        <is>
          <t>Apple</t>
        </is>
      </c>
      <c r="B26" s="52" t="inlineStr">
        <is>
          <t>p_logo_rainbow</t>
        </is>
      </c>
      <c r="C26" s="52" t="inlineStr">
        <is>
          <t>Annual Pride branding incl. rainbow Apple logos at retail and Pride watch faces</t>
        </is>
      </c>
      <c r="D26" s="51" t="inlineStr">
        <is>
          <t>Cosmetic</t>
        </is>
      </c>
      <c r="E26" s="51" t="inlineStr">
        <is>
          <t>Positive</t>
        </is>
      </c>
      <c r="F26" s="51" t="n">
        <v>3</v>
      </c>
      <c r="G26" s="51" t="n">
        <v>2025</v>
      </c>
      <c r="H26" s="52" t="inlineStr">
        <is>
          <t>https://www.apple.com/newsroom/2024/05/apple-introduces-new-pride-collection/</t>
        </is>
      </c>
      <c r="I26" s="52" t="inlineStr">
        <is>
          <t>Company</t>
        </is>
      </c>
      <c r="J26" s="51" t="inlineStr">
        <is>
          <t>No</t>
        </is>
      </c>
      <c r="K26" s="52" t="inlineStr"/>
    </row>
    <row r="27" ht="23.25" customHeight="1" s="42">
      <c r="A27" s="52" t="inlineStr">
        <is>
          <t>Apple</t>
        </is>
      </c>
      <c r="B27" s="52" t="inlineStr">
        <is>
          <t>p_merch_collection</t>
        </is>
      </c>
      <c r="C27" s="52" t="inlineStr">
        <is>
          <t>Apple Watch Pride Edition band released annually since 2016 (incl. 2025 edition)</t>
        </is>
      </c>
      <c r="D27" s="51" t="inlineStr">
        <is>
          <t>Commercial</t>
        </is>
      </c>
      <c r="E27" s="51" t="inlineStr">
        <is>
          <t>Positive</t>
        </is>
      </c>
      <c r="F27" s="51" t="n">
        <v>6</v>
      </c>
      <c r="G27" s="51" t="n">
        <v>2025</v>
      </c>
      <c r="H27" s="52" t="inlineStr">
        <is>
          <t>https://www.apple.com/newsroom/2024/05/apple-introduces-new-pride-collection/</t>
        </is>
      </c>
      <c r="I27" s="52" t="inlineStr">
        <is>
          <t>Company</t>
        </is>
      </c>
      <c r="J27" s="51" t="inlineStr">
        <is>
          <t>Yes</t>
        </is>
      </c>
      <c r="K27" s="52" t="inlineStr">
        <is>
          <t>2025 edition released despite political climate</t>
        </is>
      </c>
    </row>
    <row r="28" ht="23.25" customHeight="1" s="42">
      <c r="A28" s="52" t="inlineStr">
        <is>
          <t>Apple</t>
        </is>
      </c>
      <c r="B28" s="52" t="inlineStr">
        <is>
          <t>p_parade_sponsor</t>
        </is>
      </c>
      <c r="C28" s="52" t="inlineStr">
        <is>
          <t>San Francisco Pride sponsorship and employee contingent</t>
        </is>
      </c>
      <c r="D28" s="51" t="inlineStr">
        <is>
          <t>Civic</t>
        </is>
      </c>
      <c r="E28" s="51" t="inlineStr">
        <is>
          <t>Positive</t>
        </is>
      </c>
      <c r="F28" s="51" t="n">
        <v>12</v>
      </c>
      <c r="G28" s="51" t="n">
        <v>2024</v>
      </c>
      <c r="H28" s="52" t="inlineStr">
        <is>
          <t>https://web.archive.org/web/2024/https://www.apple.com/diversity/</t>
        </is>
      </c>
      <c r="I28" s="52" t="inlineStr">
        <is>
          <t>Archive</t>
        </is>
      </c>
      <c r="J28" s="51" t="inlineStr">
        <is>
          <t>No</t>
        </is>
      </c>
      <c r="K28" s="52" t="inlineStr"/>
    </row>
    <row r="29" ht="23.25" customHeight="1" s="42">
      <c r="A29" s="52" t="inlineStr">
        <is>
          <t>Apple</t>
        </is>
      </c>
      <c r="B29" s="52" t="inlineStr">
        <is>
          <t>p_erg_support</t>
        </is>
      </c>
      <c r="C29" s="52" t="inlineStr">
        <is>
          <t>Funded Pride@Apple employee resource group</t>
        </is>
      </c>
      <c r="D29" s="51" t="inlineStr">
        <is>
          <t>Civic</t>
        </is>
      </c>
      <c r="E29" s="51" t="inlineStr">
        <is>
          <t>Positive</t>
        </is>
      </c>
      <c r="F29" s="51" t="n">
        <v>15</v>
      </c>
      <c r="G29" s="51" t="n">
        <v>2024</v>
      </c>
      <c r="H29" s="52" t="inlineStr">
        <is>
          <t>https://web.archive.org/web/2024/https://www.apple.com/diversity/</t>
        </is>
      </c>
      <c r="I29" s="52" t="inlineStr">
        <is>
          <t>Archive</t>
        </is>
      </c>
      <c r="J29" s="51" t="inlineStr">
        <is>
          <t>No</t>
        </is>
      </c>
      <c r="K29" s="52" t="inlineStr"/>
    </row>
    <row r="30" ht="23.25" customHeight="1" s="42">
      <c r="A30" s="52" t="inlineStr">
        <is>
          <t>Apple</t>
        </is>
      </c>
      <c r="B30" s="52" t="inlineStr">
        <is>
          <t>p_dei_explicit</t>
        </is>
      </c>
      <c r="C30" s="52" t="inlineStr">
        <is>
          <t>Inclusion &amp; diversity commitments naming LGBTQ+ inclusion remain published on apple.com through 2025</t>
        </is>
      </c>
      <c r="D30" s="51" t="inlineStr">
        <is>
          <t>Structural</t>
        </is>
      </c>
      <c r="E30" s="51" t="inlineStr">
        <is>
          <t>Positive</t>
        </is>
      </c>
      <c r="F30" s="51" t="n">
        <v>20</v>
      </c>
      <c r="G30" s="51" t="n">
        <v>2025</v>
      </c>
      <c r="H30" s="52" t="inlineStr">
        <is>
          <t>https://www.apple.com/diversity/</t>
        </is>
      </c>
      <c r="I30" s="52" t="inlineStr">
        <is>
          <t>Company</t>
        </is>
      </c>
      <c r="J30" s="51" t="inlineStr">
        <is>
          <t>Yes</t>
        </is>
      </c>
      <c r="K30" s="52" t="inlineStr">
        <is>
          <t>Maintained while peers scrubbed</t>
        </is>
      </c>
    </row>
    <row r="31" ht="23.25" customHeight="1" s="42">
      <c r="A31" s="52" t="inlineStr">
        <is>
          <t>Apple</t>
        </is>
      </c>
      <c r="B31" s="52" t="inlineStr">
        <is>
          <t>p_benefits</t>
        </is>
      </c>
      <c r="C31" s="52" t="inlineStr">
        <is>
          <t>Comprehensive partner and gender-affirming healthcare benefits (CEI-verified)</t>
        </is>
      </c>
      <c r="D31" s="51" t="inlineStr">
        <is>
          <t>Structural</t>
        </is>
      </c>
      <c r="E31" s="51" t="inlineStr">
        <is>
          <t>Positive</t>
        </is>
      </c>
      <c r="F31" s="51" t="n">
        <v>22</v>
      </c>
      <c r="G31" s="51" t="n">
        <v>2025</v>
      </c>
      <c r="H31" s="52" t="inlineStr">
        <is>
          <t>https://reports.hrc.org/corporate-equality-index-2025</t>
        </is>
      </c>
      <c r="I31" s="52" t="inlineStr">
        <is>
          <t>HRC</t>
        </is>
      </c>
      <c r="J31" s="51" t="inlineStr">
        <is>
          <t>No</t>
        </is>
      </c>
      <c r="K31" s="52" t="inlineStr"/>
    </row>
    <row r="32" ht="23.25" customHeight="1" s="42">
      <c r="A32" s="52" t="inlineStr">
        <is>
          <t>Apple</t>
        </is>
      </c>
      <c r="B32" s="52" t="inlineStr">
        <is>
          <t>p_consistent_history</t>
        </is>
      </c>
      <c r="C32" s="52" t="inlineStr">
        <is>
          <t>10+ years of consistent support: marriage-equality amicus briefs, opposition to anti-LGBTQ+ state bills, CEI 100 streak</t>
        </is>
      </c>
      <c r="D32" s="51" t="inlineStr">
        <is>
          <t>Structural</t>
        </is>
      </c>
      <c r="E32" s="51" t="inlineStr">
        <is>
          <t>Positive</t>
        </is>
      </c>
      <c r="F32" s="51" t="n">
        <v>28</v>
      </c>
      <c r="G32" s="51" t="n">
        <v>2025</v>
      </c>
      <c r="H32" s="52" t="inlineStr">
        <is>
          <t>https://reports.hrc.org/corporate-equality-index-2025</t>
        </is>
      </c>
      <c r="I32" s="52" t="inlineStr">
        <is>
          <t>HRC</t>
        </is>
      </c>
      <c r="J32" s="51" t="inlineStr">
        <is>
          <t>No</t>
        </is>
      </c>
      <c r="K32" s="52" t="inlineStr"/>
    </row>
    <row r="33" ht="23.25" customHeight="1" s="42">
      <c r="A33" s="52" t="inlineStr">
        <is>
          <t>Apple</t>
        </is>
      </c>
      <c r="B33" s="52" t="inlineStr">
        <is>
          <t>p_leadership_vocal</t>
        </is>
      </c>
      <c r="C33" s="52" t="inlineStr">
        <is>
          <t>Tim Cook publicly out since 2014; repeated public advocacy on LGBTQ+ rights</t>
        </is>
      </c>
      <c r="D33" s="51" t="inlineStr">
        <is>
          <t>Structural</t>
        </is>
      </c>
      <c r="E33" s="51" t="inlineStr">
        <is>
          <t>Positive</t>
        </is>
      </c>
      <c r="F33" s="51" t="n">
        <v>18</v>
      </c>
      <c r="G33" s="51" t="n">
        <v>2024</v>
      </c>
      <c r="H33" s="52" t="inlineStr">
        <is>
          <t>https://www.reuters.com/technology/apple-investors-reject-proposal-against-dei-policies-2025-02-25/</t>
        </is>
      </c>
      <c r="I33" s="52" t="inlineStr">
        <is>
          <t>News</t>
        </is>
      </c>
      <c r="J33" s="51" t="inlineStr">
        <is>
          <t>No</t>
        </is>
      </c>
      <c r="K33" s="52" t="inlineStr">
        <is>
          <t>Board urged rejection of anti-DEI proposal</t>
        </is>
      </c>
    </row>
    <row r="34" ht="23.25" customHeight="1" s="42">
      <c r="A34" s="52" t="inlineStr">
        <is>
          <t>Google / Alphabet</t>
        </is>
      </c>
      <c r="B34" s="52" t="inlineStr">
        <is>
          <t>p_logo_rainbow</t>
        </is>
      </c>
      <c r="C34" s="52" t="inlineStr">
        <is>
          <t>Annual Pride Doodles/branding and rainbow campaigns</t>
        </is>
      </c>
      <c r="D34" s="51" t="inlineStr">
        <is>
          <t>Cosmetic</t>
        </is>
      </c>
      <c r="E34" s="51" t="inlineStr">
        <is>
          <t>Positive</t>
        </is>
      </c>
      <c r="F34" s="51" t="n">
        <v>3</v>
      </c>
      <c r="G34" s="51" t="n">
        <v>2024</v>
      </c>
      <c r="H34" s="52" t="inlineStr">
        <is>
          <t>https://web.archive.org/web/2024/https://about.google/belonging/</t>
        </is>
      </c>
      <c r="I34" s="52" t="inlineStr">
        <is>
          <t>Archive</t>
        </is>
      </c>
      <c r="J34" s="51" t="inlineStr">
        <is>
          <t>No</t>
        </is>
      </c>
      <c r="K34" s="52" t="inlineStr"/>
    </row>
    <row r="35" ht="23.25" customHeight="1" s="42">
      <c r="A35" s="52" t="inlineStr">
        <is>
          <t>Google / Alphabet</t>
        </is>
      </c>
      <c r="B35" s="52" t="inlineStr">
        <is>
          <t>p_parade_sponsor</t>
        </is>
      </c>
      <c r="C35" s="52" t="inlineStr">
        <is>
          <t>San Francisco Pride sponsorship and employee march contingent (two decades)</t>
        </is>
      </c>
      <c r="D35" s="51" t="inlineStr">
        <is>
          <t>Civic</t>
        </is>
      </c>
      <c r="E35" s="51" t="inlineStr">
        <is>
          <t>Positive</t>
        </is>
      </c>
      <c r="F35" s="51" t="n">
        <v>12</v>
      </c>
      <c r="G35" s="51" t="n">
        <v>2024</v>
      </c>
      <c r="H35" s="52" t="inlineStr">
        <is>
          <t>https://web.archive.org/web/2024/https://about.google/belonging/</t>
        </is>
      </c>
      <c r="I35" s="52" t="inlineStr">
        <is>
          <t>Archive</t>
        </is>
      </c>
      <c r="J35" s="51" t="inlineStr">
        <is>
          <t>No</t>
        </is>
      </c>
      <c r="K35" s="52" t="inlineStr"/>
    </row>
    <row r="36" ht="23.25" customHeight="1" s="42">
      <c r="A36" s="52" t="inlineStr">
        <is>
          <t>Google / Alphabet</t>
        </is>
      </c>
      <c r="B36" s="52" t="inlineStr">
        <is>
          <t>p_erg_support</t>
        </is>
      </c>
      <c r="C36" s="52" t="inlineStr">
        <is>
          <t>Funded LGBTQ+ ERGs (Pride at Google)</t>
        </is>
      </c>
      <c r="D36" s="51" t="inlineStr">
        <is>
          <t>Civic</t>
        </is>
      </c>
      <c r="E36" s="51" t="inlineStr">
        <is>
          <t>Positive</t>
        </is>
      </c>
      <c r="F36" s="51" t="n">
        <v>15</v>
      </c>
      <c r="G36" s="51" t="n">
        <v>2024</v>
      </c>
      <c r="H36" s="52" t="inlineStr">
        <is>
          <t>https://web.archive.org/web/2024/https://about.google/belonging/</t>
        </is>
      </c>
      <c r="I36" s="52" t="inlineStr">
        <is>
          <t>Archive</t>
        </is>
      </c>
      <c r="J36" s="51" t="inlineStr">
        <is>
          <t>No</t>
        </is>
      </c>
      <c r="K36" s="52" t="inlineStr"/>
    </row>
    <row r="37" ht="23.25" customHeight="1" s="42">
      <c r="A37" s="52" t="inlineStr">
        <is>
          <t>Google / Alphabet</t>
        </is>
      </c>
      <c r="B37" s="52" t="inlineStr">
        <is>
          <t>p_benefits</t>
        </is>
      </c>
      <c r="C37" s="52" t="inlineStr">
        <is>
          <t>Trans-inclusive healthcare benefits, early industry gold standard, still in force</t>
        </is>
      </c>
      <c r="D37" s="51" t="inlineStr">
        <is>
          <t>Structural</t>
        </is>
      </c>
      <c r="E37" s="51" t="inlineStr">
        <is>
          <t>Positive</t>
        </is>
      </c>
      <c r="F37" s="51" t="n">
        <v>22</v>
      </c>
      <c r="G37" s="51" t="n">
        <v>2025</v>
      </c>
      <c r="H37" s="52" t="inlineStr">
        <is>
          <t>https://reports.hrc.org/corporate-equality-index-2025</t>
        </is>
      </c>
      <c r="I37" s="52" t="inlineStr">
        <is>
          <t>HRC</t>
        </is>
      </c>
      <c r="J37" s="51" t="inlineStr">
        <is>
          <t>No</t>
        </is>
      </c>
      <c r="K37" s="52" t="inlineStr"/>
    </row>
    <row r="38" ht="23.25" customHeight="1" s="42">
      <c r="A38" s="52" t="inlineStr">
        <is>
          <t>Google / Alphabet</t>
        </is>
      </c>
      <c r="B38" s="52" t="inlineStr">
        <is>
          <t>n_dei_removal</t>
        </is>
      </c>
      <c r="C38" s="52" t="inlineStr">
        <is>
          <t>Ended diversity hiring targets; scrubbed diversity from 10-K and Responsible AI page; CDO title changed</t>
        </is>
      </c>
      <c r="D38" s="51" t="inlineStr">
        <is>
          <t>—</t>
        </is>
      </c>
      <c r="E38" s="51" t="inlineStr">
        <is>
          <t>Negative</t>
        </is>
      </c>
      <c r="F38" s="51" t="n">
        <v>-32</v>
      </c>
      <c r="G38" s="51" t="n">
        <v>2025</v>
      </c>
      <c r="H38" s="52" t="inlineStr">
        <is>
          <t>https://techcrunch.com/2025/04/17/here-are-all-the-tech-companies-rolling-back-dei-or-still-committed-to-it-so-far/</t>
        </is>
      </c>
      <c r="I38" s="52" t="inlineStr">
        <is>
          <t>News</t>
        </is>
      </c>
      <c r="J38" s="51" t="inlineStr">
        <is>
          <t>Yes</t>
        </is>
      </c>
      <c r="K38" s="52" t="inlineStr">
        <is>
          <t>Cited compliance with federal contractor executive orders</t>
        </is>
      </c>
    </row>
    <row r="39" ht="23.25" customHeight="1" s="42">
      <c r="A39" s="52" t="inlineStr">
        <is>
          <t>Google / Alphabet</t>
        </is>
      </c>
      <c r="B39" s="52" t="inlineStr">
        <is>
          <t>n_pride_retreat</t>
        </is>
      </c>
      <c r="C39" s="52" t="inlineStr">
        <is>
          <t>Removed Pride Month (and other heritage observances) from Google Calendar defaults</t>
        </is>
      </c>
      <c r="D39" s="51" t="inlineStr">
        <is>
          <t>—</t>
        </is>
      </c>
      <c r="E39" s="51" t="inlineStr">
        <is>
          <t>Negative</t>
        </is>
      </c>
      <c r="F39" s="51" t="n">
        <v>-22</v>
      </c>
      <c r="G39" s="51" t="n">
        <v>2025</v>
      </c>
      <c r="H39" s="52" t="inlineStr">
        <is>
          <t>https://www.axios.com/2025/02/12/google-calendar-holidays-heritage-months-remove-diversity</t>
        </is>
      </c>
      <c r="I39" s="52" t="inlineStr">
        <is>
          <t>News</t>
        </is>
      </c>
      <c r="J39" s="51" t="inlineStr">
        <is>
          <t>Yes</t>
        </is>
      </c>
      <c r="K39" s="52" t="inlineStr">
        <is>
          <t>Google attributed to 'scalability'; criticized by National LGBTQ Task Force</t>
        </is>
      </c>
    </row>
    <row r="40" ht="23.25" customHeight="1" s="42">
      <c r="A40" s="52" t="inlineStr">
        <is>
          <t>Meta</t>
        </is>
      </c>
      <c r="B40" s="52" t="inlineStr">
        <is>
          <t>p_logo_rainbow</t>
        </is>
      </c>
      <c r="C40" s="52" t="inlineStr">
        <is>
          <t>Annual Pride branding, rainbow reactions and profile frames across platforms</t>
        </is>
      </c>
      <c r="D40" s="51" t="inlineStr">
        <is>
          <t>Cosmetic</t>
        </is>
      </c>
      <c r="E40" s="51" t="inlineStr">
        <is>
          <t>Positive</t>
        </is>
      </c>
      <c r="F40" s="51" t="n">
        <v>3</v>
      </c>
      <c r="G40" s="51" t="n">
        <v>2024</v>
      </c>
      <c r="H40" s="52" t="inlineStr">
        <is>
          <t>https://web.archive.org/web/2024/https://about.meta.com/community/</t>
        </is>
      </c>
      <c r="I40" s="52" t="inlineStr">
        <is>
          <t>Archive</t>
        </is>
      </c>
      <c r="J40" s="51" t="inlineStr">
        <is>
          <t>No</t>
        </is>
      </c>
      <c r="K40" s="52" t="inlineStr">
        <is>
          <t>Pride features quietly reduced after Jan 2025</t>
        </is>
      </c>
    </row>
    <row r="41" ht="23.25" customHeight="1" s="42">
      <c r="A41" s="52" t="inlineStr">
        <is>
          <t>Meta</t>
        </is>
      </c>
      <c r="B41" s="52" t="inlineStr">
        <is>
          <t>p_generic_post</t>
        </is>
      </c>
      <c r="C41" s="52" t="inlineStr">
        <is>
          <t>Annual corporate Pride Month statements</t>
        </is>
      </c>
      <c r="D41" s="51" t="inlineStr">
        <is>
          <t>Cosmetic</t>
        </is>
      </c>
      <c r="E41" s="51" t="inlineStr">
        <is>
          <t>Positive</t>
        </is>
      </c>
      <c r="F41" s="51" t="n">
        <v>2</v>
      </c>
      <c r="G41" s="51" t="n">
        <v>2024</v>
      </c>
      <c r="H41" s="52" t="inlineStr">
        <is>
          <t>https://web.archive.org/web/2024/https://about.meta.com/community/</t>
        </is>
      </c>
      <c r="I41" s="52" t="inlineStr">
        <is>
          <t>Archive</t>
        </is>
      </c>
      <c r="J41" s="51" t="inlineStr">
        <is>
          <t>No</t>
        </is>
      </c>
      <c r="K41" s="52" t="inlineStr"/>
    </row>
    <row r="42" ht="23.25" customHeight="1" s="42">
      <c r="A42" s="52" t="inlineStr">
        <is>
          <t>Meta</t>
        </is>
      </c>
      <c r="B42" s="52" t="inlineStr">
        <is>
          <t>p_erg_support</t>
        </is>
      </c>
      <c r="C42" s="52" t="inlineStr">
        <is>
          <t>Funded LGBTQ+ employee resource group (pre-2025)</t>
        </is>
      </c>
      <c r="D42" s="51" t="inlineStr">
        <is>
          <t>Civic</t>
        </is>
      </c>
      <c r="E42" s="51" t="inlineStr">
        <is>
          <t>Positive</t>
        </is>
      </c>
      <c r="F42" s="51" t="n">
        <v>15</v>
      </c>
      <c r="G42" s="51" t="n">
        <v>2024</v>
      </c>
      <c r="H42" s="52" t="inlineStr">
        <is>
          <t>https://web.archive.org/web/2024/https://about.meta.com/community/</t>
        </is>
      </c>
      <c r="I42" s="52" t="inlineStr">
        <is>
          <t>Archive</t>
        </is>
      </c>
      <c r="J42" s="51" t="inlineStr">
        <is>
          <t>No</t>
        </is>
      </c>
      <c r="K42" s="52" t="inlineStr"/>
    </row>
    <row r="43" ht="23.25" customHeight="1" s="42">
      <c r="A43" s="52" t="inlineStr">
        <is>
          <t>Meta</t>
        </is>
      </c>
      <c r="B43" s="52" t="inlineStr">
        <is>
          <t>p_benefits</t>
        </is>
      </c>
      <c r="C43" s="52" t="inlineStr">
        <is>
          <t>Trans-inclusive healthcare and partner benefits (CEI-verified)</t>
        </is>
      </c>
      <c r="D43" s="51" t="inlineStr">
        <is>
          <t>Structural</t>
        </is>
      </c>
      <c r="E43" s="51" t="inlineStr">
        <is>
          <t>Positive</t>
        </is>
      </c>
      <c r="F43" s="51" t="n">
        <v>22</v>
      </c>
      <c r="G43" s="51" t="n">
        <v>2024</v>
      </c>
      <c r="H43" s="52" t="inlineStr">
        <is>
          <t>https://reports.hrc.org/corporate-equality-index-2025</t>
        </is>
      </c>
      <c r="I43" s="52" t="inlineStr">
        <is>
          <t>HRC</t>
        </is>
      </c>
      <c r="J43" s="51" t="inlineStr">
        <is>
          <t>No</t>
        </is>
      </c>
      <c r="K43" s="52" t="inlineStr"/>
    </row>
    <row r="44" ht="23.25" customHeight="1" s="42">
      <c r="A44" s="52" t="inlineStr">
        <is>
          <t>Meta</t>
        </is>
      </c>
      <c r="B44" s="52" t="inlineStr">
        <is>
          <t>n_dei_removal</t>
        </is>
      </c>
      <c r="C44" s="52" t="inlineStr">
        <is>
          <t>Dissolved DEI team, ended representation goals and diverse-slate hiring (leaked memo)</t>
        </is>
      </c>
      <c r="D44" s="51" t="inlineStr">
        <is>
          <t>—</t>
        </is>
      </c>
      <c r="E44" s="51" t="inlineStr">
        <is>
          <t>Negative</t>
        </is>
      </c>
      <c r="F44" s="51" t="n">
        <v>-32</v>
      </c>
      <c r="G44" s="51" t="n">
        <v>2025</v>
      </c>
      <c r="H44" s="52" t="inlineStr">
        <is>
          <t>https://www.cbsnews.com/news/meta-dei-programs-mcdonalds-walmart-ford-diversity/</t>
        </is>
      </c>
      <c r="I44" s="52" t="inlineStr">
        <is>
          <t>News</t>
        </is>
      </c>
      <c r="J44" s="51" t="inlineStr">
        <is>
          <t>Yes</t>
        </is>
      </c>
      <c r="K44" s="52" t="inlineStr">
        <is>
          <t>Announced days before second Trump inauguration</t>
        </is>
      </c>
    </row>
    <row r="45" ht="23.25" customHeight="1" s="42">
      <c r="A45" s="52" t="inlineStr">
        <is>
          <t>Meta</t>
        </is>
      </c>
      <c r="B45" s="52" t="inlineStr">
        <is>
          <t>n_selective</t>
        </is>
      </c>
      <c r="C45" s="52" t="inlineStr">
        <is>
          <t>Hateful Conduct policy rewritten to permit calling LGBTQ+ people mentally ill; trans/nonbinary Messenger themes removed</t>
        </is>
      </c>
      <c r="D45" s="51" t="inlineStr">
        <is>
          <t>—</t>
        </is>
      </c>
      <c r="E45" s="51" t="inlineStr">
        <is>
          <t>Negative</t>
        </is>
      </c>
      <c r="F45" s="51" t="n">
        <v>-10</v>
      </c>
      <c r="G45" s="51" t="n">
        <v>2025</v>
      </c>
      <c r="H45" s="52" t="inlineStr">
        <is>
          <t>https://www.lgbtqnation.com/2025/01/amazon-removes-section-on-lgbtq-rights-from-its-policy-page/</t>
        </is>
      </c>
      <c r="I45" s="52" t="inlineStr">
        <is>
          <t>News</t>
        </is>
      </c>
      <c r="J45" s="51" t="inlineStr">
        <is>
          <t>Yes</t>
        </is>
      </c>
      <c r="K45" s="52" t="inlineStr">
        <is>
          <t>GLAAD condemned; see Statements for policy text</t>
        </is>
      </c>
    </row>
    <row r="46" ht="23.25" customHeight="1" s="42">
      <c r="A46" s="52" t="inlineStr">
        <is>
          <t>Meta</t>
        </is>
      </c>
      <c r="B46" s="52" t="inlineStr">
        <is>
          <t>n_pride_retreat</t>
        </is>
      </c>
      <c r="C46" s="52" t="inlineStr">
        <is>
          <t>Public renunciation of DEI commitments framed around 'legal and policy landscape'; GLAAD severed ties</t>
        </is>
      </c>
      <c r="D46" s="51" t="inlineStr">
        <is>
          <t>—</t>
        </is>
      </c>
      <c r="E46" s="51" t="inlineStr">
        <is>
          <t>Negative</t>
        </is>
      </c>
      <c r="F46" s="51" t="n">
        <v>-22</v>
      </c>
      <c r="G46" s="51" t="n">
        <v>2025</v>
      </c>
      <c r="H46" s="52" t="inlineStr">
        <is>
          <t>https://www.cbsnews.com/news/meta-dei-programs-mcdonalds-walmart-ford-diversity/</t>
        </is>
      </c>
      <c r="I46" s="52" t="inlineStr">
        <is>
          <t>News</t>
        </is>
      </c>
      <c r="J46" s="51" t="inlineStr">
        <is>
          <t>Yes</t>
        </is>
      </c>
      <c r="K46" s="52" t="inlineStr"/>
    </row>
    <row r="47" ht="23.25" customHeight="1" s="42">
      <c r="A47" s="52" t="inlineStr">
        <is>
          <t>Microsoft</t>
        </is>
      </c>
      <c r="B47" s="52" t="inlineStr">
        <is>
          <t>p_logo_rainbow</t>
        </is>
      </c>
      <c r="C47" s="52" t="inlineStr">
        <is>
          <t>Annual Pride branding across Microsoft/Xbox channels</t>
        </is>
      </c>
      <c r="D47" s="51" t="inlineStr">
        <is>
          <t>Cosmetic</t>
        </is>
      </c>
      <c r="E47" s="51" t="inlineStr">
        <is>
          <t>Positive</t>
        </is>
      </c>
      <c r="F47" s="51" t="n">
        <v>3</v>
      </c>
      <c r="G47" s="51" t="n">
        <v>2025</v>
      </c>
      <c r="H47" s="52" t="inlineStr">
        <is>
          <t>https://unlocked.microsoft.com/pride/</t>
        </is>
      </c>
      <c r="I47" s="52" t="inlineStr">
        <is>
          <t>Company</t>
        </is>
      </c>
      <c r="J47" s="51" t="inlineStr">
        <is>
          <t>Yes</t>
        </is>
      </c>
      <c r="K47" s="52" t="inlineStr"/>
    </row>
    <row r="48" ht="23.25" customHeight="1" s="42">
      <c r="A48" s="52" t="inlineStr">
        <is>
          <t>Microsoft</t>
        </is>
      </c>
      <c r="B48" s="52" t="inlineStr">
        <is>
          <t>p_generic_post</t>
        </is>
      </c>
      <c r="C48" s="52" t="inlineStr">
        <is>
          <t>Annual Pride Month statements</t>
        </is>
      </c>
      <c r="D48" s="51" t="inlineStr">
        <is>
          <t>Cosmetic</t>
        </is>
      </c>
      <c r="E48" s="51" t="inlineStr">
        <is>
          <t>Positive</t>
        </is>
      </c>
      <c r="F48" s="51" t="n">
        <v>2</v>
      </c>
      <c r="G48" s="51" t="n">
        <v>2025</v>
      </c>
      <c r="H48" s="52" t="inlineStr">
        <is>
          <t>https://unlocked.microsoft.com/pride/</t>
        </is>
      </c>
      <c r="I48" s="52" t="inlineStr">
        <is>
          <t>Company</t>
        </is>
      </c>
      <c r="J48" s="51" t="inlineStr">
        <is>
          <t>Yes</t>
        </is>
      </c>
      <c r="K48" s="52" t="inlineStr"/>
    </row>
    <row r="49" ht="23.25" customHeight="1" s="42">
      <c r="A49" s="52" t="inlineStr">
        <is>
          <t>Microsoft</t>
        </is>
      </c>
      <c r="B49" s="52" t="inlineStr">
        <is>
          <t>p_merch_collection</t>
        </is>
      </c>
      <c r="C49" s="52" t="inlineStr">
        <is>
          <t>Xbox Pride controller and Pride merchandise with LGBTQ+ nonprofit support</t>
        </is>
      </c>
      <c r="D49" s="51" t="inlineStr">
        <is>
          <t>Commercial</t>
        </is>
      </c>
      <c r="E49" s="51" t="inlineStr">
        <is>
          <t>Positive</t>
        </is>
      </c>
      <c r="F49" s="51" t="n">
        <v>6</v>
      </c>
      <c r="G49" s="51" t="n">
        <v>2024</v>
      </c>
      <c r="H49" s="52" t="inlineStr">
        <is>
          <t>https://news.xbox.com/en-us/2024/06/01/xbox-pride-2024/</t>
        </is>
      </c>
      <c r="I49" s="52" t="inlineStr">
        <is>
          <t>Company</t>
        </is>
      </c>
      <c r="J49" s="51" t="inlineStr">
        <is>
          <t>No</t>
        </is>
      </c>
      <c r="K49" s="52" t="inlineStr"/>
    </row>
    <row r="50" ht="23.25" customHeight="1" s="42">
      <c r="A50" s="52" t="inlineStr">
        <is>
          <t>Microsoft</t>
        </is>
      </c>
      <c r="B50" s="52" t="inlineStr">
        <is>
          <t>p_erg_support</t>
        </is>
      </c>
      <c r="C50" s="52" t="inlineStr">
        <is>
          <t>GLEAM (Global LGBTQIA+ Employees and Allies at Microsoft) ERG, company-funded</t>
        </is>
      </c>
      <c r="D50" s="51" t="inlineStr">
        <is>
          <t>Civic</t>
        </is>
      </c>
      <c r="E50" s="51" t="inlineStr">
        <is>
          <t>Positive</t>
        </is>
      </c>
      <c r="F50" s="51" t="n">
        <v>15</v>
      </c>
      <c r="G50" s="51" t="n">
        <v>2025</v>
      </c>
      <c r="H50" s="52" t="inlineStr">
        <is>
          <t>https://www.microsoft.com/en-us/diversity/inside-microsoft/global-lgbtqia</t>
        </is>
      </c>
      <c r="I50" s="52" t="inlineStr">
        <is>
          <t>Company</t>
        </is>
      </c>
      <c r="J50" s="51" t="inlineStr">
        <is>
          <t>Yes</t>
        </is>
      </c>
      <c r="K50" s="52" t="inlineStr"/>
    </row>
    <row r="51" ht="23.25" customHeight="1" s="42">
      <c r="A51" s="52" t="inlineStr">
        <is>
          <t>Microsoft</t>
        </is>
      </c>
      <c r="B51" s="52" t="inlineStr">
        <is>
          <t>p_benefits</t>
        </is>
      </c>
      <c r="C51" s="52" t="inlineStr">
        <is>
          <t>Comprehensive partner and gender-affirming benefits (CEI-verified)</t>
        </is>
      </c>
      <c r="D51" s="51" t="inlineStr">
        <is>
          <t>Structural</t>
        </is>
      </c>
      <c r="E51" s="51" t="inlineStr">
        <is>
          <t>Positive</t>
        </is>
      </c>
      <c r="F51" s="51" t="n">
        <v>22</v>
      </c>
      <c r="G51" s="51" t="n">
        <v>2025</v>
      </c>
      <c r="H51" s="52" t="inlineStr">
        <is>
          <t>https://reports.hrc.org/corporate-equality-index-2025</t>
        </is>
      </c>
      <c r="I51" s="52" t="inlineStr">
        <is>
          <t>HRC</t>
        </is>
      </c>
      <c r="J51" s="51" t="inlineStr">
        <is>
          <t>No</t>
        </is>
      </c>
      <c r="K51" s="52" t="inlineStr"/>
    </row>
    <row r="52" ht="23.25" customHeight="1" s="42">
      <c r="A52" s="52" t="inlineStr">
        <is>
          <t>Microsoft</t>
        </is>
      </c>
      <c r="B52" s="52" t="inlineStr">
        <is>
          <t>p_dei_explicit</t>
        </is>
      </c>
      <c r="C52" s="52" t="inlineStr">
        <is>
          <t>Global Diversity &amp; Inclusion report and explicit LGBTQ+ inclusion commitments maintained through 2025</t>
        </is>
      </c>
      <c r="D52" s="51" t="inlineStr">
        <is>
          <t>Structural</t>
        </is>
      </c>
      <c r="E52" s="51" t="inlineStr">
        <is>
          <t>Positive</t>
        </is>
      </c>
      <c r="F52" s="51" t="n">
        <v>20</v>
      </c>
      <c r="G52" s="51" t="n">
        <v>2025</v>
      </c>
      <c r="H52" s="52" t="inlineStr">
        <is>
          <t>https://blogs.microsoft.com/blog/2024/10/23/microsofts-2024-global-diversity-inclusion-report-our-most-global-transparent-report-yet/</t>
        </is>
      </c>
      <c r="I52" s="52" t="inlineStr">
        <is>
          <t>Company</t>
        </is>
      </c>
      <c r="J52" s="51" t="inlineStr">
        <is>
          <t>Yes</t>
        </is>
      </c>
      <c r="K52" s="52" t="inlineStr"/>
    </row>
    <row r="53" ht="23.25" customHeight="1" s="42">
      <c r="A53" s="52" t="inlineStr">
        <is>
          <t>Microsoft</t>
        </is>
      </c>
      <c r="B53" s="52" t="inlineStr">
        <is>
          <t>p_consistent_history</t>
        </is>
      </c>
      <c r="C53" s="52" t="inlineStr">
        <is>
          <t>35+ years: sexual orientation in nondiscrimination policy since 1989; uninterrupted CEI 100s; sustained Pride programs</t>
        </is>
      </c>
      <c r="D53" s="51" t="inlineStr">
        <is>
          <t>Structural</t>
        </is>
      </c>
      <c r="E53" s="51" t="inlineStr">
        <is>
          <t>Positive</t>
        </is>
      </c>
      <c r="F53" s="51" t="n">
        <v>28</v>
      </c>
      <c r="G53" s="51" t="n">
        <v>2025</v>
      </c>
      <c r="H53" s="52" t="inlineStr">
        <is>
          <t>https://reports.hrc.org/corporate-equality-index-2025</t>
        </is>
      </c>
      <c r="I53" s="52" t="inlineStr">
        <is>
          <t>HRC</t>
        </is>
      </c>
      <c r="J53" s="51" t="inlineStr">
        <is>
          <t>No</t>
        </is>
      </c>
      <c r="K53" s="52" t="inlineStr"/>
    </row>
    <row r="54" ht="23.25" customHeight="1" s="42">
      <c r="A54" s="52" t="inlineStr">
        <is>
          <t>Amazon</t>
        </is>
      </c>
      <c r="B54" s="52" t="inlineStr">
        <is>
          <t>p_logo_rainbow</t>
        </is>
      </c>
      <c r="C54" s="52" t="inlineStr">
        <is>
          <t>Annual Pride branding and storefronts</t>
        </is>
      </c>
      <c r="D54" s="51" t="inlineStr">
        <is>
          <t>Cosmetic</t>
        </is>
      </c>
      <c r="E54" s="51" t="inlineStr">
        <is>
          <t>Positive</t>
        </is>
      </c>
      <c r="F54" s="51" t="n">
        <v>3</v>
      </c>
      <c r="G54" s="51" t="n">
        <v>2024</v>
      </c>
      <c r="H54" s="52" t="inlineStr">
        <is>
          <t>https://web.archive.org/web/2024/https://www.aboutamazon.com/affinity-groups/glamazon</t>
        </is>
      </c>
      <c r="I54" s="52" t="inlineStr">
        <is>
          <t>Archive</t>
        </is>
      </c>
      <c r="J54" s="51" t="inlineStr">
        <is>
          <t>No</t>
        </is>
      </c>
      <c r="K54" s="52" t="inlineStr"/>
    </row>
    <row r="55" ht="23.25" customHeight="1" s="42">
      <c r="A55" s="52" t="inlineStr">
        <is>
          <t>Amazon</t>
        </is>
      </c>
      <c r="B55" s="52" t="inlineStr">
        <is>
          <t>p_generic_post</t>
        </is>
      </c>
      <c r="C55" s="52" t="inlineStr">
        <is>
          <t>Annual Pride Month posts/statements</t>
        </is>
      </c>
      <c r="D55" s="51" t="inlineStr">
        <is>
          <t>Cosmetic</t>
        </is>
      </c>
      <c r="E55" s="51" t="inlineStr">
        <is>
          <t>Positive</t>
        </is>
      </c>
      <c r="F55" s="51" t="n">
        <v>2</v>
      </c>
      <c r="G55" s="51" t="n">
        <v>2024</v>
      </c>
      <c r="H55" s="52" t="inlineStr">
        <is>
          <t>https://web.archive.org/web/2024/https://www.aboutamazon.com/affinity-groups/glamazon</t>
        </is>
      </c>
      <c r="I55" s="52" t="inlineStr">
        <is>
          <t>Archive</t>
        </is>
      </c>
      <c r="J55" s="51" t="inlineStr">
        <is>
          <t>No</t>
        </is>
      </c>
      <c r="K55" s="52" t="inlineStr"/>
    </row>
    <row r="56" ht="23.25" customHeight="1" s="42">
      <c r="A56" s="52" t="inlineStr">
        <is>
          <t>Amazon</t>
        </is>
      </c>
      <c r="B56" s="52" t="inlineStr">
        <is>
          <t>p_merch_collection</t>
        </is>
      </c>
      <c r="C56" s="52" t="inlineStr">
        <is>
          <t>Pride merchandise collections and dedicated Pride storefront</t>
        </is>
      </c>
      <c r="D56" s="51" t="inlineStr">
        <is>
          <t>Commercial</t>
        </is>
      </c>
      <c r="E56" s="51" t="inlineStr">
        <is>
          <t>Positive</t>
        </is>
      </c>
      <c r="F56" s="51" t="n">
        <v>6</v>
      </c>
      <c r="G56" s="51" t="n">
        <v>2024</v>
      </c>
      <c r="H56" s="52" t="inlineStr">
        <is>
          <t>https://web.archive.org/web/2024/https://www.amazon.com/pride</t>
        </is>
      </c>
      <c r="I56" s="52" t="inlineStr">
        <is>
          <t>Archive</t>
        </is>
      </c>
      <c r="J56" s="51" t="inlineStr">
        <is>
          <t>No</t>
        </is>
      </c>
      <c r="K56" s="52" t="inlineStr"/>
    </row>
    <row r="57" ht="23.25" customHeight="1" s="42">
      <c r="A57" s="52" t="inlineStr">
        <is>
          <t>Amazon</t>
        </is>
      </c>
      <c r="B57" s="52" t="inlineStr">
        <is>
          <t>p_erg_support</t>
        </is>
      </c>
      <c r="C57" s="52" t="inlineStr">
        <is>
          <t>glamazon LGBTQ+ ERG, company-funded, continues to operate</t>
        </is>
      </c>
      <c r="D57" s="51" t="inlineStr">
        <is>
          <t>Civic</t>
        </is>
      </c>
      <c r="E57" s="51" t="inlineStr">
        <is>
          <t>Positive</t>
        </is>
      </c>
      <c r="F57" s="51" t="n">
        <v>15</v>
      </c>
      <c r="G57" s="51" t="n">
        <v>2025</v>
      </c>
      <c r="H57" s="52" t="inlineStr">
        <is>
          <t>https://www.aboutamazon.com/affinity-groups/glamazon</t>
        </is>
      </c>
      <c r="I57" s="52" t="inlineStr">
        <is>
          <t>Company</t>
        </is>
      </c>
      <c r="J57" s="51" t="inlineStr">
        <is>
          <t>Yes</t>
        </is>
      </c>
      <c r="K57" s="52" t="inlineStr"/>
    </row>
    <row r="58" ht="23.25" customHeight="1" s="42">
      <c r="A58" s="52" t="inlineStr">
        <is>
          <t>Amazon</t>
        </is>
      </c>
      <c r="B58" s="52" t="inlineStr">
        <is>
          <t>n_dei_removal</t>
        </is>
      </c>
      <c r="C58" s="52" t="inlineStr">
        <is>
          <t>Wound down DEI programs (Dec 2024 memo); scrubbed 'LGBTQ+ rights,' 'transgender' and gender-affirming-care language from positions page; diversity cut from 10-K</t>
        </is>
      </c>
      <c r="D58" s="51" t="inlineStr">
        <is>
          <t>—</t>
        </is>
      </c>
      <c r="E58" s="51" t="inlineStr">
        <is>
          <t>Negative</t>
        </is>
      </c>
      <c r="F58" s="51" t="n">
        <v>-32</v>
      </c>
      <c r="G58" s="51" t="n">
        <v>2025</v>
      </c>
      <c r="H58" s="52" t="inlineStr">
        <is>
          <t>https://www.lgbtqnation.com/2025/01/amazon-removes-section-on-lgbtq-rights-from-its-policy-page/</t>
        </is>
      </c>
      <c r="I58" s="52" t="inlineStr">
        <is>
          <t>News</t>
        </is>
      </c>
      <c r="J58" s="51" t="inlineStr">
        <is>
          <t>Yes</t>
        </is>
      </c>
      <c r="K58" s="52" t="inlineStr">
        <is>
          <t>Archived before-state: https://web.archive.org/web/2024/https://www.aboutamazon.com/about-us/our-positions</t>
        </is>
      </c>
    </row>
    <row r="59" ht="23.25" customHeight="1" s="42">
      <c r="A59" s="52" t="inlineStr">
        <is>
          <t>Salesforce</t>
        </is>
      </c>
      <c r="B59" s="52" t="inlineStr">
        <is>
          <t>p_logo_rainbow</t>
        </is>
      </c>
      <c r="C59" s="52" t="inlineStr">
        <is>
          <t>Annual Pride/rainbow Salesforce branding incl. Pride-themed mascots and events</t>
        </is>
      </c>
      <c r="D59" s="51" t="inlineStr">
        <is>
          <t>Cosmetic</t>
        </is>
      </c>
      <c r="E59" s="51" t="inlineStr">
        <is>
          <t>Positive</t>
        </is>
      </c>
      <c r="F59" s="51" t="n">
        <v>3</v>
      </c>
      <c r="G59" s="51" t="n">
        <v>2024</v>
      </c>
      <c r="H59" s="52" t="inlineStr">
        <is>
          <t>https://web.archive.org/web/2024/https://www.salesforce.com/company/equality/</t>
        </is>
      </c>
      <c r="I59" s="52" t="inlineStr">
        <is>
          <t>Archive</t>
        </is>
      </c>
      <c r="J59" s="51" t="inlineStr">
        <is>
          <t>No</t>
        </is>
      </c>
      <c r="K59" s="52" t="inlineStr"/>
    </row>
    <row r="60" ht="23.25" customHeight="1" s="42">
      <c r="A60" s="52" t="inlineStr">
        <is>
          <t>Salesforce</t>
        </is>
      </c>
      <c r="B60" s="52" t="inlineStr">
        <is>
          <t>p_generic_post</t>
        </is>
      </c>
      <c r="C60" s="52" t="inlineStr">
        <is>
          <t>Annual Pride Month statements</t>
        </is>
      </c>
      <c r="D60" s="51" t="inlineStr">
        <is>
          <t>Cosmetic</t>
        </is>
      </c>
      <c r="E60" s="51" t="inlineStr">
        <is>
          <t>Positive</t>
        </is>
      </c>
      <c r="F60" s="51" t="n">
        <v>2</v>
      </c>
      <c r="G60" s="51" t="n">
        <v>2024</v>
      </c>
      <c r="H60" s="52" t="inlineStr">
        <is>
          <t>https://web.archive.org/web/2024/https://www.salesforce.com/company/equality/</t>
        </is>
      </c>
      <c r="I60" s="52" t="inlineStr">
        <is>
          <t>Archive</t>
        </is>
      </c>
      <c r="J60" s="51" t="inlineStr">
        <is>
          <t>No</t>
        </is>
      </c>
      <c r="K60" s="52" t="inlineStr"/>
    </row>
    <row r="61" ht="23.25" customHeight="1" s="42">
      <c r="A61" s="52" t="inlineStr">
        <is>
          <t>Salesforce</t>
        </is>
      </c>
      <c r="B61" s="52" t="inlineStr">
        <is>
          <t>p_erg_support</t>
        </is>
      </c>
      <c r="C61" s="52" t="inlineStr">
        <is>
          <t>Outforce LGBTQ+ ERG, company-funded</t>
        </is>
      </c>
      <c r="D61" s="51" t="inlineStr">
        <is>
          <t>Civic</t>
        </is>
      </c>
      <c r="E61" s="51" t="inlineStr">
        <is>
          <t>Positive</t>
        </is>
      </c>
      <c r="F61" s="51" t="n">
        <v>15</v>
      </c>
      <c r="G61" s="51" t="n">
        <v>2025</v>
      </c>
      <c r="H61" s="52" t="inlineStr">
        <is>
          <t>https://www.salesforce.com/company/equality/</t>
        </is>
      </c>
      <c r="I61" s="52" t="inlineStr">
        <is>
          <t>Company</t>
        </is>
      </c>
      <c r="J61" s="51" t="inlineStr">
        <is>
          <t>Yes</t>
        </is>
      </c>
      <c r="K61" s="52" t="inlineStr"/>
    </row>
    <row r="62" ht="23.25" customHeight="1" s="42">
      <c r="A62" s="52" t="inlineStr">
        <is>
          <t>Salesforce</t>
        </is>
      </c>
      <c r="B62" s="52" t="inlineStr">
        <is>
          <t>p_benefits</t>
        </is>
      </c>
      <c r="C62" s="52" t="inlineStr">
        <is>
          <t>Inclusive partner and gender-affirming benefits (CEI-verified)</t>
        </is>
      </c>
      <c r="D62" s="51" t="inlineStr">
        <is>
          <t>Structural</t>
        </is>
      </c>
      <c r="E62" s="51" t="inlineStr">
        <is>
          <t>Positive</t>
        </is>
      </c>
      <c r="F62" s="51" t="n">
        <v>22</v>
      </c>
      <c r="G62" s="51" t="n">
        <v>2025</v>
      </c>
      <c r="H62" s="52" t="inlineStr">
        <is>
          <t>https://reports.hrc.org/corporate-equality-index-2025</t>
        </is>
      </c>
      <c r="I62" s="52" t="inlineStr">
        <is>
          <t>HRC</t>
        </is>
      </c>
      <c r="J62" s="51" t="inlineStr">
        <is>
          <t>No</t>
        </is>
      </c>
      <c r="K62" s="52" t="inlineStr"/>
    </row>
    <row r="63" ht="23.25" customHeight="1" s="42">
      <c r="A63" s="52" t="inlineStr">
        <is>
          <t>Salesforce</t>
        </is>
      </c>
      <c r="B63" s="52" t="inlineStr">
        <is>
          <t>p_leadership_vocal</t>
        </is>
      </c>
      <c r="C63" s="52" t="inlineStr">
        <is>
          <t>Benioff's public campaigns against Indiana RFRA (2015) and Georgia anti-LGBTQ+ legislation; 2025 pledge to stand by employees</t>
        </is>
      </c>
      <c r="D63" s="51" t="inlineStr">
        <is>
          <t>Structural</t>
        </is>
      </c>
      <c r="E63" s="51" t="inlineStr">
        <is>
          <t>Positive</t>
        </is>
      </c>
      <c r="F63" s="51" t="n">
        <v>18</v>
      </c>
      <c r="G63" s="51" t="n">
        <v>2025</v>
      </c>
      <c r="H63" s="52" t="inlineStr">
        <is>
          <t>https://www.sfexaminer.com/news/technology/salesforce-drops-goals-for-hiring-minorities-and-women/article_0fd0ceec-fa23-11ef-913d-8f79e68d0c56.html</t>
        </is>
      </c>
      <c r="I63" s="52" t="inlineStr">
        <is>
          <t>News</t>
        </is>
      </c>
      <c r="J63" s="51" t="inlineStr">
        <is>
          <t>No</t>
        </is>
      </c>
      <c r="K63" s="52" t="inlineStr"/>
    </row>
    <row r="64" ht="23.25" customHeight="1" s="42">
      <c r="A64" s="52" t="inlineStr">
        <is>
          <t>Salesforce</t>
        </is>
      </c>
      <c r="B64" s="52" t="inlineStr">
        <is>
          <t>n_dei_removal</t>
        </is>
      </c>
      <c r="C64" s="52" t="inlineStr">
        <is>
          <t>Dropped diversity hiring goals; removed diversity-as-core-value and exec-comp diversity language from annual filing</t>
        </is>
      </c>
      <c r="D64" s="51" t="inlineStr">
        <is>
          <t>—</t>
        </is>
      </c>
      <c r="E64" s="51" t="inlineStr">
        <is>
          <t>Negative</t>
        </is>
      </c>
      <c r="F64" s="51" t="n">
        <v>-32</v>
      </c>
      <c r="G64" s="51" t="n">
        <v>2025</v>
      </c>
      <c r="H64" s="52" t="inlineStr">
        <is>
          <t>https://www.techrepublic.com/article/salesforce-diversity-shift-legal-compliance/</t>
        </is>
      </c>
      <c r="I64" s="52" t="inlineStr">
        <is>
          <t>News</t>
        </is>
      </c>
      <c r="J64" s="51" t="inlineStr">
        <is>
          <t>Yes</t>
        </is>
      </c>
      <c r="K64" s="52" t="inlineStr"/>
    </row>
    <row r="65" ht="23.25" customHeight="1" s="42">
      <c r="A65" s="52" t="inlineStr">
        <is>
          <t>IBM</t>
        </is>
      </c>
      <c r="B65" s="52" t="inlineStr">
        <is>
          <t>p_generic_post</t>
        </is>
      </c>
      <c r="C65" s="52" t="inlineStr">
        <is>
          <t>Annual Pride Month statements and branding</t>
        </is>
      </c>
      <c r="D65" s="51" t="inlineStr">
        <is>
          <t>Cosmetic</t>
        </is>
      </c>
      <c r="E65" s="51" t="inlineStr">
        <is>
          <t>Positive</t>
        </is>
      </c>
      <c r="F65" s="51" t="n">
        <v>2</v>
      </c>
      <c r="G65" s="51" t="n">
        <v>2024</v>
      </c>
      <c r="H65" s="52" t="inlineStr">
        <is>
          <t>https://web.archive.org/web/2024/https://www.ibm.com/impact/be-equal</t>
        </is>
      </c>
      <c r="I65" s="52" t="inlineStr">
        <is>
          <t>Archive</t>
        </is>
      </c>
      <c r="J65" s="51" t="inlineStr">
        <is>
          <t>No</t>
        </is>
      </c>
      <c r="K65" s="52" t="inlineStr"/>
    </row>
    <row r="66" ht="23.25" customHeight="1" s="42">
      <c r="A66" s="52" t="inlineStr">
        <is>
          <t>IBM</t>
        </is>
      </c>
      <c r="B66" s="52" t="inlineStr">
        <is>
          <t>p_erg_support</t>
        </is>
      </c>
      <c r="C66" s="52" t="inlineStr">
        <is>
          <t>EAGLE LGBTQ+ ERG, funded for decades</t>
        </is>
      </c>
      <c r="D66" s="51" t="inlineStr">
        <is>
          <t>Civic</t>
        </is>
      </c>
      <c r="E66" s="51" t="inlineStr">
        <is>
          <t>Positive</t>
        </is>
      </c>
      <c r="F66" s="51" t="n">
        <v>15</v>
      </c>
      <c r="G66" s="51" t="n">
        <v>2024</v>
      </c>
      <c r="H66" s="52" t="inlineStr">
        <is>
          <t>https://web.archive.org/web/2024/https://www.ibm.com/impact/be-equal</t>
        </is>
      </c>
      <c r="I66" s="52" t="inlineStr">
        <is>
          <t>Archive</t>
        </is>
      </c>
      <c r="J66" s="51" t="inlineStr">
        <is>
          <t>No</t>
        </is>
      </c>
      <c r="K66" s="52" t="inlineStr"/>
    </row>
    <row r="67" ht="23.25" customHeight="1" s="42">
      <c r="A67" s="52" t="inlineStr">
        <is>
          <t>IBM</t>
        </is>
      </c>
      <c r="B67" s="52" t="inlineStr">
        <is>
          <t>p_benefits</t>
        </is>
      </c>
      <c r="C67" s="52" t="inlineStr">
        <is>
          <t>Early adopter of trans-inclusive health benefits; comprehensive partner benefits (CEI-verified)</t>
        </is>
      </c>
      <c r="D67" s="51" t="inlineStr">
        <is>
          <t>Structural</t>
        </is>
      </c>
      <c r="E67" s="51" t="inlineStr">
        <is>
          <t>Positive</t>
        </is>
      </c>
      <c r="F67" s="51" t="n">
        <v>22</v>
      </c>
      <c r="G67" s="51" t="n">
        <v>2024</v>
      </c>
      <c r="H67" s="52" t="inlineStr">
        <is>
          <t>https://reports.hrc.org/corporate-equality-index-2025</t>
        </is>
      </c>
      <c r="I67" s="52" t="inlineStr">
        <is>
          <t>HRC</t>
        </is>
      </c>
      <c r="J67" s="51" t="inlineStr">
        <is>
          <t>No</t>
        </is>
      </c>
      <c r="K67" s="52" t="inlineStr"/>
    </row>
    <row r="68" ht="23.25" customHeight="1" s="42">
      <c r="A68" s="52" t="inlineStr">
        <is>
          <t>IBM</t>
        </is>
      </c>
      <c r="B68" s="52" t="inlineStr">
        <is>
          <t>n_dei_removal</t>
        </is>
      </c>
      <c r="C68" s="52" t="inlineStr">
        <is>
          <t>Ended DEI department and Diversity Council; dropped exec-comp diversity ties; revised supplier diversity (April 2025 memo)</t>
        </is>
      </c>
      <c r="D68" s="51" t="inlineStr">
        <is>
          <t>—</t>
        </is>
      </c>
      <c r="E68" s="51" t="inlineStr">
        <is>
          <t>Negative</t>
        </is>
      </c>
      <c r="F68" s="51" t="n">
        <v>-32</v>
      </c>
      <c r="G68" s="51" t="n">
        <v>2025</v>
      </c>
      <c r="H68" s="52" t="inlineStr">
        <is>
          <t>https://www.hr-brew.com/stories/2025/05/06/ibm-reverses-course-on-decades-of-dei-efforts</t>
        </is>
      </c>
      <c r="I68" s="52" t="inlineStr">
        <is>
          <t>News</t>
        </is>
      </c>
      <c r="J68" s="51" t="inlineStr">
        <is>
          <t>Yes</t>
        </is>
      </c>
      <c r="K68" s="52" t="inlineStr">
        <is>
          <t>Publicized by Robby Starbuck; archived before-state: https://web.archive.org/web/2024/https://www.ibm.com/impact/be-equal</t>
        </is>
      </c>
    </row>
    <row r="69" ht="23.25" customHeight="1" s="42">
      <c r="A69" s="52" t="inlineStr">
        <is>
          <t>Oracle</t>
        </is>
      </c>
      <c r="B69" s="52" t="inlineStr">
        <is>
          <t>p_generic_post</t>
        </is>
      </c>
      <c r="C69" s="52" t="inlineStr">
        <is>
          <t>Occasional Pride Month posts; culture-and-inclusion careers page remains up</t>
        </is>
      </c>
      <c r="D69" s="51" t="inlineStr">
        <is>
          <t>Cosmetic</t>
        </is>
      </c>
      <c r="E69" s="51" t="inlineStr">
        <is>
          <t>Positive</t>
        </is>
      </c>
      <c r="F69" s="51" t="n">
        <v>2</v>
      </c>
      <c r="G69" s="51" t="n">
        <v>2024</v>
      </c>
      <c r="H69" s="52" t="inlineStr">
        <is>
          <t>https://www.oracle.com/careers/culture-inclusion/</t>
        </is>
      </c>
      <c r="I69" s="52" t="inlineStr">
        <is>
          <t>Company</t>
        </is>
      </c>
      <c r="J69" s="51" t="inlineStr">
        <is>
          <t>No</t>
        </is>
      </c>
      <c r="K69" s="52" t="inlineStr">
        <is>
          <t>Per TechCrunch April 2025 survey of tech DEI pages</t>
        </is>
      </c>
    </row>
    <row r="70" ht="23.25" customHeight="1" s="42">
      <c r="A70" s="52" t="inlineStr">
        <is>
          <t>Dell</t>
        </is>
      </c>
      <c r="B70" s="52" t="inlineStr">
        <is>
          <t>p_generic_post</t>
        </is>
      </c>
      <c r="C70" s="52" t="inlineStr">
        <is>
          <t>Annual Pride Month posts and branding</t>
        </is>
      </c>
      <c r="D70" s="51" t="inlineStr">
        <is>
          <t>Cosmetic</t>
        </is>
      </c>
      <c r="E70" s="51" t="inlineStr">
        <is>
          <t>Positive</t>
        </is>
      </c>
      <c r="F70" s="51" t="n">
        <v>2</v>
      </c>
      <c r="G70" s="51" t="n">
        <v>2024</v>
      </c>
      <c r="H70" s="52" t="inlineStr">
        <is>
          <t>https://web.archive.org/web/2024/https://www.dell.com/en-us/dt/corporate/social-impact/cultivating-inclusion.htm</t>
        </is>
      </c>
      <c r="I70" s="52" t="inlineStr">
        <is>
          <t>Archive</t>
        </is>
      </c>
      <c r="J70" s="51" t="inlineStr">
        <is>
          <t>No</t>
        </is>
      </c>
      <c r="K70" s="52" t="inlineStr"/>
    </row>
    <row r="71" ht="23.25" customHeight="1" s="42">
      <c r="A71" s="52" t="inlineStr">
        <is>
          <t>Dell</t>
        </is>
      </c>
      <c r="B71" s="52" t="inlineStr">
        <is>
          <t>p_erg_support</t>
        </is>
      </c>
      <c r="C71" s="52" t="inlineStr">
        <is>
          <t>Funded Pride ERG at Dell Technologies</t>
        </is>
      </c>
      <c r="D71" s="51" t="inlineStr">
        <is>
          <t>Civic</t>
        </is>
      </c>
      <c r="E71" s="51" t="inlineStr">
        <is>
          <t>Positive</t>
        </is>
      </c>
      <c r="F71" s="51" t="n">
        <v>15</v>
      </c>
      <c r="G71" s="51" t="n">
        <v>2024</v>
      </c>
      <c r="H71" s="52" t="inlineStr">
        <is>
          <t>https://web.archive.org/web/2024/https://www.dell.com/en-us/dt/corporate/social-impact/cultivating-inclusion.htm</t>
        </is>
      </c>
      <c r="I71" s="52" t="inlineStr">
        <is>
          <t>Archive</t>
        </is>
      </c>
      <c r="J71" s="51" t="inlineStr">
        <is>
          <t>No</t>
        </is>
      </c>
      <c r="K71" s="52" t="inlineStr"/>
    </row>
    <row r="72" ht="23.25" customHeight="1" s="42">
      <c r="A72" s="52" t="inlineStr">
        <is>
          <t>Dell</t>
        </is>
      </c>
      <c r="B72" s="52" t="inlineStr">
        <is>
          <t>n_dei_removal</t>
        </is>
      </c>
      <c r="C72" s="52" t="inlineStr">
        <is>
          <t>Rolled back DEI programs and diversity goals during the 2024-25 retreat wave</t>
        </is>
      </c>
      <c r="D72" s="51" t="inlineStr">
        <is>
          <t>—</t>
        </is>
      </c>
      <c r="E72" s="51" t="inlineStr">
        <is>
          <t>Negative</t>
        </is>
      </c>
      <c r="F72" s="51" t="n">
        <v>-32</v>
      </c>
      <c r="G72" s="51" t="n">
        <v>2025</v>
      </c>
      <c r="H72" s="52" t="inlineStr">
        <is>
          <t>https://www.cio.com/article/3854334/the-current-state-of-dei-in-the-tech-industry.html</t>
        </is>
      </c>
      <c r="I72" s="52" t="inlineStr">
        <is>
          <t>News</t>
        </is>
      </c>
      <c r="J72" s="51" t="inlineStr">
        <is>
          <t>Yes</t>
        </is>
      </c>
      <c r="K72" s="52" t="inlineStr"/>
    </row>
    <row r="73" ht="23.25" customHeight="1" s="42">
      <c r="A73" s="52" t="inlineStr">
        <is>
          <t>HP</t>
        </is>
      </c>
      <c r="B73" s="52" t="inlineStr">
        <is>
          <t>p_generic_post</t>
        </is>
      </c>
      <c r="C73" s="52" t="inlineStr">
        <is>
          <t>Annual Pride Month posts and branding</t>
        </is>
      </c>
      <c r="D73" s="51" t="inlineStr">
        <is>
          <t>Cosmetic</t>
        </is>
      </c>
      <c r="E73" s="51" t="inlineStr">
        <is>
          <t>Positive</t>
        </is>
      </c>
      <c r="F73" s="51" t="n">
        <v>2</v>
      </c>
      <c r="G73" s="51" t="n">
        <v>2024</v>
      </c>
      <c r="H73" s="52" t="inlineStr">
        <is>
          <t>https://web.archive.org/web/2024/https://www.hp.com/us-en/hp-information/about-hp/diversity.html</t>
        </is>
      </c>
      <c r="I73" s="52" t="inlineStr">
        <is>
          <t>Archive</t>
        </is>
      </c>
      <c r="J73" s="51" t="inlineStr">
        <is>
          <t>No</t>
        </is>
      </c>
      <c r="K73" s="52" t="inlineStr"/>
    </row>
    <row r="74" ht="23.25" customHeight="1" s="42">
      <c r="A74" s="52" t="inlineStr">
        <is>
          <t>HP</t>
        </is>
      </c>
      <c r="B74" s="52" t="inlineStr">
        <is>
          <t>p_erg_support</t>
        </is>
      </c>
      <c r="C74" s="52" t="inlineStr">
        <is>
          <t>Funded LGBTQ+ ERG (Pride Business Impact Network)</t>
        </is>
      </c>
      <c r="D74" s="51" t="inlineStr">
        <is>
          <t>Civic</t>
        </is>
      </c>
      <c r="E74" s="51" t="inlineStr">
        <is>
          <t>Positive</t>
        </is>
      </c>
      <c r="F74" s="51" t="n">
        <v>15</v>
      </c>
      <c r="G74" s="51" t="n">
        <v>2024</v>
      </c>
      <c r="H74" s="52" t="inlineStr">
        <is>
          <t>https://web.archive.org/web/2024/https://www.hp.com/us-en/hp-information/about-hp/diversity.html</t>
        </is>
      </c>
      <c r="I74" s="52" t="inlineStr">
        <is>
          <t>Archive</t>
        </is>
      </c>
      <c r="J74" s="51" t="inlineStr">
        <is>
          <t>No</t>
        </is>
      </c>
      <c r="K74" s="52" t="inlineStr"/>
    </row>
    <row r="75" ht="23.25" customHeight="1" s="42">
      <c r="A75" s="52" t="inlineStr">
        <is>
          <t>HP</t>
        </is>
      </c>
      <c r="B75" s="52" t="inlineStr">
        <is>
          <t>p_benefits</t>
        </is>
      </c>
      <c r="C75" s="52" t="inlineStr">
        <is>
          <t>Inclusive partner and gender-affirming benefits (CEI-verified)</t>
        </is>
      </c>
      <c r="D75" s="51" t="inlineStr">
        <is>
          <t>Structural</t>
        </is>
      </c>
      <c r="E75" s="51" t="inlineStr">
        <is>
          <t>Positive</t>
        </is>
      </c>
      <c r="F75" s="51" t="n">
        <v>22</v>
      </c>
      <c r="G75" s="51" t="n">
        <v>2024</v>
      </c>
      <c r="H75" s="52" t="inlineStr">
        <is>
          <t>https://reports.hrc.org/corporate-equality-index-2025</t>
        </is>
      </c>
      <c r="I75" s="52" t="inlineStr">
        <is>
          <t>HRC</t>
        </is>
      </c>
      <c r="J75" s="51" t="inlineStr">
        <is>
          <t>No</t>
        </is>
      </c>
      <c r="K75" s="52" t="inlineStr"/>
    </row>
    <row r="76" ht="23.25" customHeight="1" s="42">
      <c r="A76" s="52" t="inlineStr">
        <is>
          <t>Walmart</t>
        </is>
      </c>
      <c r="B76" s="52" t="inlineStr">
        <is>
          <t>p_logo_rainbow</t>
        </is>
      </c>
      <c r="C76" s="52" t="inlineStr">
        <is>
          <t>Annual rainbow branding during Pride Month (through 2024)</t>
        </is>
      </c>
      <c r="D76" s="51" t="inlineStr">
        <is>
          <t>Cosmetic</t>
        </is>
      </c>
      <c r="E76" s="51" t="inlineStr">
        <is>
          <t>Positive</t>
        </is>
      </c>
      <c r="F76" s="51" t="n">
        <v>3</v>
      </c>
      <c r="G76" s="51" t="n">
        <v>2024</v>
      </c>
      <c r="H76" s="52" t="inlineStr">
        <is>
          <t>https://web.archive.org/web/2024/https://corporate.walmart.com/purpose/belonging</t>
        </is>
      </c>
      <c r="I76" s="52" t="inlineStr">
        <is>
          <t>Archive</t>
        </is>
      </c>
      <c r="J76" s="51" t="inlineStr">
        <is>
          <t>No</t>
        </is>
      </c>
      <c r="K76" s="52" t="inlineStr"/>
    </row>
    <row r="77" ht="23.25" customHeight="1" s="42">
      <c r="A77" s="52" t="inlineStr">
        <is>
          <t>Walmart</t>
        </is>
      </c>
      <c r="B77" s="52" t="inlineStr">
        <is>
          <t>p_generic_post</t>
        </is>
      </c>
      <c r="C77" s="52" t="inlineStr">
        <is>
          <t>Annual Pride Month statements</t>
        </is>
      </c>
      <c r="D77" s="51" t="inlineStr">
        <is>
          <t>Cosmetic</t>
        </is>
      </c>
      <c r="E77" s="51" t="inlineStr">
        <is>
          <t>Positive</t>
        </is>
      </c>
      <c r="F77" s="51" t="n">
        <v>2</v>
      </c>
      <c r="G77" s="51" t="n">
        <v>2024</v>
      </c>
      <c r="H77" s="52" t="inlineStr">
        <is>
          <t>https://web.archive.org/web/2024/https://corporate.walmart.com/purpose/belonging</t>
        </is>
      </c>
      <c r="I77" s="52" t="inlineStr">
        <is>
          <t>Archive</t>
        </is>
      </c>
      <c r="J77" s="51" t="inlineStr">
        <is>
          <t>No</t>
        </is>
      </c>
      <c r="K77" s="52" t="inlineStr"/>
    </row>
    <row r="78" ht="23.25" customHeight="1" s="42">
      <c r="A78" s="52" t="inlineStr">
        <is>
          <t>Walmart</t>
        </is>
      </c>
      <c r="B78" s="52" t="inlineStr">
        <is>
          <t>p_merch_collection</t>
        </is>
      </c>
      <c r="C78" s="52" t="inlineStr">
        <is>
          <t>Pride merchandise assortment sold annually (scaled back after 2024)</t>
        </is>
      </c>
      <c r="D78" s="51" t="inlineStr">
        <is>
          <t>Commercial</t>
        </is>
      </c>
      <c r="E78" s="51" t="inlineStr">
        <is>
          <t>Positive</t>
        </is>
      </c>
      <c r="F78" s="51" t="n">
        <v>6</v>
      </c>
      <c r="G78" s="51" t="n">
        <v>2024</v>
      </c>
      <c r="H78" s="52" t="inlineStr">
        <is>
          <t>https://www.techtarget.com/whatis/feature/What-companies-are-rolling-back-DEI-policies</t>
        </is>
      </c>
      <c r="I78" s="52" t="inlineStr">
        <is>
          <t>News</t>
        </is>
      </c>
      <c r="J78" s="51" t="inlineStr">
        <is>
          <t>No</t>
        </is>
      </c>
      <c r="K78" s="52" t="inlineStr"/>
    </row>
    <row r="79" ht="23.25" customHeight="1" s="42">
      <c r="A79" s="52" t="inlineStr">
        <is>
          <t>Walmart</t>
        </is>
      </c>
      <c r="B79" s="52" t="inlineStr">
        <is>
          <t>p_parade_sponsor</t>
        </is>
      </c>
      <c r="C79" s="52" t="inlineStr">
        <is>
          <t>Sponsorship of Pride events incl. Stonewall Columbus (ended 2025)</t>
        </is>
      </c>
      <c r="D79" s="51" t="inlineStr">
        <is>
          <t>Civic</t>
        </is>
      </c>
      <c r="E79" s="51" t="inlineStr">
        <is>
          <t>Positive</t>
        </is>
      </c>
      <c r="F79" s="51" t="n">
        <v>12</v>
      </c>
      <c r="G79" s="51" t="n">
        <v>2024</v>
      </c>
      <c r="H79" s="52" t="inlineStr">
        <is>
          <t>https://www.advocate.com/news/companies-that-stopped-sponsoring-pride</t>
        </is>
      </c>
      <c r="I79" s="52" t="inlineStr">
        <is>
          <t>News</t>
        </is>
      </c>
      <c r="J79" s="51" t="inlineStr">
        <is>
          <t>No</t>
        </is>
      </c>
      <c r="K79" s="52" t="inlineStr"/>
    </row>
    <row r="80" ht="23.25" customHeight="1" s="42">
      <c r="A80" s="52" t="inlineStr">
        <is>
          <t>Walmart</t>
        </is>
      </c>
      <c r="B80" s="52" t="inlineStr">
        <is>
          <t>p_erg_support</t>
        </is>
      </c>
      <c r="C80" s="52" t="inlineStr">
        <is>
          <t>Funded PRIDE associate resource group</t>
        </is>
      </c>
      <c r="D80" s="51" t="inlineStr">
        <is>
          <t>Civic</t>
        </is>
      </c>
      <c r="E80" s="51" t="inlineStr">
        <is>
          <t>Positive</t>
        </is>
      </c>
      <c r="F80" s="51" t="n">
        <v>15</v>
      </c>
      <c r="G80" s="51" t="n">
        <v>2024</v>
      </c>
      <c r="H80" s="52" t="inlineStr">
        <is>
          <t>https://web.archive.org/web/2024/https://corporate.walmart.com/purpose/belonging</t>
        </is>
      </c>
      <c r="I80" s="52" t="inlineStr">
        <is>
          <t>Archive</t>
        </is>
      </c>
      <c r="J80" s="51" t="inlineStr">
        <is>
          <t>No</t>
        </is>
      </c>
      <c r="K80" s="52" t="inlineStr"/>
    </row>
    <row r="81" ht="23.25" customHeight="1" s="42">
      <c r="A81" s="52" t="inlineStr">
        <is>
          <t>Walmart</t>
        </is>
      </c>
      <c r="B81" s="52" t="inlineStr">
        <is>
          <t>n_dei_removal</t>
        </is>
      </c>
      <c r="C81" s="52" t="inlineStr">
        <is>
          <t>Ended CEI participation, supplier diversity, equity training; erased 'diversity' from documents; pulled some LGBTQ+ products</t>
        </is>
      </c>
      <c r="D81" s="51" t="inlineStr">
        <is>
          <t>—</t>
        </is>
      </c>
      <c r="E81" s="51" t="inlineStr">
        <is>
          <t>Negative</t>
        </is>
      </c>
      <c r="F81" s="51" t="n">
        <v>-32</v>
      </c>
      <c r="G81" s="51" t="n">
        <v>2024</v>
      </c>
      <c r="H81" s="52" t="inlineStr">
        <is>
          <t>https://www.techtarget.com/whatis/feature/What-companies-are-rolling-back-DEI-policies</t>
        </is>
      </c>
      <c r="I81" s="52" t="inlineStr">
        <is>
          <t>News</t>
        </is>
      </c>
      <c r="J81" s="51" t="inlineStr">
        <is>
          <t>No</t>
        </is>
      </c>
      <c r="K81" s="52" t="inlineStr">
        <is>
          <t>Nov 2024, responding to Robby Starbuck campaign; archived before-state: https://web.archive.org/web/2024/https://corporate.walmart.com/purpose/belonging</t>
        </is>
      </c>
    </row>
    <row r="82" ht="23.25" customHeight="1" s="42">
      <c r="A82" s="52" t="inlineStr">
        <is>
          <t>Walmart</t>
        </is>
      </c>
      <c r="B82" s="52" t="inlineStr">
        <is>
          <t>n_pride_retreat</t>
        </is>
      </c>
      <c r="C82" s="52" t="inlineStr">
        <is>
          <t>Withdrew Stonewall Columbus Pride sponsorship; scaled back Pride event support nationally</t>
        </is>
      </c>
      <c r="D82" s="51" t="inlineStr">
        <is>
          <t>—</t>
        </is>
      </c>
      <c r="E82" s="51" t="inlineStr">
        <is>
          <t>Negative</t>
        </is>
      </c>
      <c r="F82" s="51" t="n">
        <v>-22</v>
      </c>
      <c r="G82" s="51" t="n">
        <v>2025</v>
      </c>
      <c r="H82" s="52" t="inlineStr">
        <is>
          <t>https://www.advocate.com/news/companies-that-stopped-sponsoring-pride</t>
        </is>
      </c>
      <c r="I82" s="52" t="inlineStr">
        <is>
          <t>News</t>
        </is>
      </c>
      <c r="J82" s="51" t="inlineStr">
        <is>
          <t>Yes</t>
        </is>
      </c>
      <c r="K82" s="52" t="inlineStr"/>
    </row>
    <row r="83" ht="23.25" customHeight="1" s="42">
      <c r="A83" s="52" t="inlineStr">
        <is>
          <t>Target</t>
        </is>
      </c>
      <c r="B83" s="52" t="inlineStr">
        <is>
          <t>p_logo_rainbow</t>
        </is>
      </c>
      <c r="C83" s="52" t="inlineStr">
        <is>
          <t>Annual rainbow branding and Pride campaign visuals</t>
        </is>
      </c>
      <c r="D83" s="51" t="inlineStr">
        <is>
          <t>Cosmetic</t>
        </is>
      </c>
      <c r="E83" s="51" t="inlineStr">
        <is>
          <t>Positive</t>
        </is>
      </c>
      <c r="F83" s="51" t="n">
        <v>3</v>
      </c>
      <c r="G83" s="51" t="n">
        <v>2024</v>
      </c>
      <c r="H83" s="52" t="inlineStr">
        <is>
          <t>https://en.wikipedia.org/wiki/2023_Target_Pride_Month_merchandise_backlash</t>
        </is>
      </c>
      <c r="I83" s="52" t="inlineStr">
        <is>
          <t>News</t>
        </is>
      </c>
      <c r="J83" s="51" t="inlineStr">
        <is>
          <t>No</t>
        </is>
      </c>
      <c r="K83" s="52" t="inlineStr"/>
    </row>
    <row r="84" ht="23.25" customHeight="1" s="42">
      <c r="A84" s="52" t="inlineStr">
        <is>
          <t>Target</t>
        </is>
      </c>
      <c r="B84" s="52" t="inlineStr">
        <is>
          <t>p_generic_post</t>
        </is>
      </c>
      <c r="C84" s="52" t="inlineStr">
        <is>
          <t>Annual Pride Month statements</t>
        </is>
      </c>
      <c r="D84" s="51" t="inlineStr">
        <is>
          <t>Cosmetic</t>
        </is>
      </c>
      <c r="E84" s="51" t="inlineStr">
        <is>
          <t>Positive</t>
        </is>
      </c>
      <c r="F84" s="51" t="n">
        <v>2</v>
      </c>
      <c r="G84" s="51" t="n">
        <v>2024</v>
      </c>
      <c r="H84" s="52" t="inlineStr">
        <is>
          <t>https://web.archive.org/web/2024/https://corporate.target.com/sustainability-governance/our-team/diversity-equity-inclusion</t>
        </is>
      </c>
      <c r="I84" s="52" t="inlineStr">
        <is>
          <t>Archive</t>
        </is>
      </c>
      <c r="J84" s="51" t="inlineStr">
        <is>
          <t>No</t>
        </is>
      </c>
      <c r="K84" s="52" t="inlineStr"/>
    </row>
    <row r="85" ht="23.25" customHeight="1" s="42">
      <c r="A85" s="52" t="inlineStr">
        <is>
          <t>Target</t>
        </is>
      </c>
      <c r="B85" s="52" t="inlineStr">
        <is>
          <t>p_merch_collection</t>
        </is>
      </c>
      <c r="C85" s="52" t="inlineStr">
        <is>
          <t>Major annual Pride merchandise collections (2012-2023 era flagship retailer)</t>
        </is>
      </c>
      <c r="D85" s="51" t="inlineStr">
        <is>
          <t>Commercial</t>
        </is>
      </c>
      <c r="E85" s="51" t="inlineStr">
        <is>
          <t>Positive</t>
        </is>
      </c>
      <c r="F85" s="51" t="n">
        <v>6</v>
      </c>
      <c r="G85" s="51" t="n">
        <v>2023</v>
      </c>
      <c r="H85" s="52" t="inlineStr">
        <is>
          <t>https://en.wikipedia.org/wiki/2023_Target_Pride_Month_merchandise_backlash</t>
        </is>
      </c>
      <c r="I85" s="52" t="inlineStr">
        <is>
          <t>News</t>
        </is>
      </c>
      <c r="J85" s="51" t="inlineStr">
        <is>
          <t>No</t>
        </is>
      </c>
      <c r="K85" s="52" t="inlineStr"/>
    </row>
    <row r="86" ht="23.25" customHeight="1" s="42">
      <c r="A86" s="52" t="inlineStr">
        <is>
          <t>Target</t>
        </is>
      </c>
      <c r="B86" s="52" t="inlineStr">
        <is>
          <t>p_collab</t>
        </is>
      </c>
      <c r="C86" s="52" t="inlineStr">
        <is>
          <t>Pride collections designed with LGBTQ+ designers and brands</t>
        </is>
      </c>
      <c r="D86" s="51" t="inlineStr">
        <is>
          <t>Commercial</t>
        </is>
      </c>
      <c r="E86" s="51" t="inlineStr">
        <is>
          <t>Positive</t>
        </is>
      </c>
      <c r="F86" s="51" t="n">
        <v>8</v>
      </c>
      <c r="G86" s="51" t="n">
        <v>2023</v>
      </c>
      <c r="H86" s="52" t="inlineStr">
        <is>
          <t>https://en.wikipedia.org/wiki/2023_Target_Pride_Month_merchandise_backlash</t>
        </is>
      </c>
      <c r="I86" s="52" t="inlineStr">
        <is>
          <t>News</t>
        </is>
      </c>
      <c r="J86" s="51" t="inlineStr">
        <is>
          <t>No</t>
        </is>
      </c>
      <c r="K86" s="52" t="inlineStr"/>
    </row>
    <row r="87" ht="23.25" customHeight="1" s="42">
      <c r="A87" s="52" t="inlineStr">
        <is>
          <t>Target</t>
        </is>
      </c>
      <c r="B87" s="52" t="inlineStr">
        <is>
          <t>p_parade_sponsor</t>
        </is>
      </c>
      <c r="C87" s="52" t="inlineStr">
        <is>
          <t>Longtime Twin Cities Pride sponsor; NYC Pride Platinum-level donor ($175K tier)</t>
        </is>
      </c>
      <c r="D87" s="51" t="inlineStr">
        <is>
          <t>Civic</t>
        </is>
      </c>
      <c r="E87" s="51" t="inlineStr">
        <is>
          <t>Positive</t>
        </is>
      </c>
      <c r="F87" s="51" t="n">
        <v>12</v>
      </c>
      <c r="G87" s="51" t="n">
        <v>2024</v>
      </c>
      <c r="H87" s="52" t="inlineStr">
        <is>
          <t>https://www.advocate.com/news/companies-that-stopped-sponsoring-pride</t>
        </is>
      </c>
      <c r="I87" s="52" t="inlineStr">
        <is>
          <t>News</t>
        </is>
      </c>
      <c r="J87" s="51" t="inlineStr">
        <is>
          <t>No</t>
        </is>
      </c>
      <c r="K87" s="52" t="inlineStr"/>
    </row>
    <row r="88" ht="23.25" customHeight="1" s="42">
      <c r="A88" s="52" t="inlineStr">
        <is>
          <t>Target</t>
        </is>
      </c>
      <c r="B88" s="52" t="inlineStr">
        <is>
          <t>n_pride_retreat</t>
        </is>
      </c>
      <c r="C88" s="52" t="inlineStr">
        <is>
          <t>Pulled Pride merchandise from stores under pressure (2023); 2025 NYC Pride support reduced to unlisted 'silent partner'; dropped by Twin Cities Pride</t>
        </is>
      </c>
      <c r="D88" s="51" t="inlineStr">
        <is>
          <t>—</t>
        </is>
      </c>
      <c r="E88" s="51" t="inlineStr">
        <is>
          <t>Negative</t>
        </is>
      </c>
      <c r="F88" s="51" t="n">
        <v>-22</v>
      </c>
      <c r="G88" s="51" t="n">
        <v>2023</v>
      </c>
      <c r="H88" s="52" t="inlineStr">
        <is>
          <t>https://en.wikipedia.org/wiki/2023_Target_Pride_Month_merchandise_backlash</t>
        </is>
      </c>
      <c r="I88" s="52" t="inlineStr">
        <is>
          <t>News</t>
        </is>
      </c>
      <c r="J88" s="51" t="inlineStr">
        <is>
          <t>No</t>
        </is>
      </c>
      <c r="K88" s="52" t="inlineStr">
        <is>
          <t>2025 silent-partner status: https://www.advocate.com/news/companies-that-stopped-sponsoring-pride</t>
        </is>
      </c>
    </row>
    <row r="89" ht="23.25" customHeight="1" s="42">
      <c r="A89" s="52" t="inlineStr">
        <is>
          <t>Target</t>
        </is>
      </c>
      <c r="B89" s="52" t="inlineStr">
        <is>
          <t>n_dei_removal</t>
        </is>
      </c>
      <c r="C89" s="52" t="inlineStr">
        <is>
          <t>Ended three-year DEI goals; stopped reporting to HRC CEI and other external surveys; ended minority-supplier program</t>
        </is>
      </c>
      <c r="D89" s="51" t="inlineStr">
        <is>
          <t>—</t>
        </is>
      </c>
      <c r="E89" s="51" t="inlineStr">
        <is>
          <t>Negative</t>
        </is>
      </c>
      <c r="F89" s="51" t="n">
        <v>-32</v>
      </c>
      <c r="G89" s="51" t="n">
        <v>2025</v>
      </c>
      <c r="H89" s="52" t="inlineStr">
        <is>
          <t>https://www.cnbc.com/2025/01/24/target-rolls-back-major-dei-initiatives.html</t>
        </is>
      </c>
      <c r="I89" s="52" t="inlineStr">
        <is>
          <t>News</t>
        </is>
      </c>
      <c r="J89" s="51" t="inlineStr">
        <is>
          <t>Yes</t>
        </is>
      </c>
      <c r="K89" s="52" t="inlineStr">
        <is>
          <t>Archived before-state: https://web.archive.org/web/2024/https://corporate.target.com/sustainability-governance/our-team/diversity-equity-inclusion</t>
        </is>
      </c>
    </row>
    <row r="90" ht="23.25" customHeight="1" s="42">
      <c r="A90" s="52" t="inlineStr">
        <is>
          <t>Costco</t>
        </is>
      </c>
      <c r="B90" s="52" t="inlineStr">
        <is>
          <t>p_dei_explicit</t>
        </is>
      </c>
      <c r="C90" s="52" t="inlineStr">
        <is>
          <t>Board publicly defended diversity &amp; inclusion commitments against anti-DEI shareholder proposal</t>
        </is>
      </c>
      <c r="D90" s="51" t="inlineStr">
        <is>
          <t>Structural</t>
        </is>
      </c>
      <c r="E90" s="51" t="inlineStr">
        <is>
          <t>Positive</t>
        </is>
      </c>
      <c r="F90" s="51" t="n">
        <v>20</v>
      </c>
      <c r="G90" s="51" t="n">
        <v>2025</v>
      </c>
      <c r="H90" s="52" t="inlineStr">
        <is>
          <t>https://www.cbsnews.com/news/costco-dei-policy-board-statement-shareholder-meeting-vote/</t>
        </is>
      </c>
      <c r="I90" s="52" t="inlineStr">
        <is>
          <t>News</t>
        </is>
      </c>
      <c r="J90" s="51" t="inlineStr">
        <is>
          <t>Yes</t>
        </is>
      </c>
      <c r="K90" s="52" t="inlineStr">
        <is>
          <t>98%+ shareholder rejection of anti-DEI measure</t>
        </is>
      </c>
    </row>
    <row r="91" ht="23.25" customHeight="1" s="42">
      <c r="A91" s="52" t="inlineStr">
        <is>
          <t>Costco</t>
        </is>
      </c>
      <c r="B91" s="52" t="inlineStr">
        <is>
          <t>p_benefits</t>
        </is>
      </c>
      <c r="C91" s="52" t="inlineStr">
        <is>
          <t>Inclusive partner and transgender-inclusive health benefits</t>
        </is>
      </c>
      <c r="D91" s="51" t="inlineStr">
        <is>
          <t>Structural</t>
        </is>
      </c>
      <c r="E91" s="51" t="inlineStr">
        <is>
          <t>Positive</t>
        </is>
      </c>
      <c r="F91" s="51" t="n">
        <v>22</v>
      </c>
      <c r="G91" s="51" t="n">
        <v>2024</v>
      </c>
      <c r="H91" s="52" t="inlineStr">
        <is>
          <t>https://reports.hrc.org/corporate-equality-index-2025</t>
        </is>
      </c>
      <c r="I91" s="52" t="inlineStr">
        <is>
          <t>HRC</t>
        </is>
      </c>
      <c r="J91" s="51" t="inlineStr">
        <is>
          <t>No</t>
        </is>
      </c>
      <c r="K91" s="52" t="inlineStr"/>
    </row>
    <row r="92" ht="23.25" customHeight="1" s="42">
      <c r="A92" s="52" t="inlineStr">
        <is>
          <t>Lowe's</t>
        </is>
      </c>
      <c r="B92" s="52" t="inlineStr">
        <is>
          <t>p_logo_rainbow</t>
        </is>
      </c>
      <c r="C92" s="52" t="inlineStr">
        <is>
          <t>Pride Month branding (through 2024)</t>
        </is>
      </c>
      <c r="D92" s="51" t="inlineStr">
        <is>
          <t>Cosmetic</t>
        </is>
      </c>
      <c r="E92" s="51" t="inlineStr">
        <is>
          <t>Positive</t>
        </is>
      </c>
      <c r="F92" s="51" t="n">
        <v>3</v>
      </c>
      <c r="G92" s="51" t="n">
        <v>2024</v>
      </c>
      <c r="H92" s="52" t="inlineStr">
        <is>
          <t>https://web.archive.org/web/2024/https://corporate.lowes.com/who-we-are/culture-diversity</t>
        </is>
      </c>
      <c r="I92" s="52" t="inlineStr">
        <is>
          <t>Archive</t>
        </is>
      </c>
      <c r="J92" s="51" t="inlineStr">
        <is>
          <t>No</t>
        </is>
      </c>
      <c r="K92" s="52" t="inlineStr"/>
    </row>
    <row r="93" ht="23.25" customHeight="1" s="42">
      <c r="A93" s="52" t="inlineStr">
        <is>
          <t>Lowe's</t>
        </is>
      </c>
      <c r="B93" s="52" t="inlineStr">
        <is>
          <t>p_generic_post</t>
        </is>
      </c>
      <c r="C93" s="52" t="inlineStr">
        <is>
          <t>Annual Pride Month statements</t>
        </is>
      </c>
      <c r="D93" s="51" t="inlineStr">
        <is>
          <t>Cosmetic</t>
        </is>
      </c>
      <c r="E93" s="51" t="inlineStr">
        <is>
          <t>Positive</t>
        </is>
      </c>
      <c r="F93" s="51" t="n">
        <v>2</v>
      </c>
      <c r="G93" s="51" t="n">
        <v>2024</v>
      </c>
      <c r="H93" s="52" t="inlineStr">
        <is>
          <t>https://web.archive.org/web/2024/https://corporate.lowes.com/who-we-are/culture-diversity</t>
        </is>
      </c>
      <c r="I93" s="52" t="inlineStr">
        <is>
          <t>Archive</t>
        </is>
      </c>
      <c r="J93" s="51" t="inlineStr">
        <is>
          <t>No</t>
        </is>
      </c>
      <c r="K93" s="52" t="inlineStr"/>
    </row>
    <row r="94" ht="23.25" customHeight="1" s="42">
      <c r="A94" s="52" t="inlineStr">
        <is>
          <t>Lowe's</t>
        </is>
      </c>
      <c r="B94" s="52" t="inlineStr">
        <is>
          <t>p_parade_sponsor</t>
        </is>
      </c>
      <c r="C94" s="52" t="inlineStr">
        <is>
          <t>Pride event sponsorships incl. Stonewall Columbus (ended)</t>
        </is>
      </c>
      <c r="D94" s="51" t="inlineStr">
        <is>
          <t>Civic</t>
        </is>
      </c>
      <c r="E94" s="51" t="inlineStr">
        <is>
          <t>Positive</t>
        </is>
      </c>
      <c r="F94" s="51" t="n">
        <v>12</v>
      </c>
      <c r="G94" s="51" t="n">
        <v>2024</v>
      </c>
      <c r="H94" s="52" t="inlineStr">
        <is>
          <t>https://www.advocate.com/news/companies-that-stopped-sponsoring-pride</t>
        </is>
      </c>
      <c r="I94" s="52" t="inlineStr">
        <is>
          <t>News</t>
        </is>
      </c>
      <c r="J94" s="51" t="inlineStr">
        <is>
          <t>No</t>
        </is>
      </c>
      <c r="K94" s="52" t="inlineStr"/>
    </row>
    <row r="95" ht="23.25" customHeight="1" s="42">
      <c r="A95" s="52" t="inlineStr">
        <is>
          <t>Lowe's</t>
        </is>
      </c>
      <c r="B95" s="52" t="inlineStr">
        <is>
          <t>p_erg_support</t>
        </is>
      </c>
      <c r="C95" s="52" t="inlineStr">
        <is>
          <t>Funded LGBTQ+ ERG (folded into umbrella group Aug 2024)</t>
        </is>
      </c>
      <c r="D95" s="51" t="inlineStr">
        <is>
          <t>Civic</t>
        </is>
      </c>
      <c r="E95" s="51" t="inlineStr">
        <is>
          <t>Positive</t>
        </is>
      </c>
      <c r="F95" s="51" t="n">
        <v>15</v>
      </c>
      <c r="G95" s="51" t="n">
        <v>2023</v>
      </c>
      <c r="H95" s="52" t="inlineStr">
        <is>
          <t>https://www.hrc.org/press-releases/hrc-foundation-announces-record-participation-in-upcoming-2025-corporate-equality-index-docks-scores-of-seven-companies-in-current-ranking-following-their-pullback-from-workplace-inclusion</t>
        </is>
      </c>
      <c r="I95" s="52" t="inlineStr">
        <is>
          <t>HRC</t>
        </is>
      </c>
      <c r="J95" s="51" t="inlineStr">
        <is>
          <t>No</t>
        </is>
      </c>
      <c r="K95" s="52" t="inlineStr"/>
    </row>
    <row r="96" ht="23.25" customHeight="1" s="42">
      <c r="A96" s="52" t="inlineStr">
        <is>
          <t>Lowe's</t>
        </is>
      </c>
      <c r="B96" s="52" t="inlineStr">
        <is>
          <t>n_dei_removal</t>
        </is>
      </c>
      <c r="C96" s="52" t="inlineStr">
        <is>
          <t>Ended CEI participation, consolidated identity ERGs, ended Pride sponsorships after activist pressure; HRC docked CEI score -25</t>
        </is>
      </c>
      <c r="D96" s="51" t="inlineStr">
        <is>
          <t>—</t>
        </is>
      </c>
      <c r="E96" s="51" t="inlineStr">
        <is>
          <t>Negative</t>
        </is>
      </c>
      <c r="F96" s="51" t="n">
        <v>-32</v>
      </c>
      <c r="G96" s="51" t="n">
        <v>2024</v>
      </c>
      <c r="H96" s="52" t="inlineStr">
        <is>
          <t>https://www.hrc.org/press-releases/hrc-foundation-announces-record-participation-in-upcoming-2025-corporate-equality-index-docks-scores-of-seven-companies-in-current-ranking-following-their-pullback-from-workplace-inclusion</t>
        </is>
      </c>
      <c r="I96" s="52" t="inlineStr">
        <is>
          <t>HRC</t>
        </is>
      </c>
      <c r="J96" s="51" t="inlineStr">
        <is>
          <t>No</t>
        </is>
      </c>
      <c r="K96" s="52" t="inlineStr">
        <is>
          <t>One of 7 companies docked by HRC</t>
        </is>
      </c>
    </row>
    <row r="97" ht="23.25" customHeight="1" s="42">
      <c r="A97" s="52" t="inlineStr">
        <is>
          <t>Lowe's</t>
        </is>
      </c>
      <c r="B97" s="52" t="inlineStr">
        <is>
          <t>n_pride_retreat</t>
        </is>
      </c>
      <c r="C97" s="52" t="inlineStr">
        <is>
          <t>Withdrew Columbus Pride support in 2025 (part of ~$125K in withdrawn sponsorships)</t>
        </is>
      </c>
      <c r="D97" s="51" t="inlineStr">
        <is>
          <t>—</t>
        </is>
      </c>
      <c r="E97" s="51" t="inlineStr">
        <is>
          <t>Negative</t>
        </is>
      </c>
      <c r="F97" s="51" t="n">
        <v>-22</v>
      </c>
      <c r="G97" s="51" t="n">
        <v>2025</v>
      </c>
      <c r="H97" s="52" t="inlineStr">
        <is>
          <t>https://www.advocate.com/news/companies-that-stopped-sponsoring-pride</t>
        </is>
      </c>
      <c r="I97" s="52" t="inlineStr">
        <is>
          <t>News</t>
        </is>
      </c>
      <c r="J97" s="51" t="inlineStr">
        <is>
          <t>Yes</t>
        </is>
      </c>
      <c r="K97" s="52" t="inlineStr"/>
    </row>
    <row r="98" ht="23.25" customHeight="1" s="42">
      <c r="A98" s="52" t="inlineStr">
        <is>
          <t>Best Buy</t>
        </is>
      </c>
      <c r="B98" s="52" t="inlineStr">
        <is>
          <t>p_generic_post</t>
        </is>
      </c>
      <c r="C98" s="52" t="inlineStr">
        <is>
          <t>Annual Pride Month posts and campaigns</t>
        </is>
      </c>
      <c r="D98" s="51" t="inlineStr">
        <is>
          <t>Cosmetic</t>
        </is>
      </c>
      <c r="E98" s="51" t="inlineStr">
        <is>
          <t>Positive</t>
        </is>
      </c>
      <c r="F98" s="51" t="n">
        <v>2</v>
      </c>
      <c r="G98" s="51" t="n">
        <v>2024</v>
      </c>
      <c r="H98" s="52" t="inlineStr">
        <is>
          <t>https://web.archive.org/web/2024/https://corporate.bestbuy.com/inclusion-diversity/</t>
        </is>
      </c>
      <c r="I98" s="52" t="inlineStr">
        <is>
          <t>Archive</t>
        </is>
      </c>
      <c r="J98" s="51" t="inlineStr">
        <is>
          <t>No</t>
        </is>
      </c>
      <c r="K98" s="52" t="inlineStr"/>
    </row>
    <row r="99" ht="23.25" customHeight="1" s="42">
      <c r="A99" s="52" t="inlineStr">
        <is>
          <t>Best Buy</t>
        </is>
      </c>
      <c r="B99" s="52" t="inlineStr">
        <is>
          <t>p_erg_support</t>
        </is>
      </c>
      <c r="C99" s="52" t="inlineStr">
        <is>
          <t>Funded PRIDE employee resource group</t>
        </is>
      </c>
      <c r="D99" s="51" t="inlineStr">
        <is>
          <t>Civic</t>
        </is>
      </c>
      <c r="E99" s="51" t="inlineStr">
        <is>
          <t>Positive</t>
        </is>
      </c>
      <c r="F99" s="51" t="n">
        <v>15</v>
      </c>
      <c r="G99" s="51" t="n">
        <v>2024</v>
      </c>
      <c r="H99" s="52" t="inlineStr">
        <is>
          <t>https://web.archive.org/web/2024/https://corporate.bestbuy.com/inclusion-diversity/</t>
        </is>
      </c>
      <c r="I99" s="52" t="inlineStr">
        <is>
          <t>Archive</t>
        </is>
      </c>
      <c r="J99" s="51" t="inlineStr">
        <is>
          <t>No</t>
        </is>
      </c>
      <c r="K99" s="52" t="inlineStr"/>
    </row>
    <row r="100" ht="23.25" customHeight="1" s="42">
      <c r="A100" s="52" t="inlineStr">
        <is>
          <t>Best Buy</t>
        </is>
      </c>
      <c r="B100" s="52" t="inlineStr">
        <is>
          <t>p_benefits</t>
        </is>
      </c>
      <c r="C100" s="52" t="inlineStr">
        <is>
          <t>Inclusive partner and gender-affirming benefits (CEI-verified)</t>
        </is>
      </c>
      <c r="D100" s="51" t="inlineStr">
        <is>
          <t>Structural</t>
        </is>
      </c>
      <c r="E100" s="51" t="inlineStr">
        <is>
          <t>Positive</t>
        </is>
      </c>
      <c r="F100" s="51" t="n">
        <v>22</v>
      </c>
      <c r="G100" s="51" t="n">
        <v>2024</v>
      </c>
      <c r="H100" s="52" t="inlineStr">
        <is>
          <t>https://reports.hrc.org/corporate-equality-index-2025</t>
        </is>
      </c>
      <c r="I100" s="52" t="inlineStr">
        <is>
          <t>HRC</t>
        </is>
      </c>
      <c r="J100" s="51" t="inlineStr">
        <is>
          <t>No</t>
        </is>
      </c>
      <c r="K100" s="52" t="inlineStr"/>
    </row>
    <row r="101" ht="23.25" customHeight="1" s="42">
      <c r="A101" s="52" t="inlineStr">
        <is>
          <t>Nike</t>
        </is>
      </c>
      <c r="B101" s="52" t="inlineStr">
        <is>
          <t>p_logo_rainbow</t>
        </is>
      </c>
      <c r="C101" s="52" t="inlineStr">
        <is>
          <t>Rainbow/Pride campaign branding across Nike channels</t>
        </is>
      </c>
      <c r="D101" s="51" t="inlineStr">
        <is>
          <t>Cosmetic</t>
        </is>
      </c>
      <c r="E101" s="51" t="inlineStr">
        <is>
          <t>Positive</t>
        </is>
      </c>
      <c r="F101" s="51" t="n">
        <v>3</v>
      </c>
      <c r="G101" s="51" t="n">
        <v>2026</v>
      </c>
      <c r="H101" s="52" t="inlineStr">
        <is>
          <t>https://www.advocate.com/news/culture/2026-pride-month-company-support</t>
        </is>
      </c>
      <c r="I101" s="52" t="inlineStr">
        <is>
          <t>News</t>
        </is>
      </c>
      <c r="J101" s="51" t="inlineStr">
        <is>
          <t>Yes</t>
        </is>
      </c>
      <c r="K101" s="52" t="inlineStr"/>
    </row>
    <row r="102" ht="23.25" customHeight="1" s="42">
      <c r="A102" s="52" t="inlineStr">
        <is>
          <t>Nike</t>
        </is>
      </c>
      <c r="B102" s="52" t="inlineStr">
        <is>
          <t>p_merch_collection</t>
        </is>
      </c>
      <c r="C102" s="52" t="inlineStr">
        <is>
          <t>'Love Unites' Pride collection (2026); BETRUE line annually 2012-2023</t>
        </is>
      </c>
      <c r="D102" s="51" t="inlineStr">
        <is>
          <t>Commercial</t>
        </is>
      </c>
      <c r="E102" s="51" t="inlineStr">
        <is>
          <t>Positive</t>
        </is>
      </c>
      <c r="F102" s="51" t="n">
        <v>6</v>
      </c>
      <c r="G102" s="51" t="n">
        <v>2026</v>
      </c>
      <c r="H102" s="52" t="inlineStr">
        <is>
          <t>https://www.advocate.com/news/culture/2026-pride-month-company-support</t>
        </is>
      </c>
      <c r="I102" s="52" t="inlineStr">
        <is>
          <t>News</t>
        </is>
      </c>
      <c r="J102" s="51" t="inlineStr">
        <is>
          <t>Yes</t>
        </is>
      </c>
      <c r="K102" s="52" t="inlineStr"/>
    </row>
    <row r="103" ht="23.25" customHeight="1" s="42">
      <c r="A103" s="52" t="inlineStr">
        <is>
          <t>Nike</t>
        </is>
      </c>
      <c r="B103" s="52" t="inlineStr">
        <is>
          <t>p_collab</t>
        </is>
      </c>
      <c r="C103" s="52" t="inlineStr">
        <is>
          <t>BETRUE collaborations with LGBTQ+ athletes and designers (2012-2023)</t>
        </is>
      </c>
      <c r="D103" s="51" t="inlineStr">
        <is>
          <t>Commercial</t>
        </is>
      </c>
      <c r="E103" s="51" t="inlineStr">
        <is>
          <t>Positive</t>
        </is>
      </c>
      <c r="F103" s="51" t="n">
        <v>8</v>
      </c>
      <c r="G103" s="51" t="n">
        <v>2023</v>
      </c>
      <c r="H103" s="52" t="inlineStr">
        <is>
          <t>https://web.archive.org/web/2023/https://www.nike.com/betrue</t>
        </is>
      </c>
      <c r="I103" s="52" t="inlineStr">
        <is>
          <t>Archive</t>
        </is>
      </c>
      <c r="J103" s="51" t="inlineStr">
        <is>
          <t>No</t>
        </is>
      </c>
      <c r="K103" s="52" t="inlineStr"/>
    </row>
    <row r="104" ht="23.25" customHeight="1" s="42">
      <c r="A104" s="52" t="inlineStr">
        <is>
          <t>Abercrombie &amp; Fitch</t>
        </is>
      </c>
      <c r="B104" s="52" t="inlineStr">
        <is>
          <t>p_logo_rainbow</t>
        </is>
      </c>
      <c r="C104" s="52" t="inlineStr">
        <is>
          <t>Pride campaign branding</t>
        </is>
      </c>
      <c r="D104" s="51" t="inlineStr">
        <is>
          <t>Cosmetic</t>
        </is>
      </c>
      <c r="E104" s="51" t="inlineStr">
        <is>
          <t>Positive</t>
        </is>
      </c>
      <c r="F104" s="51" t="n">
        <v>3</v>
      </c>
      <c r="G104" s="51" t="n">
        <v>2026</v>
      </c>
      <c r="H104" s="52" t="inlineStr">
        <is>
          <t>https://www.advocate.com/news/culture/2026-pride-month-company-support</t>
        </is>
      </c>
      <c r="I104" s="52" t="inlineStr">
        <is>
          <t>News</t>
        </is>
      </c>
      <c r="J104" s="51" t="inlineStr">
        <is>
          <t>Yes</t>
        </is>
      </c>
      <c r="K104" s="52" t="inlineStr"/>
    </row>
    <row r="105" ht="23.25" customHeight="1" s="42">
      <c r="A105" s="52" t="inlineStr">
        <is>
          <t>Abercrombie &amp; Fitch</t>
        </is>
      </c>
      <c r="B105" s="52" t="inlineStr">
        <is>
          <t>p_merch_collection</t>
        </is>
      </c>
      <c r="C105" s="52" t="inlineStr">
        <is>
          <t>2026 Pride collection (embroidered denim, tees, etc.)</t>
        </is>
      </c>
      <c r="D105" s="51" t="inlineStr">
        <is>
          <t>Commercial</t>
        </is>
      </c>
      <c r="E105" s="51" t="inlineStr">
        <is>
          <t>Positive</t>
        </is>
      </c>
      <c r="F105" s="51" t="n">
        <v>6</v>
      </c>
      <c r="G105" s="51" t="n">
        <v>2026</v>
      </c>
      <c r="H105" s="52" t="inlineStr">
        <is>
          <t>https://www.advocate.com/news/culture/2026-pride-month-company-support</t>
        </is>
      </c>
      <c r="I105" s="52" t="inlineStr">
        <is>
          <t>News</t>
        </is>
      </c>
      <c r="J105" s="51" t="inlineStr">
        <is>
          <t>Yes</t>
        </is>
      </c>
      <c r="K105" s="52" t="inlineStr"/>
    </row>
    <row r="106" ht="23.25" customHeight="1" s="42">
      <c r="A106" s="52" t="inlineStr">
        <is>
          <t>Abercrombie &amp; Fitch</t>
        </is>
      </c>
      <c r="B106" s="52" t="inlineStr">
        <is>
          <t>p_donation_large</t>
        </is>
      </c>
      <c r="C106" s="52" t="inlineStr">
        <is>
          <t>$400,000 donation to The Trevor Project (2026), continuing a multi-year partnership</t>
        </is>
      </c>
      <c r="D106" s="51" t="inlineStr">
        <is>
          <t>Financial</t>
        </is>
      </c>
      <c r="E106" s="51" t="inlineStr">
        <is>
          <t>Positive</t>
        </is>
      </c>
      <c r="F106" s="51" t="n">
        <v>22</v>
      </c>
      <c r="G106" s="51" t="n">
        <v>2026</v>
      </c>
      <c r="H106" s="52" t="inlineStr">
        <is>
          <t>https://www.advocate.com/news/culture/2026-pride-month-company-support</t>
        </is>
      </c>
      <c r="I106" s="52" t="inlineStr">
        <is>
          <t>News</t>
        </is>
      </c>
      <c r="J106" s="51" t="inlineStr">
        <is>
          <t>Yes</t>
        </is>
      </c>
      <c r="K106" s="52" t="inlineStr"/>
    </row>
    <row r="107" ht="23.25" customHeight="1" s="42">
      <c r="A107" s="52" t="inlineStr">
        <is>
          <t>American Eagle</t>
        </is>
      </c>
      <c r="B107" s="52" t="inlineStr">
        <is>
          <t>p_logo_rainbow</t>
        </is>
      </c>
      <c r="C107" s="52" t="inlineStr">
        <is>
          <t>Pride campaign branding</t>
        </is>
      </c>
      <c r="D107" s="51" t="inlineStr">
        <is>
          <t>Cosmetic</t>
        </is>
      </c>
      <c r="E107" s="51" t="inlineStr">
        <is>
          <t>Positive</t>
        </is>
      </c>
      <c r="F107" s="51" t="n">
        <v>3</v>
      </c>
      <c r="G107" s="51" t="n">
        <v>2026</v>
      </c>
      <c r="H107" s="52" t="inlineStr">
        <is>
          <t>https://www.advocate.com/news/culture/2026-pride-month-company-support</t>
        </is>
      </c>
      <c r="I107" s="52" t="inlineStr">
        <is>
          <t>News</t>
        </is>
      </c>
      <c r="J107" s="51" t="inlineStr">
        <is>
          <t>Yes</t>
        </is>
      </c>
      <c r="K107" s="52" t="inlineStr"/>
    </row>
    <row r="108" ht="23.25" customHeight="1" s="42">
      <c r="A108" s="52" t="inlineStr">
        <is>
          <t>American Eagle</t>
        </is>
      </c>
      <c r="B108" s="52" t="inlineStr">
        <is>
          <t>p_merch_proceeds</t>
        </is>
      </c>
      <c r="C108" s="52" t="inlineStr">
        <is>
          <t>Pride Shop collection with proceeds historically benefiting It Gets Better (since 2018)</t>
        </is>
      </c>
      <c r="D108" s="51" t="inlineStr">
        <is>
          <t>Commercial</t>
        </is>
      </c>
      <c r="E108" s="51" t="inlineStr">
        <is>
          <t>Positive</t>
        </is>
      </c>
      <c r="F108" s="51" t="n">
        <v>10</v>
      </c>
      <c r="G108" s="51" t="n">
        <v>2026</v>
      </c>
      <c r="H108" s="52" t="inlineStr">
        <is>
          <t>https://www.ae.com/us/en/c/women/featured/the-pride-shop/cat3320007</t>
        </is>
      </c>
      <c r="I108" s="52" t="inlineStr">
        <is>
          <t>Company</t>
        </is>
      </c>
      <c r="J108" s="51" t="inlineStr">
        <is>
          <t>Yes</t>
        </is>
      </c>
      <c r="K108" s="52" t="inlineStr"/>
    </row>
    <row r="109" ht="23.25" customHeight="1" s="42">
      <c r="A109" s="52" t="inlineStr">
        <is>
          <t>American Eagle</t>
        </is>
      </c>
      <c r="B109" s="52" t="inlineStr">
        <is>
          <t>p_donation_large</t>
        </is>
      </c>
      <c r="C109" s="52" t="inlineStr">
        <is>
          <t>$150,000 donation to It Gets Better Project (2026)</t>
        </is>
      </c>
      <c r="D109" s="51" t="inlineStr">
        <is>
          <t>Financial</t>
        </is>
      </c>
      <c r="E109" s="51" t="inlineStr">
        <is>
          <t>Positive</t>
        </is>
      </c>
      <c r="F109" s="51" t="n">
        <v>22</v>
      </c>
      <c r="G109" s="51" t="n">
        <v>2026</v>
      </c>
      <c r="H109" s="52" t="inlineStr">
        <is>
          <t>https://www.advocate.com/news/culture/2026-pride-month-company-support</t>
        </is>
      </c>
      <c r="I109" s="52" t="inlineStr">
        <is>
          <t>News</t>
        </is>
      </c>
      <c r="J109" s="51" t="inlineStr">
        <is>
          <t>Yes</t>
        </is>
      </c>
      <c r="K109" s="52" t="inlineStr"/>
    </row>
    <row r="110" ht="23.25" customHeight="1" s="42">
      <c r="A110" s="52" t="inlineStr">
        <is>
          <t>Gap Inc.</t>
        </is>
      </c>
      <c r="B110" s="52" t="inlineStr">
        <is>
          <t>p_logo_rainbow</t>
        </is>
      </c>
      <c r="C110" s="52" t="inlineStr">
        <is>
          <t>Old Navy Pride campaign branding</t>
        </is>
      </c>
      <c r="D110" s="51" t="inlineStr">
        <is>
          <t>Cosmetic</t>
        </is>
      </c>
      <c r="E110" s="51" t="inlineStr">
        <is>
          <t>Positive</t>
        </is>
      </c>
      <c r="F110" s="51" t="n">
        <v>3</v>
      </c>
      <c r="G110" s="51" t="n">
        <v>2026</v>
      </c>
      <c r="H110" s="52" t="inlineStr">
        <is>
          <t>https://www.advocate.com/news/culture/2026-pride-month-company-support</t>
        </is>
      </c>
      <c r="I110" s="52" t="inlineStr">
        <is>
          <t>News</t>
        </is>
      </c>
      <c r="J110" s="51" t="inlineStr">
        <is>
          <t>Yes</t>
        </is>
      </c>
      <c r="K110" s="52" t="inlineStr"/>
    </row>
    <row r="111" ht="23.25" customHeight="1" s="42">
      <c r="A111" s="52" t="inlineStr">
        <is>
          <t>Gap Inc.</t>
        </is>
      </c>
      <c r="B111" s="52" t="inlineStr">
        <is>
          <t>p_merch_collection</t>
        </is>
      </c>
      <c r="C111" s="52" t="inlineStr">
        <is>
          <t>Old Navy 2026 Pride collection incl. kids' items and LGBTQ+ historical figures</t>
        </is>
      </c>
      <c r="D111" s="51" t="inlineStr">
        <is>
          <t>Commercial</t>
        </is>
      </c>
      <c r="E111" s="51" t="inlineStr">
        <is>
          <t>Positive</t>
        </is>
      </c>
      <c r="F111" s="51" t="n">
        <v>6</v>
      </c>
      <c r="G111" s="51" t="n">
        <v>2026</v>
      </c>
      <c r="H111" s="52" t="inlineStr">
        <is>
          <t>https://www.advocate.com/news/culture/2026-pride-month-company-support</t>
        </is>
      </c>
      <c r="I111" s="52" t="inlineStr">
        <is>
          <t>News</t>
        </is>
      </c>
      <c r="J111" s="51" t="inlineStr">
        <is>
          <t>Yes</t>
        </is>
      </c>
      <c r="K111" s="52" t="inlineStr"/>
    </row>
    <row r="112" ht="23.25" customHeight="1" s="42">
      <c r="A112" s="52" t="inlineStr">
        <is>
          <t>Gap Inc.</t>
        </is>
      </c>
      <c r="B112" s="52" t="inlineStr">
        <is>
          <t>p_generic_post</t>
        </is>
      </c>
      <c r="C112" s="52" t="inlineStr">
        <is>
          <t>Pride Month posts across Gap Inc. brands</t>
        </is>
      </c>
      <c r="D112" s="51" t="inlineStr">
        <is>
          <t>Cosmetic</t>
        </is>
      </c>
      <c r="E112" s="51" t="inlineStr">
        <is>
          <t>Positive</t>
        </is>
      </c>
      <c r="F112" s="51" t="n">
        <v>2</v>
      </c>
      <c r="G112" s="51" t="n">
        <v>2026</v>
      </c>
      <c r="H112" s="52" t="inlineStr">
        <is>
          <t>https://www.advocate.com/news/culture/2026-pride-month-company-support</t>
        </is>
      </c>
      <c r="I112" s="52" t="inlineStr">
        <is>
          <t>News</t>
        </is>
      </c>
      <c r="J112" s="51" t="inlineStr">
        <is>
          <t>Yes</t>
        </is>
      </c>
      <c r="K112" s="52" t="inlineStr"/>
    </row>
    <row r="113" ht="23.25" customHeight="1" s="42">
      <c r="A113" s="52" t="inlineStr">
        <is>
          <t>H&amp;M</t>
        </is>
      </c>
      <c r="B113" s="52" t="inlineStr">
        <is>
          <t>p_logo_rainbow</t>
        </is>
      </c>
      <c r="C113" s="52" t="inlineStr">
        <is>
          <t>Pride campaign branding globally</t>
        </is>
      </c>
      <c r="D113" s="51" t="inlineStr">
        <is>
          <t>Cosmetic</t>
        </is>
      </c>
      <c r="E113" s="51" t="inlineStr">
        <is>
          <t>Positive</t>
        </is>
      </c>
      <c r="F113" s="51" t="n">
        <v>3</v>
      </c>
      <c r="G113" s="51" t="n">
        <v>2024</v>
      </c>
      <c r="H113" s="52" t="inlineStr">
        <is>
          <t>https://web.archive.org/web/2024/https://www2.hm.com/en_us/free-form-campaigns/2007-pride-2024.html</t>
        </is>
      </c>
      <c r="I113" s="52" t="inlineStr">
        <is>
          <t>Archive</t>
        </is>
      </c>
      <c r="J113" s="51" t="inlineStr">
        <is>
          <t>No</t>
        </is>
      </c>
      <c r="K113" s="52" t="inlineStr"/>
    </row>
    <row r="114" ht="23.25" customHeight="1" s="42">
      <c r="A114" s="52" t="inlineStr">
        <is>
          <t>H&amp;M</t>
        </is>
      </c>
      <c r="B114" s="52" t="inlineStr">
        <is>
          <t>p_merch_proceeds</t>
        </is>
      </c>
      <c r="C114" s="52" t="inlineStr">
        <is>
          <t>Pride collections since 2018 with 10% of sales to UN Free &amp; Equal</t>
        </is>
      </c>
      <c r="D114" s="51" t="inlineStr">
        <is>
          <t>Commercial</t>
        </is>
      </c>
      <c r="E114" s="51" t="inlineStr">
        <is>
          <t>Positive</t>
        </is>
      </c>
      <c r="F114" s="51" t="n">
        <v>10</v>
      </c>
      <c r="G114" s="51" t="n">
        <v>2018</v>
      </c>
      <c r="H114" s="52" t="inlineStr">
        <is>
          <t>https://web.archive.org/web/2018/https://www2.hm.com/en_us/life/culture/inside-h-m/hm-supports-pride-2018.html</t>
        </is>
      </c>
      <c r="I114" s="52" t="inlineStr">
        <is>
          <t>Archive</t>
        </is>
      </c>
      <c r="J114" s="51" t="inlineStr">
        <is>
          <t>No</t>
        </is>
      </c>
      <c r="K114" s="52" t="inlineStr"/>
    </row>
    <row r="115" ht="23.25" customHeight="1" s="42">
      <c r="A115" s="52" t="inlineStr">
        <is>
          <t>Ralph Lauren</t>
        </is>
      </c>
      <c r="B115" s="52" t="inlineStr">
        <is>
          <t>p_logo_rainbow</t>
        </is>
      </c>
      <c r="C115" s="52" t="inlineStr">
        <is>
          <t>Polo Pride rainbow branding</t>
        </is>
      </c>
      <c r="D115" s="51" t="inlineStr">
        <is>
          <t>Cosmetic</t>
        </is>
      </c>
      <c r="E115" s="51" t="inlineStr">
        <is>
          <t>Positive</t>
        </is>
      </c>
      <c r="F115" s="51" t="n">
        <v>3</v>
      </c>
      <c r="G115" s="51" t="n">
        <v>2024</v>
      </c>
      <c r="H115" s="52" t="inlineStr">
        <is>
          <t>https://web.archive.org/web/2024/https://www.ralphlauren.com/brands-polo-pride</t>
        </is>
      </c>
      <c r="I115" s="52" t="inlineStr">
        <is>
          <t>Archive</t>
        </is>
      </c>
      <c r="J115" s="51" t="inlineStr">
        <is>
          <t>No</t>
        </is>
      </c>
      <c r="K115" s="52" t="inlineStr"/>
    </row>
    <row r="116" ht="23.25" customHeight="1" s="42">
      <c r="A116" s="52" t="inlineStr">
        <is>
          <t>Ralph Lauren</t>
        </is>
      </c>
      <c r="B116" s="52" t="inlineStr">
        <is>
          <t>p_merch_proceeds</t>
        </is>
      </c>
      <c r="C116" s="52" t="inlineStr">
        <is>
          <t>Polo Pride capsule with donations to LGBTQ+ organizations incl. Stonewall Community Foundation</t>
        </is>
      </c>
      <c r="D116" s="51" t="inlineStr">
        <is>
          <t>Commercial</t>
        </is>
      </c>
      <c r="E116" s="51" t="inlineStr">
        <is>
          <t>Positive</t>
        </is>
      </c>
      <c r="F116" s="51" t="n">
        <v>10</v>
      </c>
      <c r="G116" s="51" t="n">
        <v>2023</v>
      </c>
      <c r="H116" s="52" t="inlineStr">
        <is>
          <t>https://web.archive.org/web/2023/https://www.ralphlauren.com/brands-polo-pride</t>
        </is>
      </c>
      <c r="I116" s="52" t="inlineStr">
        <is>
          <t>Archive</t>
        </is>
      </c>
      <c r="J116" s="51" t="inlineStr">
        <is>
          <t>No</t>
        </is>
      </c>
      <c r="K116" s="52" t="inlineStr"/>
    </row>
    <row r="117" ht="23.25" customHeight="1" s="42">
      <c r="A117" s="52" t="inlineStr">
        <is>
          <t>Ralph Lauren</t>
        </is>
      </c>
      <c r="B117" s="52" t="inlineStr">
        <is>
          <t>p_generic_post</t>
        </is>
      </c>
      <c r="C117" s="52" t="inlineStr">
        <is>
          <t>Annual Pride Month posts</t>
        </is>
      </c>
      <c r="D117" s="51" t="inlineStr">
        <is>
          <t>Cosmetic</t>
        </is>
      </c>
      <c r="E117" s="51" t="inlineStr">
        <is>
          <t>Positive</t>
        </is>
      </c>
      <c r="F117" s="51" t="n">
        <v>2</v>
      </c>
      <c r="G117" s="51" t="n">
        <v>2024</v>
      </c>
      <c r="H117" s="52" t="inlineStr">
        <is>
          <t>https://web.archive.org/web/2024/https://www.ralphlauren.com/brands-polo-pride</t>
        </is>
      </c>
      <c r="I117" s="52" t="inlineStr">
        <is>
          <t>Archive</t>
        </is>
      </c>
      <c r="J117" s="51" t="inlineStr">
        <is>
          <t>No</t>
        </is>
      </c>
      <c r="K117" s="52" t="inlineStr"/>
    </row>
    <row r="118" ht="23.25" customHeight="1" s="42">
      <c r="A118" s="52" t="inlineStr">
        <is>
          <t>Levi Strauss &amp; Co.</t>
        </is>
      </c>
      <c r="B118" s="52" t="inlineStr">
        <is>
          <t>p_logo_rainbow</t>
        </is>
      </c>
      <c r="C118" s="52" t="inlineStr">
        <is>
          <t>Annual Pride campaign branding</t>
        </is>
      </c>
      <c r="D118" s="51" t="inlineStr">
        <is>
          <t>Cosmetic</t>
        </is>
      </c>
      <c r="E118" s="51" t="inlineStr">
        <is>
          <t>Positive</t>
        </is>
      </c>
      <c r="F118" s="51" t="n">
        <v>3</v>
      </c>
      <c r="G118" s="51" t="n">
        <v>2026</v>
      </c>
      <c r="H118" s="52" t="inlineStr">
        <is>
          <t>https://www.advocate.com/news/culture/2026-pride-month-company-support</t>
        </is>
      </c>
      <c r="I118" s="52" t="inlineStr">
        <is>
          <t>News</t>
        </is>
      </c>
      <c r="J118" s="51" t="inlineStr">
        <is>
          <t>Yes</t>
        </is>
      </c>
      <c r="K118" s="52" t="inlineStr"/>
    </row>
    <row r="119" ht="23.25" customHeight="1" s="42">
      <c r="A119" s="52" t="inlineStr">
        <is>
          <t>Levi Strauss &amp; Co.</t>
        </is>
      </c>
      <c r="B119" s="52" t="inlineStr">
        <is>
          <t>p_merch_proceeds</t>
        </is>
      </c>
      <c r="C119" s="52" t="inlineStr">
        <is>
          <t>Annual Pride collection (2026 edition inspired by queer motorcycle clubs); proceeds historically support LGBTQ+ orgs</t>
        </is>
      </c>
      <c r="D119" s="51" t="inlineStr">
        <is>
          <t>Commercial</t>
        </is>
      </c>
      <c r="E119" s="51" t="inlineStr">
        <is>
          <t>Positive</t>
        </is>
      </c>
      <c r="F119" s="51" t="n">
        <v>10</v>
      </c>
      <c r="G119" s="51" t="n">
        <v>2026</v>
      </c>
      <c r="H119" s="52" t="inlineStr">
        <is>
          <t>https://www.advocate.com/news/culture/2026-pride-month-company-support</t>
        </is>
      </c>
      <c r="I119" s="52" t="inlineStr">
        <is>
          <t>News</t>
        </is>
      </c>
      <c r="J119" s="51" t="inlineStr">
        <is>
          <t>Yes</t>
        </is>
      </c>
      <c r="K119" s="52" t="inlineStr"/>
    </row>
    <row r="120" ht="23.25" customHeight="1" s="42">
      <c r="A120" s="52" t="inlineStr">
        <is>
          <t>Levi Strauss &amp; Co.</t>
        </is>
      </c>
      <c r="B120" s="52" t="inlineStr">
        <is>
          <t>p_recurring</t>
        </is>
      </c>
      <c r="C120" s="52" t="inlineStr">
        <is>
          <t>Annual $100,000 donation to Outright International</t>
        </is>
      </c>
      <c r="D120" s="51" t="inlineStr">
        <is>
          <t>Financial</t>
        </is>
      </c>
      <c r="E120" s="51" t="inlineStr">
        <is>
          <t>Positive</t>
        </is>
      </c>
      <c r="F120" s="51" t="n">
        <v>25</v>
      </c>
      <c r="G120" s="51" t="n">
        <v>2026</v>
      </c>
      <c r="H120" s="52" t="inlineStr">
        <is>
          <t>https://www.advocate.com/news/culture/2026-pride-month-company-support</t>
        </is>
      </c>
      <c r="I120" s="52" t="inlineStr">
        <is>
          <t>News</t>
        </is>
      </c>
      <c r="J120" s="51" t="inlineStr">
        <is>
          <t>Yes</t>
        </is>
      </c>
      <c r="K120" s="52" t="inlineStr"/>
    </row>
    <row r="121" ht="23.25" customHeight="1" s="42">
      <c r="A121" s="52" t="inlineStr">
        <is>
          <t>Levi Strauss &amp; Co.</t>
        </is>
      </c>
      <c r="B121" s="52" t="inlineStr">
        <is>
          <t>p_benefits</t>
        </is>
      </c>
      <c r="C121" s="52" t="inlineStr">
        <is>
          <t>Domestic-partner health benefits since 1992 — first major US company; comprehensive trans-inclusive benefits today</t>
        </is>
      </c>
      <c r="D121" s="51" t="inlineStr">
        <is>
          <t>Structural</t>
        </is>
      </c>
      <c r="E121" s="51" t="inlineStr">
        <is>
          <t>Positive</t>
        </is>
      </c>
      <c r="F121" s="51" t="n">
        <v>22</v>
      </c>
      <c r="G121" s="51" t="n">
        <v>2025</v>
      </c>
      <c r="H121" s="52" t="inlineStr">
        <is>
          <t>https://reports.hrc.org/corporate-equality-index-2025</t>
        </is>
      </c>
      <c r="I121" s="52" t="inlineStr">
        <is>
          <t>HRC</t>
        </is>
      </c>
      <c r="J121" s="51" t="inlineStr">
        <is>
          <t>No</t>
        </is>
      </c>
      <c r="K121" s="52" t="inlineStr"/>
    </row>
    <row r="122" ht="23.25" customHeight="1" s="42">
      <c r="A122" s="52" t="inlineStr">
        <is>
          <t>Levi Strauss &amp; Co.</t>
        </is>
      </c>
      <c r="B122" s="52" t="inlineStr">
        <is>
          <t>p_consistent_history</t>
        </is>
      </c>
      <c r="C122" s="52" t="inlineStr">
        <is>
          <t>30+ years of continuous support: 1992 benefits, Boy Scouts funding withdrawal over discrimination, sustained CEI 100s</t>
        </is>
      </c>
      <c r="D122" s="51" t="inlineStr">
        <is>
          <t>Structural</t>
        </is>
      </c>
      <c r="E122" s="51" t="inlineStr">
        <is>
          <t>Positive</t>
        </is>
      </c>
      <c r="F122" s="51" t="n">
        <v>28</v>
      </c>
      <c r="G122" s="51" t="n">
        <v>2025</v>
      </c>
      <c r="H122" s="52" t="inlineStr">
        <is>
          <t>https://www.cnn.com/2025/05/02/business/costco-apple-levi-shareholders-dei</t>
        </is>
      </c>
      <c r="I122" s="52" t="inlineStr">
        <is>
          <t>News</t>
        </is>
      </c>
      <c r="J122" s="51" t="inlineStr">
        <is>
          <t>No</t>
        </is>
      </c>
      <c r="K122" s="52" t="inlineStr"/>
    </row>
    <row r="123" ht="23.25" customHeight="1" s="42">
      <c r="A123" s="52" t="inlineStr">
        <is>
          <t>PVH Corp.</t>
        </is>
      </c>
      <c r="B123" s="52" t="inlineStr">
        <is>
          <t>p_logo_rainbow</t>
        </is>
      </c>
      <c r="C123" s="52" t="inlineStr">
        <is>
          <t>CK/Tommy Pride campaign branding</t>
        </is>
      </c>
      <c r="D123" s="51" t="inlineStr">
        <is>
          <t>Cosmetic</t>
        </is>
      </c>
      <c r="E123" s="51" t="inlineStr">
        <is>
          <t>Positive</t>
        </is>
      </c>
      <c r="F123" s="51" t="n">
        <v>3</v>
      </c>
      <c r="G123" s="51" t="n">
        <v>2024</v>
      </c>
      <c r="H123" s="52" t="inlineStr">
        <is>
          <t>https://web.archive.org/web/2024/https://www.calvinklein.us/en/pride</t>
        </is>
      </c>
      <c r="I123" s="52" t="inlineStr">
        <is>
          <t>Archive</t>
        </is>
      </c>
      <c r="J123" s="51" t="inlineStr">
        <is>
          <t>No</t>
        </is>
      </c>
      <c r="K123" s="52" t="inlineStr"/>
    </row>
    <row r="124" ht="23.25" customHeight="1" s="42">
      <c r="A124" s="52" t="inlineStr">
        <is>
          <t>PVH Corp.</t>
        </is>
      </c>
      <c r="B124" s="52" t="inlineStr">
        <is>
          <t>p_merch_collection</t>
        </is>
      </c>
      <c r="C124" s="52" t="inlineStr">
        <is>
          <t>Calvin Klein 'This Is Love' and Tommy Hilfiger Pride collections</t>
        </is>
      </c>
      <c r="D124" s="51" t="inlineStr">
        <is>
          <t>Commercial</t>
        </is>
      </c>
      <c r="E124" s="51" t="inlineStr">
        <is>
          <t>Positive</t>
        </is>
      </c>
      <c r="F124" s="51" t="n">
        <v>6</v>
      </c>
      <c r="G124" s="51" t="n">
        <v>2023</v>
      </c>
      <c r="H124" s="52" t="inlineStr">
        <is>
          <t>https://web.archive.org/web/2023/https://www.calvinklein.us/en/pride</t>
        </is>
      </c>
      <c r="I124" s="52" t="inlineStr">
        <is>
          <t>Archive</t>
        </is>
      </c>
      <c r="J124" s="51" t="inlineStr">
        <is>
          <t>No</t>
        </is>
      </c>
      <c r="K124" s="52" t="inlineStr"/>
    </row>
    <row r="125" ht="23.25" customHeight="1" s="42">
      <c r="A125" s="52" t="inlineStr">
        <is>
          <t>PVH Corp.</t>
        </is>
      </c>
      <c r="B125" s="52" t="inlineStr">
        <is>
          <t>p_generic_post</t>
        </is>
      </c>
      <c r="C125" s="52" t="inlineStr">
        <is>
          <t>Annual Pride Month campaign posts</t>
        </is>
      </c>
      <c r="D125" s="51" t="inlineStr">
        <is>
          <t>Cosmetic</t>
        </is>
      </c>
      <c r="E125" s="51" t="inlineStr">
        <is>
          <t>Positive</t>
        </is>
      </c>
      <c r="F125" s="51" t="n">
        <v>2</v>
      </c>
      <c r="G125" s="51" t="n">
        <v>2024</v>
      </c>
      <c r="H125" s="52" t="inlineStr">
        <is>
          <t>https://web.archive.org/web/2024/https://www.calvinklein.us/en/pride</t>
        </is>
      </c>
      <c r="I125" s="52" t="inlineStr">
        <is>
          <t>Archive</t>
        </is>
      </c>
      <c r="J125" s="51" t="inlineStr">
        <is>
          <t>No</t>
        </is>
      </c>
      <c r="K125" s="52" t="inlineStr"/>
    </row>
    <row r="126" ht="23.25" customHeight="1" s="42">
      <c r="A126" s="52" t="inlineStr">
        <is>
          <t>PVH Corp.</t>
        </is>
      </c>
      <c r="B126" s="52" t="inlineStr">
        <is>
          <t>p_benefits</t>
        </is>
      </c>
      <c r="C126" s="52" t="inlineStr">
        <is>
          <t>Inclusive partner and gender-affirming benefits (CEI-verified)</t>
        </is>
      </c>
      <c r="D126" s="51" t="inlineStr">
        <is>
          <t>Structural</t>
        </is>
      </c>
      <c r="E126" s="51" t="inlineStr">
        <is>
          <t>Positive</t>
        </is>
      </c>
      <c r="F126" s="51" t="n">
        <v>22</v>
      </c>
      <c r="G126" s="51" t="n">
        <v>2024</v>
      </c>
      <c r="H126" s="52" t="inlineStr">
        <is>
          <t>https://reports.hrc.org/corporate-equality-index-2025</t>
        </is>
      </c>
      <c r="I126" s="52" t="inlineStr">
        <is>
          <t>HRC</t>
        </is>
      </c>
      <c r="J126" s="51" t="inlineStr">
        <is>
          <t>No</t>
        </is>
      </c>
      <c r="K126" s="52" t="inlineStr"/>
    </row>
    <row r="127" ht="23.25" customHeight="1" s="42">
      <c r="A127" s="52" t="inlineStr">
        <is>
          <t>Starbucks</t>
        </is>
      </c>
      <c r="B127" s="52" t="inlineStr">
        <is>
          <t>p_logo_rainbow</t>
        </is>
      </c>
      <c r="C127" s="52" t="inlineStr">
        <is>
          <t>Annual Pride branding and rainbow campaign visuals</t>
        </is>
      </c>
      <c r="D127" s="51" t="inlineStr">
        <is>
          <t>Cosmetic</t>
        </is>
      </c>
      <c r="E127" s="51" t="inlineStr">
        <is>
          <t>Positive</t>
        </is>
      </c>
      <c r="F127" s="51" t="n">
        <v>3</v>
      </c>
      <c r="G127" s="51" t="n">
        <v>2024</v>
      </c>
      <c r="H127" s="52" t="inlineStr">
        <is>
          <t>https://web.archive.org/web/2024/https://www.starbucks.com/responsibility/community/lgbtq</t>
        </is>
      </c>
      <c r="I127" s="52" t="inlineStr">
        <is>
          <t>Archive</t>
        </is>
      </c>
      <c r="J127" s="51" t="inlineStr">
        <is>
          <t>No</t>
        </is>
      </c>
      <c r="K127" s="52" t="inlineStr"/>
    </row>
    <row r="128" ht="23.25" customHeight="1" s="42">
      <c r="A128" s="52" t="inlineStr">
        <is>
          <t>Starbucks</t>
        </is>
      </c>
      <c r="B128" s="52" t="inlineStr">
        <is>
          <t>p_generic_post</t>
        </is>
      </c>
      <c r="C128" s="52" t="inlineStr">
        <is>
          <t>Annual Pride Month statements</t>
        </is>
      </c>
      <c r="D128" s="51" t="inlineStr">
        <is>
          <t>Cosmetic</t>
        </is>
      </c>
      <c r="E128" s="51" t="inlineStr">
        <is>
          <t>Positive</t>
        </is>
      </c>
      <c r="F128" s="51" t="n">
        <v>2</v>
      </c>
      <c r="G128" s="51" t="n">
        <v>2024</v>
      </c>
      <c r="H128" s="52" t="inlineStr">
        <is>
          <t>https://web.archive.org/web/2024/https://stories.starbucks.com/</t>
        </is>
      </c>
      <c r="I128" s="52" t="inlineStr">
        <is>
          <t>Archive</t>
        </is>
      </c>
      <c r="J128" s="51" t="inlineStr">
        <is>
          <t>No</t>
        </is>
      </c>
      <c r="K128" s="52" t="inlineStr"/>
    </row>
    <row r="129" ht="23.25" customHeight="1" s="42">
      <c r="A129" s="52" t="inlineStr">
        <is>
          <t>Starbucks</t>
        </is>
      </c>
      <c r="B129" s="52" t="inlineStr">
        <is>
          <t>p_merch_collection</t>
        </is>
      </c>
      <c r="C129" s="52" t="inlineStr">
        <is>
          <t>Annual Pride cups/tumbler merchandise</t>
        </is>
      </c>
      <c r="D129" s="51" t="inlineStr">
        <is>
          <t>Commercial</t>
        </is>
      </c>
      <c r="E129" s="51" t="inlineStr">
        <is>
          <t>Positive</t>
        </is>
      </c>
      <c r="F129" s="51" t="n">
        <v>6</v>
      </c>
      <c r="G129" s="51" t="n">
        <v>2024</v>
      </c>
      <c r="H129" s="52" t="inlineStr">
        <is>
          <t>https://web.archive.org/web/2024/https://stories.starbucks.com/</t>
        </is>
      </c>
      <c r="I129" s="52" t="inlineStr">
        <is>
          <t>Archive</t>
        </is>
      </c>
      <c r="J129" s="51" t="inlineStr">
        <is>
          <t>No</t>
        </is>
      </c>
      <c r="K129" s="52" t="inlineStr"/>
    </row>
    <row r="130" ht="23.25" customHeight="1" s="42">
      <c r="A130" s="52" t="inlineStr">
        <is>
          <t>Starbucks</t>
        </is>
      </c>
      <c r="B130" s="52" t="inlineStr">
        <is>
          <t>p_erg_support</t>
        </is>
      </c>
      <c r="C130" s="52" t="inlineStr">
        <is>
          <t>Funded Pride Alliance partner network (ERG)</t>
        </is>
      </c>
      <c r="D130" s="51" t="inlineStr">
        <is>
          <t>Civic</t>
        </is>
      </c>
      <c r="E130" s="51" t="inlineStr">
        <is>
          <t>Positive</t>
        </is>
      </c>
      <c r="F130" s="51" t="n">
        <v>15</v>
      </c>
      <c r="G130" s="51" t="n">
        <v>2024</v>
      </c>
      <c r="H130" s="52" t="inlineStr">
        <is>
          <t>https://web.archive.org/web/2024/https://www.starbucks.com/responsibility/community/lgbtq</t>
        </is>
      </c>
      <c r="I130" s="52" t="inlineStr">
        <is>
          <t>Archive</t>
        </is>
      </c>
      <c r="J130" s="51" t="inlineStr">
        <is>
          <t>No</t>
        </is>
      </c>
      <c r="K130" s="52" t="inlineStr"/>
    </row>
    <row r="131" ht="23.25" customHeight="1" s="42">
      <c r="A131" s="52" t="inlineStr">
        <is>
          <t>Starbucks</t>
        </is>
      </c>
      <c r="B131" s="52" t="inlineStr">
        <is>
          <t>p_benefits</t>
        </is>
      </c>
      <c r="C131" s="52" t="inlineStr">
        <is>
          <t>Gender-affirming healthcare benefits expanded in 2018 beyond WPATH baseline — industry landmark; comprehensive partner benefits</t>
        </is>
      </c>
      <c r="D131" s="51" t="inlineStr">
        <is>
          <t>Structural</t>
        </is>
      </c>
      <c r="E131" s="51" t="inlineStr">
        <is>
          <t>Positive</t>
        </is>
      </c>
      <c r="F131" s="51" t="n">
        <v>22</v>
      </c>
      <c r="G131" s="51" t="n">
        <v>2018</v>
      </c>
      <c r="H131" s="52" t="inlineStr">
        <is>
          <t>https://reports.hrc.org/corporate-equality-index-2025</t>
        </is>
      </c>
      <c r="I131" s="52" t="inlineStr">
        <is>
          <t>HRC</t>
        </is>
      </c>
      <c r="J131" s="51" t="inlineStr">
        <is>
          <t>No</t>
        </is>
      </c>
      <c r="K131" s="52" t="inlineStr"/>
    </row>
    <row r="132" ht="23.25" customHeight="1" s="42">
      <c r="A132" s="52" t="inlineStr">
        <is>
          <t>McDonald's</t>
        </is>
      </c>
      <c r="B132" s="52" t="inlineStr">
        <is>
          <t>p_logo_rainbow</t>
        </is>
      </c>
      <c r="C132" s="52" t="inlineStr">
        <is>
          <t>Pride Month branding (through 2024)</t>
        </is>
      </c>
      <c r="D132" s="51" t="inlineStr">
        <is>
          <t>Cosmetic</t>
        </is>
      </c>
      <c r="E132" s="51" t="inlineStr">
        <is>
          <t>Positive</t>
        </is>
      </c>
      <c r="F132" s="51" t="n">
        <v>3</v>
      </c>
      <c r="G132" s="51" t="n">
        <v>2024</v>
      </c>
      <c r="H132" s="52" t="inlineStr">
        <is>
          <t>https://web.archive.org/web/2024/https://corporate.mcdonalds.com/corpmcd/our-purpose-and-impact/jobs-inclusion-and-empowerment/diversity-and-inclusion.html</t>
        </is>
      </c>
      <c r="I132" s="52" t="inlineStr">
        <is>
          <t>Archive</t>
        </is>
      </c>
      <c r="J132" s="51" t="inlineStr">
        <is>
          <t>No</t>
        </is>
      </c>
      <c r="K132" s="52" t="inlineStr"/>
    </row>
    <row r="133" ht="23.25" customHeight="1" s="42">
      <c r="A133" s="52" t="inlineStr">
        <is>
          <t>McDonald's</t>
        </is>
      </c>
      <c r="B133" s="52" t="inlineStr">
        <is>
          <t>p_generic_post</t>
        </is>
      </c>
      <c r="C133" s="52" t="inlineStr">
        <is>
          <t>Annual Pride Month posts</t>
        </is>
      </c>
      <c r="D133" s="51" t="inlineStr">
        <is>
          <t>Cosmetic</t>
        </is>
      </c>
      <c r="E133" s="51" t="inlineStr">
        <is>
          <t>Positive</t>
        </is>
      </c>
      <c r="F133" s="51" t="n">
        <v>2</v>
      </c>
      <c r="G133" s="51" t="n">
        <v>2024</v>
      </c>
      <c r="H133" s="52" t="inlineStr">
        <is>
          <t>https://web.archive.org/web/2024/https://corporate.mcdonalds.com/corpmcd/our-purpose-and-impact/jobs-inclusion-and-empowerment/diversity-and-inclusion.html</t>
        </is>
      </c>
      <c r="I133" s="52" t="inlineStr">
        <is>
          <t>Archive</t>
        </is>
      </c>
      <c r="J133" s="51" t="inlineStr">
        <is>
          <t>No</t>
        </is>
      </c>
      <c r="K133" s="52" t="inlineStr"/>
    </row>
    <row r="134" ht="23.25" customHeight="1" s="42">
      <c r="A134" s="52" t="inlineStr">
        <is>
          <t>McDonald's</t>
        </is>
      </c>
      <c r="B134" s="52" t="inlineStr">
        <is>
          <t>p_erg_support</t>
        </is>
      </c>
      <c r="C134" s="52" t="inlineStr">
        <is>
          <t>Funded PRIDE Network employee resource group</t>
        </is>
      </c>
      <c r="D134" s="51" t="inlineStr">
        <is>
          <t>Civic</t>
        </is>
      </c>
      <c r="E134" s="51" t="inlineStr">
        <is>
          <t>Positive</t>
        </is>
      </c>
      <c r="F134" s="51" t="n">
        <v>15</v>
      </c>
      <c r="G134" s="51" t="n">
        <v>2024</v>
      </c>
      <c r="H134" s="52" t="inlineStr">
        <is>
          <t>https://web.archive.org/web/2024/https://corporate.mcdonalds.com/corpmcd/our-purpose-and-impact/jobs-inclusion-and-empowerment/diversity-and-inclusion.html</t>
        </is>
      </c>
      <c r="I134" s="52" t="inlineStr">
        <is>
          <t>Archive</t>
        </is>
      </c>
      <c r="J134" s="51" t="inlineStr">
        <is>
          <t>No</t>
        </is>
      </c>
      <c r="K134" s="52" t="inlineStr"/>
    </row>
    <row r="135" ht="23.25" customHeight="1" s="42">
      <c r="A135" s="52" t="inlineStr">
        <is>
          <t>McDonald's</t>
        </is>
      </c>
      <c r="B135" s="52" t="inlineStr">
        <is>
          <t>n_dei_removal</t>
        </is>
      </c>
      <c r="C135" s="52" t="inlineStr">
        <is>
          <t>Ended senior-leadership diversity goals and supplier targets; paused external surveys incl. HRC CEI</t>
        </is>
      </c>
      <c r="D135" s="51" t="inlineStr">
        <is>
          <t>—</t>
        </is>
      </c>
      <c r="E135" s="51" t="inlineStr">
        <is>
          <t>Negative</t>
        </is>
      </c>
      <c r="F135" s="51" t="n">
        <v>-32</v>
      </c>
      <c r="G135" s="51" t="n">
        <v>2025</v>
      </c>
      <c r="H135" s="52" t="inlineStr">
        <is>
          <t>https://www.cbsnews.com/news/meta-dei-programs-mcdonalds-walmart-ford-diversity/</t>
        </is>
      </c>
      <c r="I135" s="52" t="inlineStr">
        <is>
          <t>News</t>
        </is>
      </c>
      <c r="J135" s="51" t="inlineStr">
        <is>
          <t>Yes</t>
        </is>
      </c>
      <c r="K135" s="52" t="inlineStr">
        <is>
          <t>Announced early January 2025; archived before-state: https://web.archive.org/web/2024/https://corporate.mcdonalds.com/corpmcd/our-purpose-and-impact/jobs-inclusion-and-empowerment/diversity-and-inclusion.html</t>
        </is>
      </c>
    </row>
    <row r="136" ht="23.25" customHeight="1" s="42">
      <c r="A136" s="52" t="inlineStr">
        <is>
          <t>Chick-fil-A</t>
        </is>
      </c>
      <c r="B136" s="52" t="inlineStr">
        <is>
          <t>n_anti_lgbtq_orgs</t>
        </is>
      </c>
      <c r="C136" s="52" t="inlineStr">
        <is>
          <t>Multi-year foundation funding of organizations with anti-LGBTQ+ positions (FCA, Salvation Army; earlier Exodus International); flagged donations ended 2019</t>
        </is>
      </c>
      <c r="D136" s="51" t="inlineStr">
        <is>
          <t>—</t>
        </is>
      </c>
      <c r="E136" s="51" t="inlineStr">
        <is>
          <t>Negative</t>
        </is>
      </c>
      <c r="F136" s="51" t="n">
        <v>-35</v>
      </c>
      <c r="G136" s="51" t="n">
        <v>2019</v>
      </c>
      <c r="H136" s="52" t="inlineStr">
        <is>
          <t>https://en.wikipedia.org/wiki/Chick-fil-A_and_LGBT_people</t>
        </is>
      </c>
      <c r="I136" s="52" t="inlineStr">
        <is>
          <t>News</t>
        </is>
      </c>
      <c r="J136" s="51" t="inlineStr">
        <is>
          <t>No</t>
        </is>
      </c>
      <c r="K136" s="52" t="inlineStr">
        <is>
          <t>CEO Dan Cathy's 2012 anti-marriage-equality statements documented same source</t>
        </is>
      </c>
    </row>
    <row r="137" ht="23.25" customHeight="1" s="42">
      <c r="A137" s="52" t="inlineStr">
        <is>
          <t>Coca-Cola</t>
        </is>
      </c>
      <c r="B137" s="52" t="inlineStr">
        <is>
          <t>p_logo_rainbow</t>
        </is>
      </c>
      <c r="C137" s="52" t="inlineStr">
        <is>
          <t>Pride branding and campaign visuals</t>
        </is>
      </c>
      <c r="D137" s="51" t="inlineStr">
        <is>
          <t>Cosmetic</t>
        </is>
      </c>
      <c r="E137" s="51" t="inlineStr">
        <is>
          <t>Positive</t>
        </is>
      </c>
      <c r="F137" s="51" t="n">
        <v>3</v>
      </c>
      <c r="G137" s="51" t="n">
        <v>2024</v>
      </c>
      <c r="H137" s="52" t="inlineStr">
        <is>
          <t>https://web.archive.org/web/2024/https://www.coca-colacompany.com/social/diversity-and-inclusion</t>
        </is>
      </c>
      <c r="I137" s="52" t="inlineStr">
        <is>
          <t>Archive</t>
        </is>
      </c>
      <c r="J137" s="51" t="inlineStr">
        <is>
          <t>No</t>
        </is>
      </c>
      <c r="K137" s="52" t="inlineStr"/>
    </row>
    <row r="138" ht="23.25" customHeight="1" s="42">
      <c r="A138" s="52" t="inlineStr">
        <is>
          <t>Coca-Cola</t>
        </is>
      </c>
      <c r="B138" s="52" t="inlineStr">
        <is>
          <t>p_generic_post</t>
        </is>
      </c>
      <c r="C138" s="52" t="inlineStr">
        <is>
          <t>Annual Pride Month statements</t>
        </is>
      </c>
      <c r="D138" s="51" t="inlineStr">
        <is>
          <t>Cosmetic</t>
        </is>
      </c>
      <c r="E138" s="51" t="inlineStr">
        <is>
          <t>Positive</t>
        </is>
      </c>
      <c r="F138" s="51" t="n">
        <v>2</v>
      </c>
      <c r="G138" s="51" t="n">
        <v>2024</v>
      </c>
      <c r="H138" s="52" t="inlineStr">
        <is>
          <t>https://web.archive.org/web/2024/https://www.coca-colacompany.com/social/diversity-and-inclusion</t>
        </is>
      </c>
      <c r="I138" s="52" t="inlineStr">
        <is>
          <t>Archive</t>
        </is>
      </c>
      <c r="J138" s="51" t="inlineStr">
        <is>
          <t>No</t>
        </is>
      </c>
      <c r="K138" s="52" t="inlineStr"/>
    </row>
    <row r="139" ht="23.25" customHeight="1" s="42">
      <c r="A139" s="52" t="inlineStr">
        <is>
          <t>Coca-Cola</t>
        </is>
      </c>
      <c r="B139" s="52" t="inlineStr">
        <is>
          <t>p_parade_sponsor</t>
        </is>
      </c>
      <c r="C139" s="52" t="inlineStr">
        <is>
          <t>Longtime Atlanta Pride sponsorship</t>
        </is>
      </c>
      <c r="D139" s="51" t="inlineStr">
        <is>
          <t>Civic</t>
        </is>
      </c>
      <c r="E139" s="51" t="inlineStr">
        <is>
          <t>Positive</t>
        </is>
      </c>
      <c r="F139" s="51" t="n">
        <v>12</v>
      </c>
      <c r="G139" s="51" t="n">
        <v>2024</v>
      </c>
      <c r="H139" s="52" t="inlineStr">
        <is>
          <t>https://web.archive.org/web/2024/https://www.atlantapride.org/sponsors/</t>
        </is>
      </c>
      <c r="I139" s="52" t="inlineStr">
        <is>
          <t>Archive</t>
        </is>
      </c>
      <c r="J139" s="51" t="inlineStr">
        <is>
          <t>No</t>
        </is>
      </c>
      <c r="K139" s="52" t="inlineStr"/>
    </row>
    <row r="140" ht="23.25" customHeight="1" s="42">
      <c r="A140" s="52" t="inlineStr">
        <is>
          <t>Coca-Cola</t>
        </is>
      </c>
      <c r="B140" s="52" t="inlineStr">
        <is>
          <t>p_erg_support</t>
        </is>
      </c>
      <c r="C140" s="52" t="inlineStr">
        <is>
          <t>Funded LGBTQ+ ERG</t>
        </is>
      </c>
      <c r="D140" s="51" t="inlineStr">
        <is>
          <t>Civic</t>
        </is>
      </c>
      <c r="E140" s="51" t="inlineStr">
        <is>
          <t>Positive</t>
        </is>
      </c>
      <c r="F140" s="51" t="n">
        <v>15</v>
      </c>
      <c r="G140" s="51" t="n">
        <v>2024</v>
      </c>
      <c r="H140" s="52" t="inlineStr">
        <is>
          <t>https://web.archive.org/web/2024/https://www.coca-colacompany.com/social/diversity-and-inclusion</t>
        </is>
      </c>
      <c r="I140" s="52" t="inlineStr">
        <is>
          <t>Archive</t>
        </is>
      </c>
      <c r="J140" s="51" t="inlineStr">
        <is>
          <t>No</t>
        </is>
      </c>
      <c r="K140" s="52" t="inlineStr"/>
    </row>
    <row r="141" ht="23.25" customHeight="1" s="42">
      <c r="A141" s="52" t="inlineStr">
        <is>
          <t>Coca-Cola</t>
        </is>
      </c>
      <c r="B141" s="52" t="inlineStr">
        <is>
          <t>p_dei_explicit</t>
        </is>
      </c>
      <c r="C141" s="52" t="inlineStr">
        <is>
          <t>Maintained DEI commitments and inclusion-as-business-imperative language through 2025 while peers retreated</t>
        </is>
      </c>
      <c r="D141" s="51" t="inlineStr">
        <is>
          <t>Structural</t>
        </is>
      </c>
      <c r="E141" s="51" t="inlineStr">
        <is>
          <t>Positive</t>
        </is>
      </c>
      <c r="F141" s="51" t="n">
        <v>20</v>
      </c>
      <c r="G141" s="51" t="n">
        <v>2025</v>
      </c>
      <c r="H141" s="52" t="inlineStr">
        <is>
          <t>https://www.12news.com/article/news/nation-world/differences-pepsico-and-coca-cola-diversity-programs/507-ef02b553-d678-4157-a2dc-eb70a22589aa</t>
        </is>
      </c>
      <c r="I141" s="52" t="inlineStr">
        <is>
          <t>News</t>
        </is>
      </c>
      <c r="J141" s="51" t="inlineStr">
        <is>
          <t>Yes</t>
        </is>
      </c>
      <c r="K141" s="52" t="inlineStr"/>
    </row>
    <row r="142" ht="23.25" customHeight="1" s="42">
      <c r="A142" s="52" t="inlineStr">
        <is>
          <t>PepsiCo</t>
        </is>
      </c>
      <c r="B142" s="52" t="inlineStr">
        <is>
          <t>p_logo_rainbow</t>
        </is>
      </c>
      <c r="C142" s="52" t="inlineStr">
        <is>
          <t>Pride campaign branding (through 2024)</t>
        </is>
      </c>
      <c r="D142" s="51" t="inlineStr">
        <is>
          <t>Cosmetic</t>
        </is>
      </c>
      <c r="E142" s="51" t="inlineStr">
        <is>
          <t>Positive</t>
        </is>
      </c>
      <c r="F142" s="51" t="n">
        <v>3</v>
      </c>
      <c r="G142" s="51" t="n">
        <v>2024</v>
      </c>
      <c r="H142" s="52" t="inlineStr">
        <is>
          <t>https://web.archive.org/web/2024/https://www.pepsico.com/our-impact/diversity-equity-inclusion</t>
        </is>
      </c>
      <c r="I142" s="52" t="inlineStr">
        <is>
          <t>Archive</t>
        </is>
      </c>
      <c r="J142" s="51" t="inlineStr">
        <is>
          <t>No</t>
        </is>
      </c>
      <c r="K142" s="52" t="inlineStr"/>
    </row>
    <row r="143" ht="23.25" customHeight="1" s="42">
      <c r="A143" s="52" t="inlineStr">
        <is>
          <t>PepsiCo</t>
        </is>
      </c>
      <c r="B143" s="52" t="inlineStr">
        <is>
          <t>p_generic_post</t>
        </is>
      </c>
      <c r="C143" s="52" t="inlineStr">
        <is>
          <t>Annual Pride Month posts</t>
        </is>
      </c>
      <c r="D143" s="51" t="inlineStr">
        <is>
          <t>Cosmetic</t>
        </is>
      </c>
      <c r="E143" s="51" t="inlineStr">
        <is>
          <t>Positive</t>
        </is>
      </c>
      <c r="F143" s="51" t="n">
        <v>2</v>
      </c>
      <c r="G143" s="51" t="n">
        <v>2024</v>
      </c>
      <c r="H143" s="52" t="inlineStr">
        <is>
          <t>https://web.archive.org/web/2024/https://www.pepsico.com/our-impact/diversity-equity-inclusion</t>
        </is>
      </c>
      <c r="I143" s="52" t="inlineStr">
        <is>
          <t>Archive</t>
        </is>
      </c>
      <c r="J143" s="51" t="inlineStr">
        <is>
          <t>No</t>
        </is>
      </c>
      <c r="K143" s="52" t="inlineStr"/>
    </row>
    <row r="144" ht="23.25" customHeight="1" s="42">
      <c r="A144" s="52" t="inlineStr">
        <is>
          <t>PepsiCo</t>
        </is>
      </c>
      <c r="B144" s="52" t="inlineStr">
        <is>
          <t>p_parade_sponsor</t>
        </is>
      </c>
      <c r="C144" s="52" t="inlineStr">
        <is>
          <t>Longtime NYC Pride sponsorship as a top donor (ended/scaled back 2025)</t>
        </is>
      </c>
      <c r="D144" s="51" t="inlineStr">
        <is>
          <t>Civic</t>
        </is>
      </c>
      <c r="E144" s="51" t="inlineStr">
        <is>
          <t>Positive</t>
        </is>
      </c>
      <c r="F144" s="51" t="n">
        <v>12</v>
      </c>
      <c r="G144" s="51" t="n">
        <v>2024</v>
      </c>
      <c r="H144" s="52" t="inlineStr">
        <is>
          <t>https://www.nbcnews.com/news/us-news/nyc-pride-parade-drop-visible-corporate-sponsors-rcna215820</t>
        </is>
      </c>
      <c r="I144" s="52" t="inlineStr">
        <is>
          <t>News</t>
        </is>
      </c>
      <c r="J144" s="51" t="inlineStr">
        <is>
          <t>No</t>
        </is>
      </c>
      <c r="K144" s="52" t="inlineStr"/>
    </row>
    <row r="145" ht="23.25" customHeight="1" s="42">
      <c r="A145" s="52" t="inlineStr">
        <is>
          <t>PepsiCo</t>
        </is>
      </c>
      <c r="B145" s="52" t="inlineStr">
        <is>
          <t>p_erg_support</t>
        </is>
      </c>
      <c r="C145" s="52" t="inlineStr">
        <is>
          <t>Funded EQUAL LGBTQ+ employee resource group</t>
        </is>
      </c>
      <c r="D145" s="51" t="inlineStr">
        <is>
          <t>Civic</t>
        </is>
      </c>
      <c r="E145" s="51" t="inlineStr">
        <is>
          <t>Positive</t>
        </is>
      </c>
      <c r="F145" s="51" t="n">
        <v>15</v>
      </c>
      <c r="G145" s="51" t="n">
        <v>2024</v>
      </c>
      <c r="H145" s="52" t="inlineStr">
        <is>
          <t>https://web.archive.org/web/2024/https://www.pepsico.com/our-impact/diversity-equity-inclusion</t>
        </is>
      </c>
      <c r="I145" s="52" t="inlineStr">
        <is>
          <t>Archive</t>
        </is>
      </c>
      <c r="J145" s="51" t="inlineStr">
        <is>
          <t>No</t>
        </is>
      </c>
      <c r="K145" s="52" t="inlineStr"/>
    </row>
    <row r="146" ht="23.25" customHeight="1" s="42">
      <c r="A146" s="52" t="inlineStr">
        <is>
          <t>PepsiCo</t>
        </is>
      </c>
      <c r="B146" s="52" t="inlineStr">
        <is>
          <t>n_dei_removal</t>
        </is>
      </c>
      <c r="C146" s="52" t="inlineStr">
        <is>
          <t>Ended DEI representation goals; restructured chief DEI officer role</t>
        </is>
      </c>
      <c r="D146" s="51" t="inlineStr">
        <is>
          <t>—</t>
        </is>
      </c>
      <c r="E146" s="51" t="inlineStr">
        <is>
          <t>Negative</t>
        </is>
      </c>
      <c r="F146" s="51" t="n">
        <v>-32</v>
      </c>
      <c r="G146" s="51" t="n">
        <v>2025</v>
      </c>
      <c r="H146" s="52" t="inlineStr">
        <is>
          <t>https://www.12news.com/article/news/nation-world/differences-pepsico-and-coca-cola-diversity-programs/507-ef02b553-d678-4157-a2dc-eb70a22589aa</t>
        </is>
      </c>
      <c r="I146" s="52" t="inlineStr">
        <is>
          <t>News</t>
        </is>
      </c>
      <c r="J146" s="51" t="inlineStr">
        <is>
          <t>Yes</t>
        </is>
      </c>
      <c r="K146" s="52" t="inlineStr">
        <is>
          <t>Archived before-state: https://web.archive.org/web/2024/https://www.pepsico.com/our-impact/diversity-equity-inclusion</t>
        </is>
      </c>
    </row>
    <row r="147" ht="23.25" customHeight="1" s="42">
      <c r="A147" s="52" t="inlineStr">
        <is>
          <t>PepsiCo</t>
        </is>
      </c>
      <c r="B147" s="52" t="inlineStr">
        <is>
          <t>n_pride_retreat</t>
        </is>
      </c>
      <c r="C147" s="52" t="inlineStr">
        <is>
          <t>Withdrew/scaled back NYC Pride sponsorship after years as a leading donor</t>
        </is>
      </c>
      <c r="D147" s="51" t="inlineStr">
        <is>
          <t>—</t>
        </is>
      </c>
      <c r="E147" s="51" t="inlineStr">
        <is>
          <t>Negative</t>
        </is>
      </c>
      <c r="F147" s="51" t="n">
        <v>-22</v>
      </c>
      <c r="G147" s="51" t="n">
        <v>2025</v>
      </c>
      <c r="H147" s="52" t="inlineStr">
        <is>
          <t>https://www.advocate.com/news/companies-that-stopped-sponsoring-pride</t>
        </is>
      </c>
      <c r="I147" s="52" t="inlineStr">
        <is>
          <t>News</t>
        </is>
      </c>
      <c r="J147" s="51" t="inlineStr">
        <is>
          <t>Yes</t>
        </is>
      </c>
      <c r="K147" s="52" t="inlineStr"/>
    </row>
    <row r="148" ht="23.25" customHeight="1" s="42">
      <c r="A148" s="52" t="inlineStr">
        <is>
          <t>Anheuser-Busch InBev</t>
        </is>
      </c>
      <c r="B148" s="52" t="inlineStr">
        <is>
          <t>p_logo_rainbow</t>
        </is>
      </c>
      <c r="C148" s="52" t="inlineStr">
        <is>
          <t>Bud Light rainbow packaging/branding history</t>
        </is>
      </c>
      <c r="D148" s="51" t="inlineStr">
        <is>
          <t>Cosmetic</t>
        </is>
      </c>
      <c r="E148" s="51" t="inlineStr">
        <is>
          <t>Positive</t>
        </is>
      </c>
      <c r="F148" s="51" t="n">
        <v>3</v>
      </c>
      <c r="G148" s="51" t="n">
        <v>2023</v>
      </c>
      <c r="H148" s="52" t="inlineStr">
        <is>
          <t>https://web.archive.org/web/2023/https://www.anheuser-busch.com/community</t>
        </is>
      </c>
      <c r="I148" s="52" t="inlineStr">
        <is>
          <t>Archive</t>
        </is>
      </c>
      <c r="J148" s="51" t="inlineStr">
        <is>
          <t>No</t>
        </is>
      </c>
      <c r="K148" s="52" t="inlineStr"/>
    </row>
    <row r="149" ht="23.25" customHeight="1" s="42">
      <c r="A149" s="52" t="inlineStr">
        <is>
          <t>Anheuser-Busch InBev</t>
        </is>
      </c>
      <c r="B149" s="52" t="inlineStr">
        <is>
          <t>p_merch_collection</t>
        </is>
      </c>
      <c r="C149" s="52" t="inlineStr">
        <is>
          <t>Pride-themed packaging and merchandise across brands</t>
        </is>
      </c>
      <c r="D149" s="51" t="inlineStr">
        <is>
          <t>Commercial</t>
        </is>
      </c>
      <c r="E149" s="51" t="inlineStr">
        <is>
          <t>Positive</t>
        </is>
      </c>
      <c r="F149" s="51" t="n">
        <v>6</v>
      </c>
      <c r="G149" s="51" t="n">
        <v>2023</v>
      </c>
      <c r="H149" s="52" t="inlineStr">
        <is>
          <t>https://web.archive.org/web/2023/https://www.anheuser-busch.com/community</t>
        </is>
      </c>
      <c r="I149" s="52" t="inlineStr">
        <is>
          <t>Archive</t>
        </is>
      </c>
      <c r="J149" s="51" t="inlineStr">
        <is>
          <t>No</t>
        </is>
      </c>
      <c r="K149" s="52" t="inlineStr"/>
    </row>
    <row r="150" ht="23.25" customHeight="1" s="42">
      <c r="A150" s="52" t="inlineStr">
        <is>
          <t>Anheuser-Busch InBev</t>
        </is>
      </c>
      <c r="B150" s="52" t="inlineStr">
        <is>
          <t>p_collab</t>
        </is>
      </c>
      <c r="C150" s="52" t="inlineStr">
        <is>
          <t>Bud Light commercial partnership with trans influencer Dylan Mulvaney</t>
        </is>
      </c>
      <c r="D150" s="51" t="inlineStr">
        <is>
          <t>Commercial</t>
        </is>
      </c>
      <c r="E150" s="51" t="inlineStr">
        <is>
          <t>Positive</t>
        </is>
      </c>
      <c r="F150" s="51" t="n">
        <v>8</v>
      </c>
      <c r="G150" s="51" t="n">
        <v>2023</v>
      </c>
      <c r="H150" s="52" t="inlineStr">
        <is>
          <t>https://www.advocate.com/business/has-bud-light-lost-sales</t>
        </is>
      </c>
      <c r="I150" s="52" t="inlineStr">
        <is>
          <t>News</t>
        </is>
      </c>
      <c r="J150" s="51" t="inlineStr">
        <is>
          <t>No</t>
        </is>
      </c>
      <c r="K150" s="52" t="inlineStr"/>
    </row>
    <row r="151" ht="23.25" customHeight="1" s="42">
      <c r="A151" s="52" t="inlineStr">
        <is>
          <t>Anheuser-Busch InBev</t>
        </is>
      </c>
      <c r="B151" s="52" t="inlineStr">
        <is>
          <t>p_parade_sponsor</t>
        </is>
      </c>
      <c r="C151" s="52" t="inlineStr">
        <is>
          <t>~30 years of St. Louis Pride sponsorship; SF and Columbus Pride sponsorships (all ended by 2025)</t>
        </is>
      </c>
      <c r="D151" s="51" t="inlineStr">
        <is>
          <t>Civic</t>
        </is>
      </c>
      <c r="E151" s="51" t="inlineStr">
        <is>
          <t>Positive</t>
        </is>
      </c>
      <c r="F151" s="51" t="n">
        <v>12</v>
      </c>
      <c r="G151" s="51" t="n">
        <v>2024</v>
      </c>
      <c r="H151" s="52" t="inlineStr">
        <is>
          <t>https://www.nbcnews.com/nbc-out/out-news/dei-rollbacks-corporations-pull-sponsorship-pride-parades-rcna200330</t>
        </is>
      </c>
      <c r="I151" s="52" t="inlineStr">
        <is>
          <t>News</t>
        </is>
      </c>
      <c r="J151" s="51" t="inlineStr">
        <is>
          <t>No</t>
        </is>
      </c>
      <c r="K151" s="52" t="inlineStr"/>
    </row>
    <row r="152" ht="23.25" customHeight="1" s="42">
      <c r="A152" s="52" t="inlineStr">
        <is>
          <t>Anheuser-Busch InBev</t>
        </is>
      </c>
      <c r="B152" s="52" t="inlineStr">
        <is>
          <t>n_selective</t>
        </is>
      </c>
      <c r="C152" s="52" t="inlineStr">
        <is>
          <t>Abandoned trans partner Dylan Mulvaney under pressure: no public defense, execs on leave, reassurance messaging to boycotters; HRC docked its CEI score</t>
        </is>
      </c>
      <c r="D152" s="51" t="inlineStr">
        <is>
          <t>—</t>
        </is>
      </c>
      <c r="E152" s="51" t="inlineStr">
        <is>
          <t>Negative</t>
        </is>
      </c>
      <c r="F152" s="51" t="n">
        <v>-10</v>
      </c>
      <c r="G152" s="51" t="n">
        <v>2023</v>
      </c>
      <c r="H152" s="52" t="inlineStr">
        <is>
          <t>https://www.advocate.com/business/has-bud-light-lost-sales</t>
        </is>
      </c>
      <c r="I152" s="52" t="inlineStr">
        <is>
          <t>News</t>
        </is>
      </c>
      <c r="J152" s="51" t="inlineStr">
        <is>
          <t>No</t>
        </is>
      </c>
      <c r="K152" s="52" t="inlineStr"/>
    </row>
    <row r="153" ht="23.25" customHeight="1" s="42">
      <c r="A153" s="52" t="inlineStr">
        <is>
          <t>Anheuser-Busch InBev</t>
        </is>
      </c>
      <c r="B153" s="52" t="inlineStr">
        <is>
          <t>n_pride_retreat</t>
        </is>
      </c>
      <c r="C153" s="52" t="inlineStr">
        <is>
          <t>Publicly retreated from its trans-inclusive campaign and Pride commitments amid the 2023 boycott (CEO statement distancing the brand; marketing leadership placed on leave)</t>
        </is>
      </c>
      <c r="D153" s="51" t="inlineStr">
        <is>
          <t>—</t>
        </is>
      </c>
      <c r="E153" s="51" t="inlineStr">
        <is>
          <t>Negative</t>
        </is>
      </c>
      <c r="F153" s="51" t="n">
        <v>-22</v>
      </c>
      <c r="G153" s="51" t="n">
        <v>2023</v>
      </c>
      <c r="H153" s="52" t="inlineStr">
        <is>
          <t>https://en.wikipedia.org/wiki/Bud_Light_boycott</t>
        </is>
      </c>
      <c r="I153" s="52" t="inlineStr">
        <is>
          <t>News</t>
        </is>
      </c>
      <c r="J153" s="51" t="inlineStr">
        <is>
          <t>No</t>
        </is>
      </c>
      <c r="K153" s="52" t="inlineStr"/>
    </row>
    <row r="154" ht="23.25" customHeight="1" s="42">
      <c r="A154" s="52" t="inlineStr">
        <is>
          <t>Anheuser-Busch InBev</t>
        </is>
      </c>
      <c r="B154" s="52" t="inlineStr">
        <is>
          <t>n_pride_retreat</t>
        </is>
      </c>
      <c r="C154" s="52" t="inlineStr">
        <is>
          <t>Withdrew from SF Pride, Columbus Pride, and 30-year hometown St. Louis Pride sponsorship ($150K shortfall)</t>
        </is>
      </c>
      <c r="D154" s="51" t="inlineStr">
        <is>
          <t>—</t>
        </is>
      </c>
      <c r="E154" s="51" t="inlineStr">
        <is>
          <t>Negative</t>
        </is>
      </c>
      <c r="F154" s="51" t="n">
        <v>-22</v>
      </c>
      <c r="G154" s="51" t="n">
        <v>2025</v>
      </c>
      <c r="H154" s="52" t="inlineStr">
        <is>
          <t>https://www.advocate.com/news/companies-that-stopped-sponsoring-pride</t>
        </is>
      </c>
      <c r="I154" s="52" t="inlineStr">
        <is>
          <t>News</t>
        </is>
      </c>
      <c r="J154" s="51" t="inlineStr">
        <is>
          <t>Yes</t>
        </is>
      </c>
      <c r="K154" s="52" t="inlineStr"/>
    </row>
    <row r="155" ht="23.25" customHeight="1" s="42">
      <c r="A155" s="52" t="inlineStr">
        <is>
          <t>Whole Foods</t>
        </is>
      </c>
      <c r="B155" s="52" t="inlineStr">
        <is>
          <t>p_generic_post</t>
        </is>
      </c>
      <c r="C155" s="52" t="inlineStr">
        <is>
          <t>Local/regional Pride Month engagement and posts</t>
        </is>
      </c>
      <c r="D155" s="51" t="inlineStr">
        <is>
          <t>Cosmetic</t>
        </is>
      </c>
      <c r="E155" s="51" t="inlineStr">
        <is>
          <t>Positive</t>
        </is>
      </c>
      <c r="F155" s="51" t="n">
        <v>2</v>
      </c>
      <c r="G155" s="51" t="n">
        <v>2024</v>
      </c>
      <c r="H155" s="52" t="inlineStr">
        <is>
          <t>https://web.archive.org/web/2024/https://www.wholefoodsmarket.com/company-info</t>
        </is>
      </c>
      <c r="I155" s="52" t="inlineStr">
        <is>
          <t>Archive</t>
        </is>
      </c>
      <c r="J155" s="51" t="inlineStr">
        <is>
          <t>No</t>
        </is>
      </c>
      <c r="K155" s="52" t="inlineStr"/>
    </row>
    <row r="156" ht="23.25" customHeight="1" s="42">
      <c r="A156" s="52" t="inlineStr">
        <is>
          <t>JPMorgan Chase</t>
        </is>
      </c>
      <c r="B156" s="52" t="inlineStr">
        <is>
          <t>p_generic_post</t>
        </is>
      </c>
      <c r="C156" s="52" t="inlineStr">
        <is>
          <t>Annual Pride Month posts and branding</t>
        </is>
      </c>
      <c r="D156" s="51" t="inlineStr">
        <is>
          <t>Cosmetic</t>
        </is>
      </c>
      <c r="E156" s="51" t="inlineStr">
        <is>
          <t>Positive</t>
        </is>
      </c>
      <c r="F156" s="51" t="n">
        <v>2</v>
      </c>
      <c r="G156" s="51" t="n">
        <v>2024</v>
      </c>
      <c r="H156" s="52" t="inlineStr">
        <is>
          <t>https://web.archive.org/web/2024/https://www.jpmorganchase.com/impact/people/diversity-equity-inclusion</t>
        </is>
      </c>
      <c r="I156" s="52" t="inlineStr">
        <is>
          <t>Archive</t>
        </is>
      </c>
      <c r="J156" s="51" t="inlineStr">
        <is>
          <t>No</t>
        </is>
      </c>
      <c r="K156" s="52" t="inlineStr"/>
    </row>
    <row r="157" ht="23.25" customHeight="1" s="42">
      <c r="A157" s="52" t="inlineStr">
        <is>
          <t>JPMorgan Chase</t>
        </is>
      </c>
      <c r="B157" s="52" t="inlineStr">
        <is>
          <t>p_erg_support</t>
        </is>
      </c>
      <c r="C157" s="52" t="inlineStr">
        <is>
          <t>Funded PRIDE business resource group</t>
        </is>
      </c>
      <c r="D157" s="51" t="inlineStr">
        <is>
          <t>Civic</t>
        </is>
      </c>
      <c r="E157" s="51" t="inlineStr">
        <is>
          <t>Positive</t>
        </is>
      </c>
      <c r="F157" s="51" t="n">
        <v>15</v>
      </c>
      <c r="G157" s="51" t="n">
        <v>2025</v>
      </c>
      <c r="H157" s="52" t="inlineStr">
        <is>
          <t>https://web.archive.org/web/2024/https://www.jpmorganchase.com/impact/people/diversity-equity-inclusion</t>
        </is>
      </c>
      <c r="I157" s="52" t="inlineStr">
        <is>
          <t>Archive</t>
        </is>
      </c>
      <c r="J157" s="51" t="inlineStr">
        <is>
          <t>No</t>
        </is>
      </c>
      <c r="K157" s="52" t="inlineStr"/>
    </row>
    <row r="158" ht="23.25" customHeight="1" s="42">
      <c r="A158" s="52" t="inlineStr">
        <is>
          <t>JPMorgan Chase</t>
        </is>
      </c>
      <c r="B158" s="52" t="inlineStr">
        <is>
          <t>p_benefits</t>
        </is>
      </c>
      <c r="C158" s="52" t="inlineStr">
        <is>
          <t>Comprehensive partner and gender-affirming benefits (CEI-verified)</t>
        </is>
      </c>
      <c r="D158" s="51" t="inlineStr">
        <is>
          <t>Structural</t>
        </is>
      </c>
      <c r="E158" s="51" t="inlineStr">
        <is>
          <t>Positive</t>
        </is>
      </c>
      <c r="F158" s="51" t="n">
        <v>22</v>
      </c>
      <c r="G158" s="51" t="n">
        <v>2025</v>
      </c>
      <c r="H158" s="52" t="inlineStr">
        <is>
          <t>https://reports.hrc.org/corporate-equality-index-2025</t>
        </is>
      </c>
      <c r="I158" s="52" t="inlineStr">
        <is>
          <t>HRC</t>
        </is>
      </c>
      <c r="J158" s="51" t="inlineStr">
        <is>
          <t>No</t>
        </is>
      </c>
      <c r="K158" s="52" t="inlineStr"/>
    </row>
    <row r="159" ht="23.25" customHeight="1" s="42">
      <c r="A159" s="52" t="inlineStr">
        <is>
          <t>JPMorgan Chase</t>
        </is>
      </c>
      <c r="B159" s="52" t="inlineStr">
        <is>
          <t>p_leadership_vocal</t>
        </is>
      </c>
      <c r="C159" s="52" t="inlineStr">
        <is>
          <t>Dimon 2025: outreach to 'Black, Hispanic, LGBT, veteran, disabled communities' continues — 'We're not changing that'</t>
        </is>
      </c>
      <c r="D159" s="51" t="inlineStr">
        <is>
          <t>Structural</t>
        </is>
      </c>
      <c r="E159" s="51" t="inlineStr">
        <is>
          <t>Positive</t>
        </is>
      </c>
      <c r="F159" s="51" t="n">
        <v>18</v>
      </c>
      <c r="G159" s="51" t="n">
        <v>2025</v>
      </c>
      <c r="H159" s="52" t="inlineStr">
        <is>
          <t>https://www.bankingdive.com/news/goldman-dei-diversity-equity-inclusion-solomon-gnodde-moynihan-fraser-dimon/741251/</t>
        </is>
      </c>
      <c r="I159" s="52" t="inlineStr">
        <is>
          <t>News</t>
        </is>
      </c>
      <c r="J159" s="51" t="inlineStr">
        <is>
          <t>Yes</t>
        </is>
      </c>
      <c r="K159" s="52" t="inlineStr"/>
    </row>
    <row r="160" ht="23.25" customHeight="1" s="42">
      <c r="A160" s="52" t="inlineStr">
        <is>
          <t>Bank of America</t>
        </is>
      </c>
      <c r="B160" s="52" t="inlineStr">
        <is>
          <t>p_generic_post</t>
        </is>
      </c>
      <c r="C160" s="52" t="inlineStr">
        <is>
          <t>Annual Pride Month posts and sponsorship history</t>
        </is>
      </c>
      <c r="D160" s="51" t="inlineStr">
        <is>
          <t>Cosmetic</t>
        </is>
      </c>
      <c r="E160" s="51" t="inlineStr">
        <is>
          <t>Positive</t>
        </is>
      </c>
      <c r="F160" s="51" t="n">
        <v>2</v>
      </c>
      <c r="G160" s="51" t="n">
        <v>2024</v>
      </c>
      <c r="H160" s="52" t="inlineStr">
        <is>
          <t>https://web.archive.org/web/2024/https://about.bankofamerica.com/en/making-an-impact/diversity-inclusion</t>
        </is>
      </c>
      <c r="I160" s="52" t="inlineStr">
        <is>
          <t>Archive</t>
        </is>
      </c>
      <c r="J160" s="51" t="inlineStr">
        <is>
          <t>No</t>
        </is>
      </c>
      <c r="K160" s="52" t="inlineStr"/>
    </row>
    <row r="161" ht="23.25" customHeight="1" s="42">
      <c r="A161" s="52" t="inlineStr">
        <is>
          <t>Bank of America</t>
        </is>
      </c>
      <c r="B161" s="52" t="inlineStr">
        <is>
          <t>p_erg_support</t>
        </is>
      </c>
      <c r="C161" s="52" t="inlineStr">
        <is>
          <t>Funded LGBTQ+ Pride ERG</t>
        </is>
      </c>
      <c r="D161" s="51" t="inlineStr">
        <is>
          <t>Civic</t>
        </is>
      </c>
      <c r="E161" s="51" t="inlineStr">
        <is>
          <t>Positive</t>
        </is>
      </c>
      <c r="F161" s="51" t="n">
        <v>15</v>
      </c>
      <c r="G161" s="51" t="n">
        <v>2024</v>
      </c>
      <c r="H161" s="52" t="inlineStr">
        <is>
          <t>https://web.archive.org/web/2024/https://about.bankofamerica.com/en/making-an-impact/diversity-inclusion</t>
        </is>
      </c>
      <c r="I161" s="52" t="inlineStr">
        <is>
          <t>Archive</t>
        </is>
      </c>
      <c r="J161" s="51" t="inlineStr">
        <is>
          <t>No</t>
        </is>
      </c>
      <c r="K161" s="52" t="inlineStr"/>
    </row>
    <row r="162" ht="23.25" customHeight="1" s="42">
      <c r="A162" s="52" t="inlineStr">
        <is>
          <t>Bank of America</t>
        </is>
      </c>
      <c r="B162" s="52" t="inlineStr">
        <is>
          <t>p_benefits</t>
        </is>
      </c>
      <c r="C162" s="52" t="inlineStr">
        <is>
          <t>Inclusive partner and gender-affirming benefits (CEI-verified)</t>
        </is>
      </c>
      <c r="D162" s="51" t="inlineStr">
        <is>
          <t>Structural</t>
        </is>
      </c>
      <c r="E162" s="51" t="inlineStr">
        <is>
          <t>Positive</t>
        </is>
      </c>
      <c r="F162" s="51" t="n">
        <v>22</v>
      </c>
      <c r="G162" s="51" t="n">
        <v>2024</v>
      </c>
      <c r="H162" s="52" t="inlineStr">
        <is>
          <t>https://reports.hrc.org/corporate-equality-index-2025</t>
        </is>
      </c>
      <c r="I162" s="52" t="inlineStr">
        <is>
          <t>HRC</t>
        </is>
      </c>
      <c r="J162" s="51" t="inlineStr">
        <is>
          <t>No</t>
        </is>
      </c>
      <c r="K162" s="52" t="inlineStr"/>
    </row>
    <row r="163" ht="23.25" customHeight="1" s="42">
      <c r="A163" s="52" t="inlineStr">
        <is>
          <t>Bank of America</t>
        </is>
      </c>
      <c r="B163" s="52" t="inlineStr">
        <is>
          <t>n_dei_removal</t>
        </is>
      </c>
      <c r="C163" s="52" t="inlineStr">
        <is>
          <t>Scrubbed diversity language from 10-K; renamed DEI 'talent and opportunity'; rolled back diverse-slate initiatives</t>
        </is>
      </c>
      <c r="D163" s="51" t="inlineStr">
        <is>
          <t>—</t>
        </is>
      </c>
      <c r="E163" s="51" t="inlineStr">
        <is>
          <t>Negative</t>
        </is>
      </c>
      <c r="F163" s="51" t="n">
        <v>-32</v>
      </c>
      <c r="G163" s="51" t="n">
        <v>2025</v>
      </c>
      <c r="H163" s="52" t="inlineStr">
        <is>
          <t>https://www.bankingdive.com/news/goldman-dei-diversity-equity-inclusion-solomon-gnodde-moynihan-fraser-dimon/741251/</t>
        </is>
      </c>
      <c r="I163" s="52" t="inlineStr">
        <is>
          <t>News</t>
        </is>
      </c>
      <c r="J163" s="51" t="inlineStr">
        <is>
          <t>Yes</t>
        </is>
      </c>
      <c r="K163" s="52" t="inlineStr"/>
    </row>
    <row r="164" ht="23.25" customHeight="1" s="42">
      <c r="A164" s="52" t="inlineStr">
        <is>
          <t>Wells Fargo</t>
        </is>
      </c>
      <c r="B164" s="52" t="inlineStr">
        <is>
          <t>p_generic_post</t>
        </is>
      </c>
      <c r="C164" s="52" t="inlineStr">
        <is>
          <t>Annual Pride posts; pioneering LGBTQ+-targeted advertising since the 1990s</t>
        </is>
      </c>
      <c r="D164" s="51" t="inlineStr">
        <is>
          <t>Cosmetic</t>
        </is>
      </c>
      <c r="E164" s="51" t="inlineStr">
        <is>
          <t>Positive</t>
        </is>
      </c>
      <c r="F164" s="51" t="n">
        <v>2</v>
      </c>
      <c r="G164" s="51" t="n">
        <v>2024</v>
      </c>
      <c r="H164" s="52" t="inlineStr">
        <is>
          <t>https://web.archive.org/web/2024/https://www.wellsfargo.com/about/diversity/</t>
        </is>
      </c>
      <c r="I164" s="52" t="inlineStr">
        <is>
          <t>Archive</t>
        </is>
      </c>
      <c r="J164" s="51" t="inlineStr">
        <is>
          <t>No</t>
        </is>
      </c>
      <c r="K164" s="52" t="inlineStr"/>
    </row>
    <row r="165" ht="23.25" customHeight="1" s="42">
      <c r="A165" s="52" t="inlineStr">
        <is>
          <t>Wells Fargo</t>
        </is>
      </c>
      <c r="B165" s="52" t="inlineStr">
        <is>
          <t>p_erg_support</t>
        </is>
      </c>
      <c r="C165" s="52" t="inlineStr">
        <is>
          <t>Funded PRIDE employee resource group</t>
        </is>
      </c>
      <c r="D165" s="51" t="inlineStr">
        <is>
          <t>Civic</t>
        </is>
      </c>
      <c r="E165" s="51" t="inlineStr">
        <is>
          <t>Positive</t>
        </is>
      </c>
      <c r="F165" s="51" t="n">
        <v>15</v>
      </c>
      <c r="G165" s="51" t="n">
        <v>2024</v>
      </c>
      <c r="H165" s="52" t="inlineStr">
        <is>
          <t>https://web.archive.org/web/2024/https://www.wellsfargo.com/about/diversity/</t>
        </is>
      </c>
      <c r="I165" s="52" t="inlineStr">
        <is>
          <t>Archive</t>
        </is>
      </c>
      <c r="J165" s="51" t="inlineStr">
        <is>
          <t>No</t>
        </is>
      </c>
      <c r="K165" s="52" t="inlineStr"/>
    </row>
    <row r="166" ht="23.25" customHeight="1" s="42">
      <c r="A166" s="52" t="inlineStr">
        <is>
          <t>Wells Fargo</t>
        </is>
      </c>
      <c r="B166" s="52" t="inlineStr">
        <is>
          <t>p_benefits</t>
        </is>
      </c>
      <c r="C166" s="52" t="inlineStr">
        <is>
          <t>Inclusive partner and gender-affirming benefits (CEI-verified)</t>
        </is>
      </c>
      <c r="D166" s="51" t="inlineStr">
        <is>
          <t>Structural</t>
        </is>
      </c>
      <c r="E166" s="51" t="inlineStr">
        <is>
          <t>Positive</t>
        </is>
      </c>
      <c r="F166" s="51" t="n">
        <v>22</v>
      </c>
      <c r="G166" s="51" t="n">
        <v>2024</v>
      </c>
      <c r="H166" s="52" t="inlineStr">
        <is>
          <t>https://reports.hrc.org/corporate-equality-index-2025</t>
        </is>
      </c>
      <c r="I166" s="52" t="inlineStr">
        <is>
          <t>HRC</t>
        </is>
      </c>
      <c r="J166" s="51" t="inlineStr">
        <is>
          <t>No</t>
        </is>
      </c>
      <c r="K166" s="52" t="inlineStr"/>
    </row>
    <row r="167" ht="23.25" customHeight="1" s="42">
      <c r="A167" s="52" t="inlineStr">
        <is>
          <t>Wells Fargo</t>
        </is>
      </c>
      <c r="B167" s="52" t="inlineStr">
        <is>
          <t>n_dei_removal</t>
        </is>
      </c>
      <c r="C167" s="52" t="inlineStr">
        <is>
          <t>Dropped diverse-slate hiring requirement; scaled back DEI programs/language</t>
        </is>
      </c>
      <c r="D167" s="51" t="inlineStr">
        <is>
          <t>—</t>
        </is>
      </c>
      <c r="E167" s="51" t="inlineStr">
        <is>
          <t>Negative</t>
        </is>
      </c>
      <c r="F167" s="51" t="n">
        <v>-32</v>
      </c>
      <c r="G167" s="51" t="n">
        <v>2025</v>
      </c>
      <c r="H167" s="52" t="inlineStr">
        <is>
          <t>https://www.bankingdive.com/news/goldman-dei-diversity-equity-inclusion-solomon-gnodde-moynihan-fraser-dimon/741251/</t>
        </is>
      </c>
      <c r="I167" s="52" t="inlineStr">
        <is>
          <t>News</t>
        </is>
      </c>
      <c r="J167" s="51" t="inlineStr">
        <is>
          <t>Yes</t>
        </is>
      </c>
      <c r="K167" s="52" t="inlineStr"/>
    </row>
    <row r="168" ht="23.25" customHeight="1" s="42">
      <c r="A168" s="52" t="inlineStr">
        <is>
          <t>Goldman Sachs</t>
        </is>
      </c>
      <c r="B168" s="52" t="inlineStr">
        <is>
          <t>p_generic_post</t>
        </is>
      </c>
      <c r="C168" s="52" t="inlineStr">
        <is>
          <t>Annual Pride Month posts and branding</t>
        </is>
      </c>
      <c r="D168" s="51" t="inlineStr">
        <is>
          <t>Cosmetic</t>
        </is>
      </c>
      <c r="E168" s="51" t="inlineStr">
        <is>
          <t>Positive</t>
        </is>
      </c>
      <c r="F168" s="51" t="n">
        <v>2</v>
      </c>
      <c r="G168" s="51" t="n">
        <v>2024</v>
      </c>
      <c r="H168" s="52" t="inlineStr">
        <is>
          <t>https://web.archive.org/web/2024/https://www.goldmansachs.com/our-firm/people-and-culture/diversity-and-inclusion</t>
        </is>
      </c>
      <c r="I168" s="52" t="inlineStr">
        <is>
          <t>Archive</t>
        </is>
      </c>
      <c r="J168" s="51" t="inlineStr">
        <is>
          <t>No</t>
        </is>
      </c>
      <c r="K168" s="52" t="inlineStr"/>
    </row>
    <row r="169" ht="23.25" customHeight="1" s="42">
      <c r="A169" s="52" t="inlineStr">
        <is>
          <t>Goldman Sachs</t>
        </is>
      </c>
      <c r="B169" s="52" t="inlineStr">
        <is>
          <t>p_erg_support</t>
        </is>
      </c>
      <c r="C169" s="52" t="inlineStr">
        <is>
          <t>Funded LGBTQ+ employee network</t>
        </is>
      </c>
      <c r="D169" s="51" t="inlineStr">
        <is>
          <t>Civic</t>
        </is>
      </c>
      <c r="E169" s="51" t="inlineStr">
        <is>
          <t>Positive</t>
        </is>
      </c>
      <c r="F169" s="51" t="n">
        <v>15</v>
      </c>
      <c r="G169" s="51" t="n">
        <v>2024</v>
      </c>
      <c r="H169" s="52" t="inlineStr">
        <is>
          <t>https://web.archive.org/web/2024/https://www.goldmansachs.com/our-firm/people-and-culture/diversity-and-inclusion</t>
        </is>
      </c>
      <c r="I169" s="52" t="inlineStr">
        <is>
          <t>Archive</t>
        </is>
      </c>
      <c r="J169" s="51" t="inlineStr">
        <is>
          <t>No</t>
        </is>
      </c>
      <c r="K169" s="52" t="inlineStr"/>
    </row>
    <row r="170" ht="23.25" customHeight="1" s="42">
      <c r="A170" s="52" t="inlineStr">
        <is>
          <t>Goldman Sachs</t>
        </is>
      </c>
      <c r="B170" s="52" t="inlineStr">
        <is>
          <t>p_benefits</t>
        </is>
      </c>
      <c r="C170" s="52" t="inlineStr">
        <is>
          <t>Inclusive partner and gender-affirming benefits (CEI-verified)</t>
        </is>
      </c>
      <c r="D170" s="51" t="inlineStr">
        <is>
          <t>Structural</t>
        </is>
      </c>
      <c r="E170" s="51" t="inlineStr">
        <is>
          <t>Positive</t>
        </is>
      </c>
      <c r="F170" s="51" t="n">
        <v>22</v>
      </c>
      <c r="G170" s="51" t="n">
        <v>2024</v>
      </c>
      <c r="H170" s="52" t="inlineStr">
        <is>
          <t>https://reports.hrc.org/corporate-equality-index-2025</t>
        </is>
      </c>
      <c r="I170" s="52" t="inlineStr">
        <is>
          <t>HRC</t>
        </is>
      </c>
      <c r="J170" s="51" t="inlineStr">
        <is>
          <t>No</t>
        </is>
      </c>
      <c r="K170" s="52" t="inlineStr"/>
    </row>
    <row r="171" ht="23.25" customHeight="1" s="42">
      <c r="A171" s="52" t="inlineStr">
        <is>
          <t>Goldman Sachs</t>
        </is>
      </c>
      <c r="B171" s="52" t="inlineStr">
        <is>
          <t>n_dei_removal</t>
        </is>
      </c>
      <c r="C171" s="52" t="inlineStr">
        <is>
          <t>Canceled 2022 diversity targets, diverse-slate and IPO board-diversity requirements; scrubbed equity pages post-EO</t>
        </is>
      </c>
      <c r="D171" s="51" t="inlineStr">
        <is>
          <t>—</t>
        </is>
      </c>
      <c r="E171" s="51" t="inlineStr">
        <is>
          <t>Negative</t>
        </is>
      </c>
      <c r="F171" s="51" t="n">
        <v>-32</v>
      </c>
      <c r="G171" s="51" t="n">
        <v>2025</v>
      </c>
      <c r="H171" s="52" t="inlineStr">
        <is>
          <t>https://fortune.com/2025/02/27/goldman-sachs-erases-diversity-goals-gender-racial-equality-website-trump-dei-order/</t>
        </is>
      </c>
      <c r="I171" s="52" t="inlineStr">
        <is>
          <t>News</t>
        </is>
      </c>
      <c r="J171" s="51" t="inlineStr">
        <is>
          <t>Yes</t>
        </is>
      </c>
      <c r="K171" s="52" t="inlineStr">
        <is>
          <t>Archived before-state: https://web.archive.org/web/2024/https://www.goldmansachs.com/our-firm/people-and-culture/diversity-and-inclusion</t>
        </is>
      </c>
    </row>
    <row r="172" ht="23.25" customHeight="1" s="42">
      <c r="A172" s="52" t="inlineStr">
        <is>
          <t>American Express</t>
        </is>
      </c>
      <c r="B172" s="52" t="inlineStr">
        <is>
          <t>p_generic_post</t>
        </is>
      </c>
      <c r="C172" s="52" t="inlineStr">
        <is>
          <t>Annual Pride Month posts and branding</t>
        </is>
      </c>
      <c r="D172" s="51" t="inlineStr">
        <is>
          <t>Cosmetic</t>
        </is>
      </c>
      <c r="E172" s="51" t="inlineStr">
        <is>
          <t>Positive</t>
        </is>
      </c>
      <c r="F172" s="51" t="n">
        <v>2</v>
      </c>
      <c r="G172" s="51" t="n">
        <v>2024</v>
      </c>
      <c r="H172" s="52" t="inlineStr">
        <is>
          <t>https://web.archive.org/web/2024/https://www.americanexpress.com/en-us/company/diversity/</t>
        </is>
      </c>
      <c r="I172" s="52" t="inlineStr">
        <is>
          <t>Archive</t>
        </is>
      </c>
      <c r="J172" s="51" t="inlineStr">
        <is>
          <t>No</t>
        </is>
      </c>
      <c r="K172" s="52" t="inlineStr"/>
    </row>
    <row r="173" ht="23.25" customHeight="1" s="42">
      <c r="A173" s="52" t="inlineStr">
        <is>
          <t>American Express</t>
        </is>
      </c>
      <c r="B173" s="52" t="inlineStr">
        <is>
          <t>p_erg_support</t>
        </is>
      </c>
      <c r="C173" s="52" t="inlineStr">
        <is>
          <t>Funded PRIDE employee network</t>
        </is>
      </c>
      <c r="D173" s="51" t="inlineStr">
        <is>
          <t>Civic</t>
        </is>
      </c>
      <c r="E173" s="51" t="inlineStr">
        <is>
          <t>Positive</t>
        </is>
      </c>
      <c r="F173" s="51" t="n">
        <v>15</v>
      </c>
      <c r="G173" s="51" t="n">
        <v>2024</v>
      </c>
      <c r="H173" s="52" t="inlineStr">
        <is>
          <t>https://web.archive.org/web/2024/https://www.americanexpress.com/en-us/company/diversity/</t>
        </is>
      </c>
      <c r="I173" s="52" t="inlineStr">
        <is>
          <t>Archive</t>
        </is>
      </c>
      <c r="J173" s="51" t="inlineStr">
        <is>
          <t>No</t>
        </is>
      </c>
      <c r="K173" s="52" t="inlineStr"/>
    </row>
    <row r="174" ht="23.25" customHeight="1" s="42">
      <c r="A174" s="52" t="inlineStr">
        <is>
          <t>American Express</t>
        </is>
      </c>
      <c r="B174" s="52" t="inlineStr">
        <is>
          <t>p_benefits</t>
        </is>
      </c>
      <c r="C174" s="52" t="inlineStr">
        <is>
          <t>Inclusive partner and gender-affirming benefits (CEI-verified)</t>
        </is>
      </c>
      <c r="D174" s="51" t="inlineStr">
        <is>
          <t>Structural</t>
        </is>
      </c>
      <c r="E174" s="51" t="inlineStr">
        <is>
          <t>Positive</t>
        </is>
      </c>
      <c r="F174" s="51" t="n">
        <v>22</v>
      </c>
      <c r="G174" s="51" t="n">
        <v>2024</v>
      </c>
      <c r="H174" s="52" t="inlineStr">
        <is>
          <t>https://reports.hrc.org/corporate-equality-index-2025</t>
        </is>
      </c>
      <c r="I174" s="52" t="inlineStr">
        <is>
          <t>HRC</t>
        </is>
      </c>
      <c r="J174" s="51" t="inlineStr">
        <is>
          <t>No</t>
        </is>
      </c>
      <c r="K174" s="52" t="inlineStr"/>
    </row>
    <row r="175" ht="23.25" customHeight="1" s="42">
      <c r="A175" s="52" t="inlineStr">
        <is>
          <t>American Express</t>
        </is>
      </c>
      <c r="B175" s="52" t="inlineStr">
        <is>
          <t>n_dei_removal</t>
        </is>
      </c>
      <c r="C175" s="52" t="inlineStr">
        <is>
          <t>Removed DEI criteria from board selection process; trimmed diversity language</t>
        </is>
      </c>
      <c r="D175" s="51" t="inlineStr">
        <is>
          <t>—</t>
        </is>
      </c>
      <c r="E175" s="51" t="inlineStr">
        <is>
          <t>Negative</t>
        </is>
      </c>
      <c r="F175" s="51" t="n">
        <v>-32</v>
      </c>
      <c r="G175" s="51" t="n">
        <v>2025</v>
      </c>
      <c r="H175" s="52" t="inlineStr">
        <is>
          <t>https://simplywall.st/stocks/us/diversified-financials/nyse-axp/american-express/news/american-express-drops-board-dei-criteria-as-valuation-scree/amp</t>
        </is>
      </c>
      <c r="I175" s="52" t="inlineStr">
        <is>
          <t>News</t>
        </is>
      </c>
      <c r="J175" s="51" t="inlineStr">
        <is>
          <t>Yes</t>
        </is>
      </c>
      <c r="K175" s="52" t="inlineStr"/>
    </row>
    <row r="176" ht="23.25" customHeight="1" s="42">
      <c r="A176" s="52" t="inlineStr">
        <is>
          <t>Visa</t>
        </is>
      </c>
      <c r="B176" s="52" t="inlineStr">
        <is>
          <t>p_generic_post</t>
        </is>
      </c>
      <c r="C176" s="52" t="inlineStr">
        <is>
          <t>Annual Pride Month posts and branding</t>
        </is>
      </c>
      <c r="D176" s="51" t="inlineStr">
        <is>
          <t>Cosmetic</t>
        </is>
      </c>
      <c r="E176" s="51" t="inlineStr">
        <is>
          <t>Positive</t>
        </is>
      </c>
      <c r="F176" s="51" t="n">
        <v>2</v>
      </c>
      <c r="G176" s="51" t="n">
        <v>2024</v>
      </c>
      <c r="H176" s="52" t="inlineStr">
        <is>
          <t>https://web.archive.org/web/2024/https://usa.visa.com/about-visa/diversity-inclusion.html</t>
        </is>
      </c>
      <c r="I176" s="52" t="inlineStr">
        <is>
          <t>Archive</t>
        </is>
      </c>
      <c r="J176" s="51" t="inlineStr">
        <is>
          <t>No</t>
        </is>
      </c>
      <c r="K176" s="52" t="inlineStr"/>
    </row>
    <row r="177" ht="23.25" customHeight="1" s="42">
      <c r="A177" s="52" t="inlineStr">
        <is>
          <t>Visa</t>
        </is>
      </c>
      <c r="B177" s="52" t="inlineStr">
        <is>
          <t>p_erg_support</t>
        </is>
      </c>
      <c r="C177" s="52" t="inlineStr">
        <is>
          <t>Funded LGBTQ+ employee resource group</t>
        </is>
      </c>
      <c r="D177" s="51" t="inlineStr">
        <is>
          <t>Civic</t>
        </is>
      </c>
      <c r="E177" s="51" t="inlineStr">
        <is>
          <t>Positive</t>
        </is>
      </c>
      <c r="F177" s="51" t="n">
        <v>15</v>
      </c>
      <c r="G177" s="51" t="n">
        <v>2024</v>
      </c>
      <c r="H177" s="52" t="inlineStr">
        <is>
          <t>https://web.archive.org/web/2024/https://usa.visa.com/about-visa/diversity-inclusion.html</t>
        </is>
      </c>
      <c r="I177" s="52" t="inlineStr">
        <is>
          <t>Archive</t>
        </is>
      </c>
      <c r="J177" s="51" t="inlineStr">
        <is>
          <t>No</t>
        </is>
      </c>
      <c r="K177" s="52" t="inlineStr"/>
    </row>
    <row r="178" ht="23.25" customHeight="1" s="42">
      <c r="A178" s="52" t="inlineStr">
        <is>
          <t>Mastercard</t>
        </is>
      </c>
      <c r="B178" s="52" t="inlineStr">
        <is>
          <t>p_logo_rainbow</t>
        </is>
      </c>
      <c r="C178" s="52" t="inlineStr">
        <is>
          <t>Pride campaign branding</t>
        </is>
      </c>
      <c r="D178" s="51" t="inlineStr">
        <is>
          <t>Cosmetic</t>
        </is>
      </c>
      <c r="E178" s="51" t="inlineStr">
        <is>
          <t>Positive</t>
        </is>
      </c>
      <c r="F178" s="51" t="n">
        <v>3</v>
      </c>
      <c r="G178" s="51" t="n">
        <v>2024</v>
      </c>
      <c r="H178" s="52" t="inlineStr">
        <is>
          <t>https://web.archive.org/web/2024/https://www.mastercard.us/en-us/vision/who-we-are/diversity-inclusion.html</t>
        </is>
      </c>
      <c r="I178" s="52" t="inlineStr">
        <is>
          <t>Archive</t>
        </is>
      </c>
      <c r="J178" s="51" t="inlineStr">
        <is>
          <t>No</t>
        </is>
      </c>
      <c r="K178" s="52" t="inlineStr"/>
    </row>
    <row r="179" ht="23.25" customHeight="1" s="42">
      <c r="A179" s="52" t="inlineStr">
        <is>
          <t>Mastercard</t>
        </is>
      </c>
      <c r="B179" s="52" t="inlineStr">
        <is>
          <t>p_generic_post</t>
        </is>
      </c>
      <c r="C179" s="52" t="inlineStr">
        <is>
          <t>Annual Pride Month posts</t>
        </is>
      </c>
      <c r="D179" s="51" t="inlineStr">
        <is>
          <t>Cosmetic</t>
        </is>
      </c>
      <c r="E179" s="51" t="inlineStr">
        <is>
          <t>Positive</t>
        </is>
      </c>
      <c r="F179" s="51" t="n">
        <v>2</v>
      </c>
      <c r="G179" s="51" t="n">
        <v>2024</v>
      </c>
      <c r="H179" s="52" t="inlineStr">
        <is>
          <t>https://web.archive.org/web/2024/https://www.mastercard.us/en-us/vision/who-we-are/diversity-inclusion.html</t>
        </is>
      </c>
      <c r="I179" s="52" t="inlineStr">
        <is>
          <t>Archive</t>
        </is>
      </c>
      <c r="J179" s="51" t="inlineStr">
        <is>
          <t>No</t>
        </is>
      </c>
      <c r="K179" s="52" t="inlineStr"/>
    </row>
    <row r="180" ht="23.25" customHeight="1" s="42">
      <c r="A180" s="52" t="inlineStr">
        <is>
          <t>Mastercard</t>
        </is>
      </c>
      <c r="B180" s="52" t="inlineStr">
        <is>
          <t>p_community_events</t>
        </is>
      </c>
      <c r="C180" s="52" t="inlineStr">
        <is>
          <t>True Name card initiative (2019—) enabling trans/nonbinary customers to use chosen names; ongoing community partnerships</t>
        </is>
      </c>
      <c r="D180" s="51" t="inlineStr">
        <is>
          <t>Civic</t>
        </is>
      </c>
      <c r="E180" s="51" t="inlineStr">
        <is>
          <t>Positive</t>
        </is>
      </c>
      <c r="F180" s="51" t="n">
        <v>12</v>
      </c>
      <c r="G180" s="51" t="n">
        <v>2019</v>
      </c>
      <c r="H180" s="52" t="inlineStr">
        <is>
          <t>https://www.mastercard.us/en-us/personal/find-a-card/true-name.html</t>
        </is>
      </c>
      <c r="I180" s="52" t="inlineStr">
        <is>
          <t>Company</t>
        </is>
      </c>
      <c r="J180" s="51" t="inlineStr">
        <is>
          <t>No</t>
        </is>
      </c>
      <c r="K180" s="52" t="inlineStr"/>
    </row>
    <row r="181" ht="23.25" customHeight="1" s="42">
      <c r="A181" s="52" t="inlineStr">
        <is>
          <t>Mastercard</t>
        </is>
      </c>
      <c r="B181" s="52" t="inlineStr">
        <is>
          <t>p_parade_sponsor</t>
        </is>
      </c>
      <c r="C181" s="52" t="inlineStr">
        <is>
          <t>NYC Pride Platinum-level sponsor ($175K tier) for several years (withdrawn 2025)</t>
        </is>
      </c>
      <c r="D181" s="51" t="inlineStr">
        <is>
          <t>Civic</t>
        </is>
      </c>
      <c r="E181" s="51" t="inlineStr">
        <is>
          <t>Positive</t>
        </is>
      </c>
      <c r="F181" s="51" t="n">
        <v>12</v>
      </c>
      <c r="G181" s="51" t="n">
        <v>2024</v>
      </c>
      <c r="H181" s="52" t="inlineStr">
        <is>
          <t>https://www.advocate.com/news/companies-that-stopped-sponsoring-pride</t>
        </is>
      </c>
      <c r="I181" s="52" t="inlineStr">
        <is>
          <t>News</t>
        </is>
      </c>
      <c r="J181" s="51" t="inlineStr">
        <is>
          <t>No</t>
        </is>
      </c>
      <c r="K181" s="52" t="inlineStr"/>
    </row>
    <row r="182" ht="23.25" customHeight="1" s="42">
      <c r="A182" s="52" t="inlineStr">
        <is>
          <t>Mastercard</t>
        </is>
      </c>
      <c r="B182" s="52" t="inlineStr">
        <is>
          <t>p_parade_march</t>
        </is>
      </c>
      <c r="C182" s="52" t="inlineStr">
        <is>
          <t>≈100 employees and executives marching in 2026 Pride events with increased company spending</t>
        </is>
      </c>
      <c r="D182" s="51" t="inlineStr">
        <is>
          <t>Civic</t>
        </is>
      </c>
      <c r="E182" s="51" t="inlineStr">
        <is>
          <t>Positive</t>
        </is>
      </c>
      <c r="F182" s="51" t="n">
        <v>10</v>
      </c>
      <c r="G182" s="51" t="n">
        <v>2026</v>
      </c>
      <c r="H182" s="52" t="inlineStr">
        <is>
          <t>https://www.bloomberg.com/news/articles/2026-06-08/u-s-pride-events-claw-back-business-sponsorships-after-anti-dei-retreat</t>
        </is>
      </c>
      <c r="I182" s="52" t="inlineStr">
        <is>
          <t>News</t>
        </is>
      </c>
      <c r="J182" s="51" t="inlineStr">
        <is>
          <t>Yes</t>
        </is>
      </c>
      <c r="K182" s="52" t="inlineStr"/>
    </row>
    <row r="183" ht="23.25" customHeight="1" s="42">
      <c r="A183" s="52" t="inlineStr">
        <is>
          <t>Mastercard</t>
        </is>
      </c>
      <c r="B183" s="52" t="inlineStr">
        <is>
          <t>n_pride_retreat</t>
        </is>
      </c>
      <c r="C183" s="52" t="inlineStr">
        <is>
          <t>Withdrew NYC Pride Platinum sponsorship for 2025</t>
        </is>
      </c>
      <c r="D183" s="51" t="inlineStr">
        <is>
          <t>—</t>
        </is>
      </c>
      <c r="E183" s="51" t="inlineStr">
        <is>
          <t>Negative</t>
        </is>
      </c>
      <c r="F183" s="51" t="n">
        <v>-22</v>
      </c>
      <c r="G183" s="51" t="n">
        <v>2025</v>
      </c>
      <c r="H183" s="52" t="inlineStr">
        <is>
          <t>https://www.advocate.com/news/companies-that-stopped-sponsoring-pride</t>
        </is>
      </c>
      <c r="I183" s="52" t="inlineStr">
        <is>
          <t>News</t>
        </is>
      </c>
      <c r="J183" s="51" t="inlineStr">
        <is>
          <t>Yes</t>
        </is>
      </c>
      <c r="K183" s="52" t="inlineStr"/>
    </row>
    <row r="184" ht="23.25" customHeight="1" s="42">
      <c r="A184" s="52" t="inlineStr">
        <is>
          <t>Charles Schwab</t>
        </is>
      </c>
      <c r="B184" s="52" t="inlineStr">
        <is>
          <t>p_generic_post</t>
        </is>
      </c>
      <c r="C184" s="52" t="inlineStr">
        <is>
          <t>Occasional inclusion/Pride posts</t>
        </is>
      </c>
      <c r="D184" s="51" t="inlineStr">
        <is>
          <t>Cosmetic</t>
        </is>
      </c>
      <c r="E184" s="51" t="inlineStr">
        <is>
          <t>Positive</t>
        </is>
      </c>
      <c r="F184" s="51" t="n">
        <v>2</v>
      </c>
      <c r="G184" s="51" t="n">
        <v>2024</v>
      </c>
      <c r="H184" s="52" t="inlineStr">
        <is>
          <t>https://web.archive.org/web/2024/https://www.aboutschwab.com/diversity</t>
        </is>
      </c>
      <c r="I184" s="52" t="inlineStr">
        <is>
          <t>Archive</t>
        </is>
      </c>
      <c r="J184" s="51" t="inlineStr">
        <is>
          <t>No</t>
        </is>
      </c>
      <c r="K184" s="52" t="inlineStr"/>
    </row>
    <row r="185" ht="23.25" customHeight="1" s="42">
      <c r="A185" s="52" t="inlineStr">
        <is>
          <t>Citigroup</t>
        </is>
      </c>
      <c r="B185" s="52" t="inlineStr">
        <is>
          <t>p_generic_post</t>
        </is>
      </c>
      <c r="C185" s="52" t="inlineStr">
        <is>
          <t>Annual Pride Month posts and branding</t>
        </is>
      </c>
      <c r="D185" s="51" t="inlineStr">
        <is>
          <t>Cosmetic</t>
        </is>
      </c>
      <c r="E185" s="51" t="inlineStr">
        <is>
          <t>Positive</t>
        </is>
      </c>
      <c r="F185" s="51" t="n">
        <v>2</v>
      </c>
      <c r="G185" s="51" t="n">
        <v>2024</v>
      </c>
      <c r="H185" s="52" t="inlineStr">
        <is>
          <t>https://web.archive.org/web/2024/https://www.citigroup.com/global/about-us/diversity-equity-inclusion</t>
        </is>
      </c>
      <c r="I185" s="52" t="inlineStr">
        <is>
          <t>Archive</t>
        </is>
      </c>
      <c r="J185" s="51" t="inlineStr">
        <is>
          <t>No</t>
        </is>
      </c>
      <c r="K185" s="52" t="inlineStr"/>
    </row>
    <row r="186" ht="23.25" customHeight="1" s="42">
      <c r="A186" s="52" t="inlineStr">
        <is>
          <t>Citigroup</t>
        </is>
      </c>
      <c r="B186" s="52" t="inlineStr">
        <is>
          <t>p_parade_sponsor</t>
        </is>
      </c>
      <c r="C186" s="52" t="inlineStr">
        <is>
          <t>NYC Pride sponsorship for multiple years (scaled back 2025)</t>
        </is>
      </c>
      <c r="D186" s="51" t="inlineStr">
        <is>
          <t>Civic</t>
        </is>
      </c>
      <c r="E186" s="51" t="inlineStr">
        <is>
          <t>Positive</t>
        </is>
      </c>
      <c r="F186" s="51" t="n">
        <v>12</v>
      </c>
      <c r="G186" s="51" t="n">
        <v>2024</v>
      </c>
      <c r="H186" s="52" t="inlineStr">
        <is>
          <t>https://www.advocate.com/news/companies-that-stopped-sponsoring-pride</t>
        </is>
      </c>
      <c r="I186" s="52" t="inlineStr">
        <is>
          <t>News</t>
        </is>
      </c>
      <c r="J186" s="51" t="inlineStr">
        <is>
          <t>No</t>
        </is>
      </c>
      <c r="K186" s="52" t="inlineStr"/>
    </row>
    <row r="187" ht="23.25" customHeight="1" s="42">
      <c r="A187" s="52" t="inlineStr">
        <is>
          <t>Citigroup</t>
        </is>
      </c>
      <c r="B187" s="52" t="inlineStr">
        <is>
          <t>p_erg_support</t>
        </is>
      </c>
      <c r="C187" s="52" t="inlineStr">
        <is>
          <t>Funded Pride employee network</t>
        </is>
      </c>
      <c r="D187" s="51" t="inlineStr">
        <is>
          <t>Civic</t>
        </is>
      </c>
      <c r="E187" s="51" t="inlineStr">
        <is>
          <t>Positive</t>
        </is>
      </c>
      <c r="F187" s="51" t="n">
        <v>15</v>
      </c>
      <c r="G187" s="51" t="n">
        <v>2024</v>
      </c>
      <c r="H187" s="52" t="inlineStr">
        <is>
          <t>https://web.archive.org/web/2024/https://www.citigroup.com/global/about-us/diversity-equity-inclusion</t>
        </is>
      </c>
      <c r="I187" s="52" t="inlineStr">
        <is>
          <t>Archive</t>
        </is>
      </c>
      <c r="J187" s="51" t="inlineStr">
        <is>
          <t>No</t>
        </is>
      </c>
      <c r="K187" s="52" t="inlineStr"/>
    </row>
    <row r="188" ht="23.25" customHeight="1" s="42">
      <c r="A188" s="52" t="inlineStr">
        <is>
          <t>Citigroup</t>
        </is>
      </c>
      <c r="B188" s="52" t="inlineStr">
        <is>
          <t>n_dei_removal</t>
        </is>
      </c>
      <c r="C188" s="52" t="inlineStr">
        <is>
          <t>Dropped diversity goals and board-diversity requirements; renamed DEI team 'Talent Management and Engagement'</t>
        </is>
      </c>
      <c r="D188" s="51" t="inlineStr">
        <is>
          <t>—</t>
        </is>
      </c>
      <c r="E188" s="51" t="inlineStr">
        <is>
          <t>Negative</t>
        </is>
      </c>
      <c r="F188" s="51" t="n">
        <v>-32</v>
      </c>
      <c r="G188" s="51" t="n">
        <v>2025</v>
      </c>
      <c r="H188" s="52" t="inlineStr">
        <is>
          <t>https://www.cnbc.com/2025/02/21/citigroup-joins-corporate-retreat-from-diversity-initiatives.html</t>
        </is>
      </c>
      <c r="I188" s="52" t="inlineStr">
        <is>
          <t>News</t>
        </is>
      </c>
      <c r="J188" s="51" t="inlineStr">
        <is>
          <t>Yes</t>
        </is>
      </c>
      <c r="K188" s="52" t="inlineStr"/>
    </row>
    <row r="189" ht="23.25" customHeight="1" s="42">
      <c r="A189" s="52" t="inlineStr">
        <is>
          <t>Citigroup</t>
        </is>
      </c>
      <c r="B189" s="52" t="inlineStr">
        <is>
          <t>n_pride_retreat</t>
        </is>
      </c>
      <c r="C189" s="52" t="inlineStr">
        <is>
          <t>Scaled back NYC Pride sponsorship for 2025</t>
        </is>
      </c>
      <c r="D189" s="51" t="inlineStr">
        <is>
          <t>—</t>
        </is>
      </c>
      <c r="E189" s="51" t="inlineStr">
        <is>
          <t>Negative</t>
        </is>
      </c>
      <c r="F189" s="51" t="n">
        <v>-22</v>
      </c>
      <c r="G189" s="51" t="n">
        <v>2025</v>
      </c>
      <c r="H189" s="52" t="inlineStr">
        <is>
          <t>https://www.advocate.com/news/companies-that-stopped-sponsoring-pride</t>
        </is>
      </c>
      <c r="I189" s="52" t="inlineStr">
        <is>
          <t>News</t>
        </is>
      </c>
      <c r="J189" s="51" t="inlineStr">
        <is>
          <t>Yes</t>
        </is>
      </c>
      <c r="K189" s="52" t="inlineStr"/>
    </row>
    <row r="190" ht="23.25" customHeight="1" s="42">
      <c r="A190" s="52" t="inlineStr">
        <is>
          <t>Walt Disney Co.</t>
        </is>
      </c>
      <c r="B190" s="52" t="inlineStr">
        <is>
          <t>p_logo_rainbow</t>
        </is>
      </c>
      <c r="C190" s="52" t="inlineStr">
        <is>
          <t>Annual Pride branding across parks and platforms</t>
        </is>
      </c>
      <c r="D190" s="51" t="inlineStr">
        <is>
          <t>Cosmetic</t>
        </is>
      </c>
      <c r="E190" s="51" t="inlineStr">
        <is>
          <t>Positive</t>
        </is>
      </c>
      <c r="F190" s="51" t="n">
        <v>3</v>
      </c>
      <c r="G190" s="51" t="n">
        <v>2025</v>
      </c>
      <c r="H190" s="52" t="inlineStr">
        <is>
          <t>https://web.archive.org/web/2025/https://www.shopdisney.com/franchises/disney-pride-collection/</t>
        </is>
      </c>
      <c r="I190" s="52" t="inlineStr">
        <is>
          <t>Archive</t>
        </is>
      </c>
      <c r="J190" s="51" t="inlineStr">
        <is>
          <t>Yes</t>
        </is>
      </c>
      <c r="K190" s="52" t="inlineStr"/>
    </row>
    <row r="191" ht="23.25" customHeight="1" s="42">
      <c r="A191" s="52" t="inlineStr">
        <is>
          <t>Walt Disney Co.</t>
        </is>
      </c>
      <c r="B191" s="52" t="inlineStr">
        <is>
          <t>p_merch_collection</t>
        </is>
      </c>
      <c r="C191" s="52" t="inlineStr">
        <is>
          <t>Disney Pride Collection merchandise line, ongoing annually</t>
        </is>
      </c>
      <c r="D191" s="51" t="inlineStr">
        <is>
          <t>Commercial</t>
        </is>
      </c>
      <c r="E191" s="51" t="inlineStr">
        <is>
          <t>Positive</t>
        </is>
      </c>
      <c r="F191" s="51" t="n">
        <v>6</v>
      </c>
      <c r="G191" s="51" t="n">
        <v>2025</v>
      </c>
      <c r="H191" s="52" t="inlineStr">
        <is>
          <t>https://web.archive.org/web/2025/https://www.shopdisney.com/franchises/disney-pride-collection/</t>
        </is>
      </c>
      <c r="I191" s="52" t="inlineStr">
        <is>
          <t>Archive</t>
        </is>
      </c>
      <c r="J191" s="51" t="inlineStr">
        <is>
          <t>Yes</t>
        </is>
      </c>
      <c r="K191" s="52" t="inlineStr"/>
    </row>
    <row r="192" ht="23.25" customHeight="1" s="42">
      <c r="A192" s="52" t="inlineStr">
        <is>
          <t>Walt Disney Co.</t>
        </is>
      </c>
      <c r="B192" s="52" t="inlineStr">
        <is>
          <t>p_community_events</t>
        </is>
      </c>
      <c r="C192" s="52" t="inlineStr">
        <is>
          <t>Disneyland After Dark: Pride Nite events</t>
        </is>
      </c>
      <c r="D192" s="51" t="inlineStr">
        <is>
          <t>Civic</t>
        </is>
      </c>
      <c r="E192" s="51" t="inlineStr">
        <is>
          <t>Positive</t>
        </is>
      </c>
      <c r="F192" s="51" t="n">
        <v>12</v>
      </c>
      <c r="G192" s="51" t="n">
        <v>2024</v>
      </c>
      <c r="H192" s="52" t="inlineStr">
        <is>
          <t>https://web.archive.org/web/2024/https://disneyland.disney.go.com/events-tours/disneyland/disneyland-after-dark/</t>
        </is>
      </c>
      <c r="I192" s="52" t="inlineStr">
        <is>
          <t>Archive</t>
        </is>
      </c>
      <c r="J192" s="51" t="inlineStr">
        <is>
          <t>No</t>
        </is>
      </c>
      <c r="K192" s="52" t="inlineStr"/>
    </row>
    <row r="193" ht="23.25" customHeight="1" s="42">
      <c r="A193" s="52" t="inlineStr">
        <is>
          <t>Walt Disney Co.</t>
        </is>
      </c>
      <c r="B193" s="52" t="inlineStr">
        <is>
          <t>p_erg_support</t>
        </is>
      </c>
      <c r="C193" s="52" t="inlineStr">
        <is>
          <t>Funded LGBTQ+ ERGs (rebranded 'belonging' groups in 2025)</t>
        </is>
      </c>
      <c r="D193" s="51" t="inlineStr">
        <is>
          <t>Civic</t>
        </is>
      </c>
      <c r="E193" s="51" t="inlineStr">
        <is>
          <t>Positive</t>
        </is>
      </c>
      <c r="F193" s="51" t="n">
        <v>15</v>
      </c>
      <c r="G193" s="51" t="n">
        <v>2025</v>
      </c>
      <c r="H193" s="52" t="inlineStr">
        <is>
          <t>https://www.axios.com/2025/02/11/disney-dei-changes-trump-era</t>
        </is>
      </c>
      <c r="I193" s="52" t="inlineStr">
        <is>
          <t>News</t>
        </is>
      </c>
      <c r="J193" s="51" t="inlineStr">
        <is>
          <t>Yes</t>
        </is>
      </c>
      <c r="K193" s="52" t="inlineStr"/>
    </row>
    <row r="194" ht="23.25" customHeight="1" s="42">
      <c r="A194" s="52" t="inlineStr">
        <is>
          <t>Walt Disney Co.</t>
        </is>
      </c>
      <c r="B194" s="52" t="inlineStr">
        <is>
          <t>p_benefits</t>
        </is>
      </c>
      <c r="C194" s="52" t="inlineStr">
        <is>
          <t>Comprehensive partner and gender-affirming benefits (CEI-verified)</t>
        </is>
      </c>
      <c r="D194" s="51" t="inlineStr">
        <is>
          <t>Structural</t>
        </is>
      </c>
      <c r="E194" s="51" t="inlineStr">
        <is>
          <t>Positive</t>
        </is>
      </c>
      <c r="F194" s="51" t="n">
        <v>22</v>
      </c>
      <c r="G194" s="51" t="n">
        <v>2024</v>
      </c>
      <c r="H194" s="52" t="inlineStr">
        <is>
          <t>https://reports.hrc.org/corporate-equality-index-2025</t>
        </is>
      </c>
      <c r="I194" s="52" t="inlineStr">
        <is>
          <t>HRC</t>
        </is>
      </c>
      <c r="J194" s="51" t="inlineStr">
        <is>
          <t>No</t>
        </is>
      </c>
      <c r="K194" s="52" t="inlineStr"/>
    </row>
    <row r="195" ht="23.25" customHeight="1" s="42">
      <c r="A195" s="52" t="inlineStr">
        <is>
          <t>Walt Disney Co.</t>
        </is>
      </c>
      <c r="B195" s="52" t="inlineStr">
        <is>
          <t>n_anti_lgbtq_donations</t>
        </is>
      </c>
      <c r="C195" s="52" t="inlineStr">
        <is>
          <t>Donations to Florida legislators sponsoring the 'Don't Say Gay' bill, revealed during Disney's initial silence in 2022</t>
        </is>
      </c>
      <c r="D195" s="51" t="inlineStr">
        <is>
          <t>—</t>
        </is>
      </c>
      <c r="E195" s="51" t="inlineStr">
        <is>
          <t>Negative</t>
        </is>
      </c>
      <c r="F195" s="51" t="n">
        <v>-30</v>
      </c>
      <c r="G195" s="51" t="n">
        <v>2022</v>
      </c>
      <c r="H195" s="52" t="inlineStr">
        <is>
          <t>https://en.wikipedia.org/wiki/Florida_Parental_Rights_in_Education_Act</t>
        </is>
      </c>
      <c r="I195" s="52" t="inlineStr">
        <is>
          <t>News</t>
        </is>
      </c>
      <c r="J195" s="51" t="inlineStr">
        <is>
          <t>No</t>
        </is>
      </c>
      <c r="K195" s="52" t="inlineStr">
        <is>
          <t>Company later opposed the bill under employee pressure; paused FL donations</t>
        </is>
      </c>
    </row>
    <row r="196" ht="23.25" customHeight="1" s="42">
      <c r="A196" s="52" t="inlineStr">
        <is>
          <t>Walt Disney Co.</t>
        </is>
      </c>
      <c r="B196" s="52" t="inlineStr">
        <is>
          <t>n_selective</t>
        </is>
      </c>
      <c r="C196" s="52" t="inlineStr">
        <is>
          <t>Pulled a transgender storyline from Pixar's 'Win or Lose' before release</t>
        </is>
      </c>
      <c r="D196" s="51" t="inlineStr">
        <is>
          <t>—</t>
        </is>
      </c>
      <c r="E196" s="51" t="inlineStr">
        <is>
          <t>Negative</t>
        </is>
      </c>
      <c r="F196" s="51" t="n">
        <v>-10</v>
      </c>
      <c r="G196" s="51" t="n">
        <v>2024</v>
      </c>
      <c r="H196" s="52" t="inlineStr">
        <is>
          <t>https://san.com/cc/disney-softens-content-warnings-amid-broader-dei-changes/</t>
        </is>
      </c>
      <c r="I196" s="52" t="inlineStr">
        <is>
          <t>News</t>
        </is>
      </c>
      <c r="J196" s="51" t="inlineStr">
        <is>
          <t>No</t>
        </is>
      </c>
      <c r="K196" s="52" t="inlineStr"/>
    </row>
    <row r="197" ht="23.25" customHeight="1" s="42">
      <c r="A197" s="52" t="inlineStr">
        <is>
          <t>Walt Disney Co.</t>
        </is>
      </c>
      <c r="B197" s="52" t="inlineStr">
        <is>
          <t>n_dei_removal</t>
        </is>
      </c>
      <c r="C197" s="52" t="inlineStr">
        <is>
          <t>Ended Reimagine Tomorrow, removed DEI from exec compensation, softened content advisories (Feb 2025)</t>
        </is>
      </c>
      <c r="D197" s="51" t="inlineStr">
        <is>
          <t>—</t>
        </is>
      </c>
      <c r="E197" s="51" t="inlineStr">
        <is>
          <t>Negative</t>
        </is>
      </c>
      <c r="F197" s="51" t="n">
        <v>-32</v>
      </c>
      <c r="G197" s="51" t="n">
        <v>2025</v>
      </c>
      <c r="H197" s="52" t="inlineStr">
        <is>
          <t>https://www.axios.com/2025/02/11/disney-dei-changes-trump-era</t>
        </is>
      </c>
      <c r="I197" s="52" t="inlineStr">
        <is>
          <t>News</t>
        </is>
      </c>
      <c r="J197" s="51" t="inlineStr">
        <is>
          <t>Yes</t>
        </is>
      </c>
      <c r="K197" s="52" t="inlineStr">
        <is>
          <t>Archived before-state: https://web.archive.org/web/2024/https://impact.disney.com/diversity-equity-inclusion/</t>
        </is>
      </c>
    </row>
    <row r="198" ht="23.25" customHeight="1" s="42">
      <c r="A198" s="52" t="inlineStr">
        <is>
          <t>Netflix</t>
        </is>
      </c>
      <c r="B198" s="52" t="inlineStr">
        <is>
          <t>p_generic_post</t>
        </is>
      </c>
      <c r="C198" s="52" t="inlineStr">
        <is>
          <t>Annual Pride Month posts and Pride content hubs</t>
        </is>
      </c>
      <c r="D198" s="51" t="inlineStr">
        <is>
          <t>Cosmetic</t>
        </is>
      </c>
      <c r="E198" s="51" t="inlineStr">
        <is>
          <t>Positive</t>
        </is>
      </c>
      <c r="F198" s="51" t="n">
        <v>2</v>
      </c>
      <c r="G198" s="51" t="n">
        <v>2025</v>
      </c>
      <c r="H198" s="52" t="inlineStr">
        <is>
          <t>https://web.archive.org/web/2025/https://about.netflix.com/en/inclusion</t>
        </is>
      </c>
      <c r="I198" s="52" t="inlineStr">
        <is>
          <t>Archive</t>
        </is>
      </c>
      <c r="J198" s="51" t="inlineStr">
        <is>
          <t>Yes</t>
        </is>
      </c>
      <c r="K198" s="52" t="inlineStr"/>
    </row>
    <row r="199" ht="23.25" customHeight="1" s="42">
      <c r="A199" s="52" t="inlineStr">
        <is>
          <t>Netflix</t>
        </is>
      </c>
      <c r="B199" s="52" t="inlineStr">
        <is>
          <t>p_collab</t>
        </is>
      </c>
      <c r="C199" s="52" t="inlineStr">
        <is>
          <t>Sustained investment in LGBTQ+ storytelling and queer creators (Heartstopper, Sex Education, etc.)</t>
        </is>
      </c>
      <c r="D199" s="51" t="inlineStr">
        <is>
          <t>Commercial</t>
        </is>
      </c>
      <c r="E199" s="51" t="inlineStr">
        <is>
          <t>Positive</t>
        </is>
      </c>
      <c r="F199" s="51" t="n">
        <v>8</v>
      </c>
      <c r="G199" s="51" t="n">
        <v>2025</v>
      </c>
      <c r="H199" s="52" t="inlineStr">
        <is>
          <t>https://web.archive.org/web/2025/https://about.netflix.com/en/inclusion</t>
        </is>
      </c>
      <c r="I199" s="52" t="inlineStr">
        <is>
          <t>Archive</t>
        </is>
      </c>
      <c r="J199" s="51" t="inlineStr">
        <is>
          <t>No</t>
        </is>
      </c>
      <c r="K199" s="52" t="inlineStr"/>
    </row>
    <row r="200" ht="23.25" customHeight="1" s="42">
      <c r="A200" s="52" t="inlineStr">
        <is>
          <t>Netflix</t>
        </is>
      </c>
      <c r="B200" s="52" t="inlineStr">
        <is>
          <t>p_benefits</t>
        </is>
      </c>
      <c r="C200" s="52" t="inlineStr">
        <is>
          <t>Inclusive partner and gender-affirming benefits (CEI-verified)</t>
        </is>
      </c>
      <c r="D200" s="51" t="inlineStr">
        <is>
          <t>Structural</t>
        </is>
      </c>
      <c r="E200" s="51" t="inlineStr">
        <is>
          <t>Positive</t>
        </is>
      </c>
      <c r="F200" s="51" t="n">
        <v>22</v>
      </c>
      <c r="G200" s="51" t="n">
        <v>2024</v>
      </c>
      <c r="H200" s="52" t="inlineStr">
        <is>
          <t>https://reports.hrc.org/corporate-equality-index-2025</t>
        </is>
      </c>
      <c r="I200" s="52" t="inlineStr">
        <is>
          <t>HRC</t>
        </is>
      </c>
      <c r="J200" s="51" t="inlineStr">
        <is>
          <t>No</t>
        </is>
      </c>
      <c r="K200" s="52" t="inlineStr"/>
    </row>
    <row r="201" ht="23.25" customHeight="1" s="42">
      <c r="A201" s="52" t="inlineStr">
        <is>
          <t>Netflix</t>
        </is>
      </c>
      <c r="B201" s="52" t="inlineStr">
        <is>
          <t>n_selective</t>
        </is>
      </c>
      <c r="C201" s="52" t="inlineStr">
        <is>
          <t>Defended anti-trans material in Chappelle's 'The Closer' against employee walkout; walkout organizer fired</t>
        </is>
      </c>
      <c r="D201" s="51" t="inlineStr">
        <is>
          <t>—</t>
        </is>
      </c>
      <c r="E201" s="51" t="inlineStr">
        <is>
          <t>Negative</t>
        </is>
      </c>
      <c r="F201" s="51" t="n">
        <v>-10</v>
      </c>
      <c r="G201" s="51" t="n">
        <v>2021</v>
      </c>
      <c r="H201" s="52" t="inlineStr">
        <is>
          <t>https://en.wikipedia.org/wiki/The_Closer_(2021_film)</t>
        </is>
      </c>
      <c r="I201" s="52" t="inlineStr">
        <is>
          <t>News</t>
        </is>
      </c>
      <c r="J201" s="51" t="inlineStr">
        <is>
          <t>No</t>
        </is>
      </c>
      <c r="K201" s="52" t="inlineStr"/>
    </row>
    <row r="202" ht="23.25" customHeight="1" s="42">
      <c r="A202" s="52" t="inlineStr">
        <is>
          <t>Warner Bros. Discovery</t>
        </is>
      </c>
      <c r="B202" s="52" t="inlineStr">
        <is>
          <t>p_generic_post</t>
        </is>
      </c>
      <c r="C202" s="52" t="inlineStr">
        <is>
          <t>Pride Month content collections and posts (Max)</t>
        </is>
      </c>
      <c r="D202" s="51" t="inlineStr">
        <is>
          <t>Cosmetic</t>
        </is>
      </c>
      <c r="E202" s="51" t="inlineStr">
        <is>
          <t>Positive</t>
        </is>
      </c>
      <c r="F202" s="51" t="n">
        <v>2</v>
      </c>
      <c r="G202" s="51" t="n">
        <v>2025</v>
      </c>
      <c r="H202" s="52" t="inlineStr">
        <is>
          <t>https://web.archive.org/web/2025/https://www.wbd.com/</t>
        </is>
      </c>
      <c r="I202" s="52" t="inlineStr">
        <is>
          <t>Archive</t>
        </is>
      </c>
      <c r="J202" s="51" t="inlineStr">
        <is>
          <t>Yes</t>
        </is>
      </c>
      <c r="K202" s="52" t="inlineStr"/>
    </row>
    <row r="203" ht="23.25" customHeight="1" s="42">
      <c r="A203" s="52" t="inlineStr">
        <is>
          <t>Warner Bros. Discovery</t>
        </is>
      </c>
      <c r="B203" s="52" t="inlineStr">
        <is>
          <t>p_collab</t>
        </is>
      </c>
      <c r="C203" s="52" t="inlineStr">
        <is>
          <t>Queer-led programming investment (HBO's 'We're Here' and related slate)</t>
        </is>
      </c>
      <c r="D203" s="51" t="inlineStr">
        <is>
          <t>Commercial</t>
        </is>
      </c>
      <c r="E203" s="51" t="inlineStr">
        <is>
          <t>Positive</t>
        </is>
      </c>
      <c r="F203" s="51" t="n">
        <v>8</v>
      </c>
      <c r="G203" s="51" t="n">
        <v>2024</v>
      </c>
      <c r="H203" s="52" t="inlineStr">
        <is>
          <t>https://web.archive.org/web/2024/https://www.hbo.com/were-here</t>
        </is>
      </c>
      <c r="I203" s="52" t="inlineStr">
        <is>
          <t>Archive</t>
        </is>
      </c>
      <c r="J203" s="51" t="inlineStr">
        <is>
          <t>No</t>
        </is>
      </c>
      <c r="K203" s="52" t="inlineStr"/>
    </row>
    <row r="204" ht="23.25" customHeight="1" s="42">
      <c r="A204" s="52" t="inlineStr">
        <is>
          <t>NBCUniversal</t>
        </is>
      </c>
      <c r="B204" s="52" t="inlineStr">
        <is>
          <t>p_generic_post</t>
        </is>
      </c>
      <c r="C204" s="52" t="inlineStr">
        <is>
          <t>Pride Month coverage and posts; NBC Out LGBTQ+ news vertical operating continuously</t>
        </is>
      </c>
      <c r="D204" s="51" t="inlineStr">
        <is>
          <t>Cosmetic</t>
        </is>
      </c>
      <c r="E204" s="51" t="inlineStr">
        <is>
          <t>Positive</t>
        </is>
      </c>
      <c r="F204" s="51" t="n">
        <v>2</v>
      </c>
      <c r="G204" s="51" t="n">
        <v>2025</v>
      </c>
      <c r="H204" s="52" t="inlineStr">
        <is>
          <t>https://www.nbcnews.com/nbc-out</t>
        </is>
      </c>
      <c r="I204" s="52" t="inlineStr">
        <is>
          <t>Company</t>
        </is>
      </c>
      <c r="J204" s="51" t="inlineStr">
        <is>
          <t>Yes</t>
        </is>
      </c>
      <c r="K204" s="52" t="inlineStr"/>
    </row>
    <row r="205" ht="23.25" customHeight="1" s="42">
      <c r="A205" s="52" t="inlineStr">
        <is>
          <t>NBCUniversal</t>
        </is>
      </c>
      <c r="B205" s="52" t="inlineStr">
        <is>
          <t>p_erg_support</t>
        </is>
      </c>
      <c r="C205" s="52" t="inlineStr">
        <is>
          <t>Funded OUT@NBCUniversal employee resource group</t>
        </is>
      </c>
      <c r="D205" s="51" t="inlineStr">
        <is>
          <t>Civic</t>
        </is>
      </c>
      <c r="E205" s="51" t="inlineStr">
        <is>
          <t>Positive</t>
        </is>
      </c>
      <c r="F205" s="51" t="n">
        <v>15</v>
      </c>
      <c r="G205" s="51" t="n">
        <v>2024</v>
      </c>
      <c r="H205" s="52" t="inlineStr">
        <is>
          <t>https://web.archive.org/web/2024/https://www.nbcuniversal.com/impact/diversity-equity-inclusion</t>
        </is>
      </c>
      <c r="I205" s="52" t="inlineStr">
        <is>
          <t>Archive</t>
        </is>
      </c>
      <c r="J205" s="51" t="inlineStr">
        <is>
          <t>No</t>
        </is>
      </c>
      <c r="K205" s="52" t="inlineStr"/>
    </row>
    <row r="206" ht="23.25" customHeight="1" s="42">
      <c r="A206" s="52" t="inlineStr">
        <is>
          <t>Paramount Global</t>
        </is>
      </c>
      <c r="B206" s="52" t="inlineStr">
        <is>
          <t>p_generic_post</t>
        </is>
      </c>
      <c r="C206" s="52" t="inlineStr">
        <is>
          <t>Pride Month posts and programming across brands</t>
        </is>
      </c>
      <c r="D206" s="51" t="inlineStr">
        <is>
          <t>Cosmetic</t>
        </is>
      </c>
      <c r="E206" s="51" t="inlineStr">
        <is>
          <t>Positive</t>
        </is>
      </c>
      <c r="F206" s="51" t="n">
        <v>2</v>
      </c>
      <c r="G206" s="51" t="n">
        <v>2024</v>
      </c>
      <c r="H206" s="52" t="inlineStr">
        <is>
          <t>https://web.archive.org/web/2024/https://www.paramount.com/company/inclusion</t>
        </is>
      </c>
      <c r="I206" s="52" t="inlineStr">
        <is>
          <t>Archive</t>
        </is>
      </c>
      <c r="J206" s="51" t="inlineStr">
        <is>
          <t>No</t>
        </is>
      </c>
      <c r="K206" s="52" t="inlineStr"/>
    </row>
    <row r="207" ht="23.25" customHeight="1" s="42">
      <c r="A207" s="52" t="inlineStr">
        <is>
          <t>Paramount Global</t>
        </is>
      </c>
      <c r="B207" s="52" t="inlineStr">
        <is>
          <t>p_collab</t>
        </is>
      </c>
      <c r="C207" s="52" t="inlineStr">
        <is>
          <t>LGBTQ+ programming legacy: Logo TV, MTV queer content and GLAAD-recognized series</t>
        </is>
      </c>
      <c r="D207" s="51" t="inlineStr">
        <is>
          <t>Commercial</t>
        </is>
      </c>
      <c r="E207" s="51" t="inlineStr">
        <is>
          <t>Positive</t>
        </is>
      </c>
      <c r="F207" s="51" t="n">
        <v>8</v>
      </c>
      <c r="G207" s="51" t="n">
        <v>2024</v>
      </c>
      <c r="H207" s="52" t="inlineStr">
        <is>
          <t>https://web.archive.org/web/2024/https://www.paramount.com/company/inclusion</t>
        </is>
      </c>
      <c r="I207" s="52" t="inlineStr">
        <is>
          <t>Archive</t>
        </is>
      </c>
      <c r="J207" s="51" t="inlineStr">
        <is>
          <t>No</t>
        </is>
      </c>
      <c r="K207" s="52" t="inlineStr"/>
    </row>
    <row r="208" ht="23.25" customHeight="1" s="42">
      <c r="A208" s="52" t="inlineStr">
        <is>
          <t>Paramount Global</t>
        </is>
      </c>
      <c r="B208" s="52" t="inlineStr">
        <is>
          <t>p_erg_support</t>
        </is>
      </c>
      <c r="C208" s="52" t="inlineStr">
        <is>
          <t>Funded LGBTQ+ employee resource groups</t>
        </is>
      </c>
      <c r="D208" s="51" t="inlineStr">
        <is>
          <t>Civic</t>
        </is>
      </c>
      <c r="E208" s="51" t="inlineStr">
        <is>
          <t>Positive</t>
        </is>
      </c>
      <c r="F208" s="51" t="n">
        <v>15</v>
      </c>
      <c r="G208" s="51" t="n">
        <v>2024</v>
      </c>
      <c r="H208" s="52" t="inlineStr">
        <is>
          <t>https://web.archive.org/web/2024/https://www.paramount.com/company/inclusion</t>
        </is>
      </c>
      <c r="I208" s="52" t="inlineStr">
        <is>
          <t>Archive</t>
        </is>
      </c>
      <c r="J208" s="51" t="inlineStr">
        <is>
          <t>No</t>
        </is>
      </c>
      <c r="K208" s="52" t="inlineStr"/>
    </row>
    <row r="209" ht="23.25" customHeight="1" s="42">
      <c r="A209" s="52" t="inlineStr">
        <is>
          <t>Paramount Global</t>
        </is>
      </c>
      <c r="B209" s="52" t="inlineStr">
        <is>
          <t>n_dei_removal</t>
        </is>
      </c>
      <c r="C209" s="52" t="inlineStr">
        <is>
          <t>Ended numerical DEI goals and applicant demographic collection citing Trump executive orders, amid FCC merger pressure</t>
        </is>
      </c>
      <c r="D209" s="51" t="inlineStr">
        <is>
          <t>—</t>
        </is>
      </c>
      <c r="E209" s="51" t="inlineStr">
        <is>
          <t>Negative</t>
        </is>
      </c>
      <c r="F209" s="51" t="n">
        <v>-32</v>
      </c>
      <c r="G209" s="51" t="n">
        <v>2025</v>
      </c>
      <c r="H209" s="52" t="inlineStr">
        <is>
          <t>https://www.lgbtqnation.com/2025/02/paramounts-gay-ceos-rollback-companys-dei-initiatives-to-appease-trump/</t>
        </is>
      </c>
      <c r="I209" s="52" t="inlineStr">
        <is>
          <t>News</t>
        </is>
      </c>
      <c r="J209" s="51" t="inlineStr">
        <is>
          <t>Yes</t>
        </is>
      </c>
      <c r="K209" s="52" t="inlineStr">
        <is>
          <t>FCC chair threatened to block deals over DEI: https://thedesk.net/2025/03/fcc-brendan-carr-skydance-paramount-dei-initiatives/</t>
        </is>
      </c>
    </row>
    <row r="210" ht="23.25" customHeight="1" s="42">
      <c r="A210" s="52" t="inlineStr">
        <is>
          <t>Spotify</t>
        </is>
      </c>
      <c r="B210" s="52" t="inlineStr">
        <is>
          <t>p_logo_rainbow</t>
        </is>
      </c>
      <c r="C210" s="52" t="inlineStr">
        <is>
          <t>Annual Pride hub branding and playlists</t>
        </is>
      </c>
      <c r="D210" s="51" t="inlineStr">
        <is>
          <t>Cosmetic</t>
        </is>
      </c>
      <c r="E210" s="51" t="inlineStr">
        <is>
          <t>Positive</t>
        </is>
      </c>
      <c r="F210" s="51" t="n">
        <v>3</v>
      </c>
      <c r="G210" s="51" t="n">
        <v>2025</v>
      </c>
      <c r="H210" s="52" t="inlineStr">
        <is>
          <t>https://web.archive.org/web/2025/https://open.spotify.com/genre/pride-page</t>
        </is>
      </c>
      <c r="I210" s="52" t="inlineStr">
        <is>
          <t>Archive</t>
        </is>
      </c>
      <c r="J210" s="51" t="inlineStr">
        <is>
          <t>Yes</t>
        </is>
      </c>
      <c r="K210" s="52" t="inlineStr"/>
    </row>
    <row r="211" ht="23.25" customHeight="1" s="42">
      <c r="A211" s="52" t="inlineStr">
        <is>
          <t>Spotify</t>
        </is>
      </c>
      <c r="B211" s="52" t="inlineStr">
        <is>
          <t>p_collab</t>
        </is>
      </c>
      <c r="C211" s="52" t="inlineStr">
        <is>
          <t>Queer-artist editorial campaigns (GLOW spotlight program for LGBTQIA+ artists)</t>
        </is>
      </c>
      <c r="D211" s="51" t="inlineStr">
        <is>
          <t>Commercial</t>
        </is>
      </c>
      <c r="E211" s="51" t="inlineStr">
        <is>
          <t>Positive</t>
        </is>
      </c>
      <c r="F211" s="51" t="n">
        <v>8</v>
      </c>
      <c r="G211" s="51" t="n">
        <v>2024</v>
      </c>
      <c r="H211" s="52" t="inlineStr">
        <is>
          <t>https://newsroom.spotify.com/2023-02-01/spotify-celebrates-lgbtqia-artists-with-new-music-program-glow/</t>
        </is>
      </c>
      <c r="I211" s="52" t="inlineStr">
        <is>
          <t>Company</t>
        </is>
      </c>
      <c r="J211" s="51" t="inlineStr">
        <is>
          <t>No</t>
        </is>
      </c>
      <c r="K211" s="52" t="inlineStr"/>
    </row>
    <row r="212" ht="23.25" customHeight="1" s="42">
      <c r="A212" s="52" t="inlineStr">
        <is>
          <t>Spotify</t>
        </is>
      </c>
      <c r="B212" s="52" t="inlineStr">
        <is>
          <t>n_greenwashing</t>
        </is>
      </c>
      <c r="C212" s="52" t="inlineStr">
        <is>
          <t>Pride-month branding paired with bankrolling content repeatedly flagged by GLAAD for anti-trans rhetoric (Rogan exclusive)</t>
        </is>
      </c>
      <c r="D212" s="51" t="inlineStr">
        <is>
          <t>—</t>
        </is>
      </c>
      <c r="E212" s="51" t="inlineStr">
        <is>
          <t>Negative</t>
        </is>
      </c>
      <c r="F212" s="51" t="n">
        <v>-8</v>
      </c>
      <c r="G212" s="51" t="n">
        <v>2024</v>
      </c>
      <c r="H212" s="52" t="inlineStr">
        <is>
          <t>https://glaad.org/smsi/2024/</t>
        </is>
      </c>
      <c r="I212" s="52" t="inlineStr">
        <is>
          <t>GLAAD</t>
        </is>
      </c>
      <c r="J212" s="51" t="inlineStr">
        <is>
          <t>No</t>
        </is>
      </c>
      <c r="K212" s="52" t="inlineStr"/>
    </row>
    <row r="213" ht="23.25" customHeight="1" s="42">
      <c r="A213" s="52" t="inlineStr">
        <is>
          <t>Live Nation</t>
        </is>
      </c>
      <c r="B213" s="52" t="inlineStr">
        <is>
          <t>p_generic_post</t>
        </is>
      </c>
      <c r="C213" s="52" t="inlineStr">
        <is>
          <t>Pride Month posts and event promotion</t>
        </is>
      </c>
      <c r="D213" s="51" t="inlineStr">
        <is>
          <t>Cosmetic</t>
        </is>
      </c>
      <c r="E213" s="51" t="inlineStr">
        <is>
          <t>Positive</t>
        </is>
      </c>
      <c r="F213" s="51" t="n">
        <v>2</v>
      </c>
      <c r="G213" s="51" t="n">
        <v>2025</v>
      </c>
      <c r="H213" s="52" t="inlineStr">
        <is>
          <t>https://web.archive.org/web/2025/https://www.livenationentertainment.com/</t>
        </is>
      </c>
      <c r="I213" s="52" t="inlineStr">
        <is>
          <t>Archive</t>
        </is>
      </c>
      <c r="J213" s="51" t="inlineStr">
        <is>
          <t>Yes</t>
        </is>
      </c>
      <c r="K213" s="52" t="inlineStr"/>
    </row>
    <row r="214" ht="23.25" customHeight="1" s="42">
      <c r="A214" s="52" t="inlineStr">
        <is>
          <t>Live Nation</t>
        </is>
      </c>
      <c r="B214" s="52" t="inlineStr">
        <is>
          <t>p_parade_sponsor</t>
        </is>
      </c>
      <c r="C214" s="52" t="inlineStr">
        <is>
          <t>Sponsorship/production of Pride-season concerts and festival events</t>
        </is>
      </c>
      <c r="D214" s="51" t="inlineStr">
        <is>
          <t>Civic</t>
        </is>
      </c>
      <c r="E214" s="51" t="inlineStr">
        <is>
          <t>Positive</t>
        </is>
      </c>
      <c r="F214" s="51" t="n">
        <v>12</v>
      </c>
      <c r="G214" s="51" t="n">
        <v>2024</v>
      </c>
      <c r="H214" s="52" t="inlineStr">
        <is>
          <t>https://web.archive.org/web/2024/https://www.livenationentertainment.com/diversity-equity-inclusion/</t>
        </is>
      </c>
      <c r="I214" s="52" t="inlineStr">
        <is>
          <t>Archive</t>
        </is>
      </c>
      <c r="J214" s="51" t="inlineStr">
        <is>
          <t>No</t>
        </is>
      </c>
      <c r="K214" s="52" t="inlineStr"/>
    </row>
    <row r="215" ht="23.25" customHeight="1" s="42">
      <c r="A215" s="52" t="inlineStr">
        <is>
          <t>General Motors</t>
        </is>
      </c>
      <c r="B215" s="52" t="inlineStr">
        <is>
          <t>p_generic_post</t>
        </is>
      </c>
      <c r="C215" s="52" t="inlineStr">
        <is>
          <t>Pride Month posts and engagement</t>
        </is>
      </c>
      <c r="D215" s="51" t="inlineStr">
        <is>
          <t>Cosmetic</t>
        </is>
      </c>
      <c r="E215" s="51" t="inlineStr">
        <is>
          <t>Positive</t>
        </is>
      </c>
      <c r="F215" s="51" t="n">
        <v>2</v>
      </c>
      <c r="G215" s="51" t="n">
        <v>2024</v>
      </c>
      <c r="H215" s="52" t="inlineStr">
        <is>
          <t>https://web.archive.org/web/2024/https://www.gm.com/company/culture</t>
        </is>
      </c>
      <c r="I215" s="52" t="inlineStr">
        <is>
          <t>Archive</t>
        </is>
      </c>
      <c r="J215" s="51" t="inlineStr">
        <is>
          <t>No</t>
        </is>
      </c>
      <c r="K215" s="52" t="inlineStr"/>
    </row>
    <row r="216" ht="23.25" customHeight="1" s="42">
      <c r="A216" s="52" t="inlineStr">
        <is>
          <t>General Motors</t>
        </is>
      </c>
      <c r="B216" s="52" t="inlineStr">
        <is>
          <t>p_erg_support</t>
        </is>
      </c>
      <c r="C216" s="52" t="inlineStr">
        <is>
          <t>Funded GM PLUS LGBTQ+ employee resource group</t>
        </is>
      </c>
      <c r="D216" s="51" t="inlineStr">
        <is>
          <t>Civic</t>
        </is>
      </c>
      <c r="E216" s="51" t="inlineStr">
        <is>
          <t>Positive</t>
        </is>
      </c>
      <c r="F216" s="51" t="n">
        <v>15</v>
      </c>
      <c r="G216" s="51" t="n">
        <v>2024</v>
      </c>
      <c r="H216" s="52" t="inlineStr">
        <is>
          <t>https://web.archive.org/web/2024/https://www.gm.com/company/culture</t>
        </is>
      </c>
      <c r="I216" s="52" t="inlineStr">
        <is>
          <t>Archive</t>
        </is>
      </c>
      <c r="J216" s="51" t="inlineStr">
        <is>
          <t>No</t>
        </is>
      </c>
      <c r="K216" s="52" t="inlineStr"/>
    </row>
    <row r="217" ht="23.25" customHeight="1" s="42">
      <c r="A217" s="52" t="inlineStr">
        <is>
          <t>General Motors</t>
        </is>
      </c>
      <c r="B217" s="52" t="inlineStr">
        <is>
          <t>n_dei_removal</t>
        </is>
      </c>
      <c r="C217" s="52" t="inlineStr">
        <is>
          <t>Dropped DEI references from annual filing in early-2025 retreat wave</t>
        </is>
      </c>
      <c r="D217" s="51" t="inlineStr">
        <is>
          <t>—</t>
        </is>
      </c>
      <c r="E217" s="51" t="inlineStr">
        <is>
          <t>Negative</t>
        </is>
      </c>
      <c r="F217" s="51" t="n">
        <v>-32</v>
      </c>
      <c r="G217" s="51" t="n">
        <v>2025</v>
      </c>
      <c r="H217" s="52" t="inlineStr">
        <is>
          <t>https://www.techtarget.com/whatis/feature/What-companies-are-rolling-back-DEI-policies</t>
        </is>
      </c>
      <c r="I217" s="52" t="inlineStr">
        <is>
          <t>News</t>
        </is>
      </c>
      <c r="J217" s="51" t="inlineStr">
        <is>
          <t>Yes</t>
        </is>
      </c>
      <c r="K217" s="52" t="inlineStr"/>
    </row>
    <row r="218" ht="23.25" customHeight="1" s="42">
      <c r="A218" s="52" t="inlineStr">
        <is>
          <t>Ford</t>
        </is>
      </c>
      <c r="B218" s="52" t="inlineStr">
        <is>
          <t>p_logo_rainbow</t>
        </is>
      </c>
      <c r="C218" s="52" t="inlineStr">
        <is>
          <t>Pride branding history ('Very Gay Raptor' campaign, Pride visuals)</t>
        </is>
      </c>
      <c r="D218" s="51" t="inlineStr">
        <is>
          <t>Cosmetic</t>
        </is>
      </c>
      <c r="E218" s="51" t="inlineStr">
        <is>
          <t>Positive</t>
        </is>
      </c>
      <c r="F218" s="51" t="n">
        <v>3</v>
      </c>
      <c r="G218" s="51" t="n">
        <v>2023</v>
      </c>
      <c r="H218" s="52" t="inlineStr">
        <is>
          <t>https://web.archive.org/web/2023/https://www.ford.com/</t>
        </is>
      </c>
      <c r="I218" s="52" t="inlineStr">
        <is>
          <t>Archive</t>
        </is>
      </c>
      <c r="J218" s="51" t="inlineStr">
        <is>
          <t>No</t>
        </is>
      </c>
      <c r="K218" s="52" t="inlineStr"/>
    </row>
    <row r="219" ht="23.25" customHeight="1" s="42">
      <c r="A219" s="52" t="inlineStr">
        <is>
          <t>Ford</t>
        </is>
      </c>
      <c r="B219" s="52" t="inlineStr">
        <is>
          <t>p_generic_post</t>
        </is>
      </c>
      <c r="C219" s="52" t="inlineStr">
        <is>
          <t>Annual Pride posts (through 2024)</t>
        </is>
      </c>
      <c r="D219" s="51" t="inlineStr">
        <is>
          <t>Cosmetic</t>
        </is>
      </c>
      <c r="E219" s="51" t="inlineStr">
        <is>
          <t>Positive</t>
        </is>
      </c>
      <c r="F219" s="51" t="n">
        <v>2</v>
      </c>
      <c r="G219" s="51" t="n">
        <v>2024</v>
      </c>
      <c r="H219" s="52" t="inlineStr">
        <is>
          <t>https://web.archive.org/web/2024/https://corporate.ford.com/social-impact/diversity-equity-inclusion.html</t>
        </is>
      </c>
      <c r="I219" s="52" t="inlineStr">
        <is>
          <t>Archive</t>
        </is>
      </c>
      <c r="J219" s="51" t="inlineStr">
        <is>
          <t>No</t>
        </is>
      </c>
      <c r="K219" s="52" t="inlineStr"/>
    </row>
    <row r="220" ht="23.25" customHeight="1" s="42">
      <c r="A220" s="52" t="inlineStr">
        <is>
          <t>Ford</t>
        </is>
      </c>
      <c r="B220" s="52" t="inlineStr">
        <is>
          <t>p_parade_sponsor</t>
        </is>
      </c>
      <c r="C220" s="52" t="inlineStr">
        <is>
          <t>Motor City Pride sponsorship history</t>
        </is>
      </c>
      <c r="D220" s="51" t="inlineStr">
        <is>
          <t>Civic</t>
        </is>
      </c>
      <c r="E220" s="51" t="inlineStr">
        <is>
          <t>Positive</t>
        </is>
      </c>
      <c r="F220" s="51" t="n">
        <v>12</v>
      </c>
      <c r="G220" s="51" t="n">
        <v>2023</v>
      </c>
      <c r="H220" s="52" t="inlineStr">
        <is>
          <t>https://web.archive.org/web/2023/https://corporate.ford.com/social-impact/diversity-equity-inclusion.html</t>
        </is>
      </c>
      <c r="I220" s="52" t="inlineStr">
        <is>
          <t>Archive</t>
        </is>
      </c>
      <c r="J220" s="51" t="inlineStr">
        <is>
          <t>No</t>
        </is>
      </c>
      <c r="K220" s="52" t="inlineStr"/>
    </row>
    <row r="221" ht="23.25" customHeight="1" s="42">
      <c r="A221" s="52" t="inlineStr">
        <is>
          <t>Ford</t>
        </is>
      </c>
      <c r="B221" s="52" t="inlineStr">
        <is>
          <t>p_erg_support</t>
        </is>
      </c>
      <c r="C221" s="52" t="inlineStr">
        <is>
          <t>Funded Ford GLOBE LGBTQ+ ERG (continues)</t>
        </is>
      </c>
      <c r="D221" s="51" t="inlineStr">
        <is>
          <t>Civic</t>
        </is>
      </c>
      <c r="E221" s="51" t="inlineStr">
        <is>
          <t>Positive</t>
        </is>
      </c>
      <c r="F221" s="51" t="n">
        <v>15</v>
      </c>
      <c r="G221" s="51" t="n">
        <v>2024</v>
      </c>
      <c r="H221" s="52" t="inlineStr">
        <is>
          <t>https://web.archive.org/web/2024/https://corporate.ford.com/social-impact/diversity-equity-inclusion.html</t>
        </is>
      </c>
      <c r="I221" s="52" t="inlineStr">
        <is>
          <t>Archive</t>
        </is>
      </c>
      <c r="J221" s="51" t="inlineStr">
        <is>
          <t>No</t>
        </is>
      </c>
      <c r="K221" s="52" t="inlineStr"/>
    </row>
    <row r="222" ht="23.25" customHeight="1" s="42">
      <c r="A222" s="52" t="inlineStr">
        <is>
          <t>Ford</t>
        </is>
      </c>
      <c r="B222" s="52" t="inlineStr">
        <is>
          <t>n_dei_removal</t>
        </is>
      </c>
      <c r="C222" s="52" t="inlineStr">
        <is>
          <t>Quit HRC CEI after 20+ years and ended external culture-survey participation (CEO memo, Aug 2024)</t>
        </is>
      </c>
      <c r="D222" s="51" t="inlineStr">
        <is>
          <t>—</t>
        </is>
      </c>
      <c r="E222" s="51" t="inlineStr">
        <is>
          <t>Negative</t>
        </is>
      </c>
      <c r="F222" s="51" t="n">
        <v>-32</v>
      </c>
      <c r="G222" s="51" t="n">
        <v>2024</v>
      </c>
      <c r="H222" s="52" t="inlineStr">
        <is>
          <t>https://www.hrc.org/press-releases/hrc-foundation-announces-record-participation-in-upcoming-2025-corporate-equality-index-docks-scores-of-seven-companies-in-current-ranking-following-their-pullback-from-workplace-inclusion</t>
        </is>
      </c>
      <c r="I222" s="52" t="inlineStr">
        <is>
          <t>HRC</t>
        </is>
      </c>
      <c r="J222" s="51" t="inlineStr">
        <is>
          <t>No</t>
        </is>
      </c>
      <c r="K222" s="52" t="inlineStr">
        <is>
          <t>One of 7 companies HRC docked -25</t>
        </is>
      </c>
    </row>
    <row r="223" ht="23.25" customHeight="1" s="42">
      <c r="A223" s="52" t="inlineStr">
        <is>
          <t>Ford</t>
        </is>
      </c>
      <c r="B223" s="52" t="inlineStr">
        <is>
          <t>n_pride_retreat</t>
        </is>
      </c>
      <c r="C223" s="52" t="inlineStr">
        <is>
          <t>Publicly retreated from stated inclusion commitments under activist pressure (HRC-documented pullback)</t>
        </is>
      </c>
      <c r="D223" s="51" t="inlineStr">
        <is>
          <t>—</t>
        </is>
      </c>
      <c r="E223" s="51" t="inlineStr">
        <is>
          <t>Negative</t>
        </is>
      </c>
      <c r="F223" s="51" t="n">
        <v>-22</v>
      </c>
      <c r="G223" s="51" t="n">
        <v>2024</v>
      </c>
      <c r="H223" s="52" t="inlineStr">
        <is>
          <t>https://www.hrc.org/press-releases/hrc-foundation-announces-record-participation-in-upcoming-2025-corporate-equality-index-docks-scores-of-seven-companies-in-current-ranking-following-their-pullback-from-workplace-inclusion</t>
        </is>
      </c>
      <c r="I223" s="52" t="inlineStr">
        <is>
          <t>HRC</t>
        </is>
      </c>
      <c r="J223" s="51" t="inlineStr">
        <is>
          <t>No</t>
        </is>
      </c>
      <c r="K223" s="52" t="inlineStr"/>
    </row>
    <row r="224" ht="23.25" customHeight="1" s="42">
      <c r="A224" s="52" t="inlineStr">
        <is>
          <t>Tesla</t>
        </is>
      </c>
      <c r="B224" s="52" t="inlineStr">
        <is>
          <t>n_dei_removal</t>
        </is>
      </c>
      <c r="C224" s="52" t="inlineStr">
        <is>
          <t>Scrubbed DEI from 10-K — the first major filer to do so; only ever published one diversity report (2020)</t>
        </is>
      </c>
      <c r="D224" s="51" t="inlineStr">
        <is>
          <t>—</t>
        </is>
      </c>
      <c r="E224" s="51" t="inlineStr">
        <is>
          <t>Negative</t>
        </is>
      </c>
      <c r="F224" s="51" t="n">
        <v>-32</v>
      </c>
      <c r="G224" s="51" t="n">
        <v>2024</v>
      </c>
      <c r="H224" s="52" t="inlineStr">
        <is>
          <t>https://www.cnn.com/2024/02/01/business/tesla-dei-elon-musk/index.html</t>
        </is>
      </c>
      <c r="I224" s="52" t="inlineStr">
        <is>
          <t>News</t>
        </is>
      </c>
      <c r="J224" s="51" t="inlineStr">
        <is>
          <t>No</t>
        </is>
      </c>
      <c r="K224" s="52" t="inlineStr"/>
    </row>
    <row r="225" ht="23.25" customHeight="1" s="42">
      <c r="A225" s="52" t="inlineStr">
        <is>
          <t>Toyota USA</t>
        </is>
      </c>
      <c r="B225" s="52" t="inlineStr">
        <is>
          <t>p_logo_rainbow</t>
        </is>
      </c>
      <c r="C225" s="52" t="inlineStr">
        <is>
          <t>Pride branding (through 2024)</t>
        </is>
      </c>
      <c r="D225" s="51" t="inlineStr">
        <is>
          <t>Cosmetic</t>
        </is>
      </c>
      <c r="E225" s="51" t="inlineStr">
        <is>
          <t>Positive</t>
        </is>
      </c>
      <c r="F225" s="51" t="n">
        <v>3</v>
      </c>
      <c r="G225" s="51" t="n">
        <v>2024</v>
      </c>
      <c r="H225" s="52" t="inlineStr">
        <is>
          <t>https://web.archive.org/web/2024/https://www.toyota.com/usa/diversity/</t>
        </is>
      </c>
      <c r="I225" s="52" t="inlineStr">
        <is>
          <t>Archive</t>
        </is>
      </c>
      <c r="J225" s="51" t="inlineStr">
        <is>
          <t>No</t>
        </is>
      </c>
      <c r="K225" s="52" t="inlineStr"/>
    </row>
    <row r="226" ht="23.25" customHeight="1" s="42">
      <c r="A226" s="52" t="inlineStr">
        <is>
          <t>Toyota USA</t>
        </is>
      </c>
      <c r="B226" s="52" t="inlineStr">
        <is>
          <t>p_generic_post</t>
        </is>
      </c>
      <c r="C226" s="52" t="inlineStr">
        <is>
          <t>Annual Pride posts (through 2024)</t>
        </is>
      </c>
      <c r="D226" s="51" t="inlineStr">
        <is>
          <t>Cosmetic</t>
        </is>
      </c>
      <c r="E226" s="51" t="inlineStr">
        <is>
          <t>Positive</t>
        </is>
      </c>
      <c r="F226" s="51" t="n">
        <v>2</v>
      </c>
      <c r="G226" s="51" t="n">
        <v>2024</v>
      </c>
      <c r="H226" s="52" t="inlineStr">
        <is>
          <t>https://web.archive.org/web/2024/https://www.toyota.com/usa/diversity/</t>
        </is>
      </c>
      <c r="I226" s="52" t="inlineStr">
        <is>
          <t>Archive</t>
        </is>
      </c>
      <c r="J226" s="51" t="inlineStr">
        <is>
          <t>No</t>
        </is>
      </c>
      <c r="K226" s="52" t="inlineStr"/>
    </row>
    <row r="227" ht="23.25" customHeight="1" s="42">
      <c r="A227" s="52" t="inlineStr">
        <is>
          <t>Toyota USA</t>
        </is>
      </c>
      <c r="B227" s="52" t="inlineStr">
        <is>
          <t>p_parade_sponsor</t>
        </is>
      </c>
      <c r="C227" s="52" t="inlineStr">
        <is>
          <t>Pride event sponsorships in multiple US markets (ended Oct 2024)</t>
        </is>
      </c>
      <c r="D227" s="51" t="inlineStr">
        <is>
          <t>Civic</t>
        </is>
      </c>
      <c r="E227" s="51" t="inlineStr">
        <is>
          <t>Positive</t>
        </is>
      </c>
      <c r="F227" s="51" t="n">
        <v>12</v>
      </c>
      <c r="G227" s="51" t="n">
        <v>2024</v>
      </c>
      <c r="H227" s="52" t="inlineStr">
        <is>
          <t>https://www.techtarget.com/whatis/feature/What-companies-are-rolling-back-DEI-policies</t>
        </is>
      </c>
      <c r="I227" s="52" t="inlineStr">
        <is>
          <t>News</t>
        </is>
      </c>
      <c r="J227" s="51" t="inlineStr">
        <is>
          <t>No</t>
        </is>
      </c>
      <c r="K227" s="52" t="inlineStr"/>
    </row>
    <row r="228" ht="23.25" customHeight="1" s="42">
      <c r="A228" s="52" t="inlineStr">
        <is>
          <t>Toyota USA</t>
        </is>
      </c>
      <c r="B228" s="52" t="inlineStr">
        <is>
          <t>p_erg_support</t>
        </is>
      </c>
      <c r="C228" s="52" t="inlineStr">
        <is>
          <t>Funded LGBTQ+ ERG (refocused to 'professional development' in 2024 rollback)</t>
        </is>
      </c>
      <c r="D228" s="51" t="inlineStr">
        <is>
          <t>Civic</t>
        </is>
      </c>
      <c r="E228" s="51" t="inlineStr">
        <is>
          <t>Positive</t>
        </is>
      </c>
      <c r="F228" s="51" t="n">
        <v>15</v>
      </c>
      <c r="G228" s="51" t="n">
        <v>2024</v>
      </c>
      <c r="H228" s="52" t="inlineStr">
        <is>
          <t>https://web.archive.org/web/2024/https://www.toyota.com/usa/diversity/</t>
        </is>
      </c>
      <c r="I228" s="52" t="inlineStr">
        <is>
          <t>Archive</t>
        </is>
      </c>
      <c r="J228" s="51" t="inlineStr">
        <is>
          <t>No</t>
        </is>
      </c>
      <c r="K228" s="52" t="inlineStr"/>
    </row>
    <row r="229" ht="23.25" customHeight="1" s="42">
      <c r="A229" s="52" t="inlineStr">
        <is>
          <t>Toyota USA</t>
        </is>
      </c>
      <c r="B229" s="52" t="inlineStr">
        <is>
          <t>n_dei_removal</t>
        </is>
      </c>
      <c r="C229" s="52" t="inlineStr">
        <is>
          <t>Quit HRC CEI; narrowed DEI programs and ERG scope (Oct 2024 memo)</t>
        </is>
      </c>
      <c r="D229" s="51" t="inlineStr">
        <is>
          <t>—</t>
        </is>
      </c>
      <c r="E229" s="51" t="inlineStr">
        <is>
          <t>Negative</t>
        </is>
      </c>
      <c r="F229" s="51" t="n">
        <v>-32</v>
      </c>
      <c r="G229" s="51" t="n">
        <v>2024</v>
      </c>
      <c r="H229" s="52" t="inlineStr">
        <is>
          <t>https://www.techtarget.com/whatis/feature/What-companies-are-rolling-back-DEI-policies</t>
        </is>
      </c>
      <c r="I229" s="52" t="inlineStr">
        <is>
          <t>News</t>
        </is>
      </c>
      <c r="J229" s="51" t="inlineStr">
        <is>
          <t>No</t>
        </is>
      </c>
      <c r="K229" s="52" t="inlineStr">
        <is>
          <t>Robby Starbuck campaign; archived before-state: https://web.archive.org/web/2024/https://www.toyota.com/usa/diversity/</t>
        </is>
      </c>
    </row>
    <row r="230" ht="23.25" customHeight="1" s="42">
      <c r="A230" s="52" t="inlineStr">
        <is>
          <t>Toyota USA</t>
        </is>
      </c>
      <c r="B230" s="52" t="inlineStr">
        <is>
          <t>n_pride_retreat</t>
        </is>
      </c>
      <c r="C230" s="52" t="inlineStr">
        <is>
          <t>Ended sponsorship of LGBTQ+ community events including Pride</t>
        </is>
      </c>
      <c r="D230" s="51" t="inlineStr">
        <is>
          <t>—</t>
        </is>
      </c>
      <c r="E230" s="51" t="inlineStr">
        <is>
          <t>Negative</t>
        </is>
      </c>
      <c r="F230" s="51" t="n">
        <v>-22</v>
      </c>
      <c r="G230" s="51" t="n">
        <v>2024</v>
      </c>
      <c r="H230" s="52" t="inlineStr">
        <is>
          <t>https://www.techtarget.com/whatis/feature/What-companies-are-rolling-back-DEI-policies</t>
        </is>
      </c>
      <c r="I230" s="52" t="inlineStr">
        <is>
          <t>News</t>
        </is>
      </c>
      <c r="J230" s="51" t="inlineStr">
        <is>
          <t>No</t>
        </is>
      </c>
      <c r="K230" s="52" t="inlineStr"/>
    </row>
    <row r="231" ht="23.25" customHeight="1" s="42">
      <c r="A231" s="52" t="inlineStr">
        <is>
          <t>Honda USA</t>
        </is>
      </c>
      <c r="B231" s="52" t="inlineStr">
        <is>
          <t>p_generic_post</t>
        </is>
      </c>
      <c r="C231" s="52" t="inlineStr">
        <is>
          <t>Pride Month posts and engagement</t>
        </is>
      </c>
      <c r="D231" s="51" t="inlineStr">
        <is>
          <t>Cosmetic</t>
        </is>
      </c>
      <c r="E231" s="51" t="inlineStr">
        <is>
          <t>Positive</t>
        </is>
      </c>
      <c r="F231" s="51" t="n">
        <v>2</v>
      </c>
      <c r="G231" s="51" t="n">
        <v>2024</v>
      </c>
      <c r="H231" s="52" t="inlineStr">
        <is>
          <t>https://web.archive.org/web/2024/https://www.honda.com/diversity</t>
        </is>
      </c>
      <c r="I231" s="52" t="inlineStr">
        <is>
          <t>Archive</t>
        </is>
      </c>
      <c r="J231" s="51" t="inlineStr">
        <is>
          <t>No</t>
        </is>
      </c>
      <c r="K231" s="52" t="inlineStr"/>
    </row>
    <row r="232" ht="23.25" customHeight="1" s="42">
      <c r="A232" s="52" t="inlineStr">
        <is>
          <t>Honda USA</t>
        </is>
      </c>
      <c r="B232" s="52" t="inlineStr">
        <is>
          <t>p_erg_support</t>
        </is>
      </c>
      <c r="C232" s="52" t="inlineStr">
        <is>
          <t>Funded LGBTQ+ employee resource group</t>
        </is>
      </c>
      <c r="D232" s="51" t="inlineStr">
        <is>
          <t>Civic</t>
        </is>
      </c>
      <c r="E232" s="51" t="inlineStr">
        <is>
          <t>Positive</t>
        </is>
      </c>
      <c r="F232" s="51" t="n">
        <v>15</v>
      </c>
      <c r="G232" s="51" t="n">
        <v>2024</v>
      </c>
      <c r="H232" s="52" t="inlineStr">
        <is>
          <t>https://web.archive.org/web/2024/https://www.honda.com/diversity</t>
        </is>
      </c>
      <c r="I232" s="52" t="inlineStr">
        <is>
          <t>Archive</t>
        </is>
      </c>
      <c r="J232" s="51" t="inlineStr">
        <is>
          <t>No</t>
        </is>
      </c>
      <c r="K232" s="52" t="inlineStr"/>
    </row>
    <row r="233" ht="23.25" customHeight="1" s="42">
      <c r="A233" s="52" t="inlineStr">
        <is>
          <t>Stellantis</t>
        </is>
      </c>
      <c r="B233" s="52" t="inlineStr">
        <is>
          <t>p_generic_post</t>
        </is>
      </c>
      <c r="C233" s="52" t="inlineStr">
        <is>
          <t>Occasional brand Pride posts (Jeep et al.)</t>
        </is>
      </c>
      <c r="D233" s="51" t="inlineStr">
        <is>
          <t>Cosmetic</t>
        </is>
      </c>
      <c r="E233" s="51" t="inlineStr">
        <is>
          <t>Positive</t>
        </is>
      </c>
      <c r="F233" s="51" t="n">
        <v>2</v>
      </c>
      <c r="G233" s="51" t="n">
        <v>2024</v>
      </c>
      <c r="H233" s="52" t="inlineStr">
        <is>
          <t>https://web.archive.org/web/2024/https://www.stellantis.com/en/company/diversity-and-inclusion</t>
        </is>
      </c>
      <c r="I233" s="52" t="inlineStr">
        <is>
          <t>Archive</t>
        </is>
      </c>
      <c r="J233" s="51" t="inlineStr">
        <is>
          <t>No</t>
        </is>
      </c>
      <c r="K233" s="52" t="inlineStr"/>
    </row>
    <row r="234" ht="23.25" customHeight="1" s="42">
      <c r="A234" s="52" t="inlineStr">
        <is>
          <t>CVS Health</t>
        </is>
      </c>
      <c r="B234" s="52" t="inlineStr">
        <is>
          <t>p_generic_post</t>
        </is>
      </c>
      <c r="C234" s="52" t="inlineStr">
        <is>
          <t>Annual Pride Month posts and engagement</t>
        </is>
      </c>
      <c r="D234" s="51" t="inlineStr">
        <is>
          <t>Cosmetic</t>
        </is>
      </c>
      <c r="E234" s="51" t="inlineStr">
        <is>
          <t>Positive</t>
        </is>
      </c>
      <c r="F234" s="51" t="n">
        <v>2</v>
      </c>
      <c r="G234" s="51" t="n">
        <v>2024</v>
      </c>
      <c r="H234" s="52" t="inlineStr">
        <is>
          <t>https://web.archive.org/web/2024/https://www.cvshealth.com/about/diversity.html</t>
        </is>
      </c>
      <c r="I234" s="52" t="inlineStr">
        <is>
          <t>Archive</t>
        </is>
      </c>
      <c r="J234" s="51" t="inlineStr">
        <is>
          <t>No</t>
        </is>
      </c>
      <c r="K234" s="52" t="inlineStr"/>
    </row>
    <row r="235" ht="23.25" customHeight="1" s="42">
      <c r="A235" s="52" t="inlineStr">
        <is>
          <t>CVS Health</t>
        </is>
      </c>
      <c r="B235" s="52" t="inlineStr">
        <is>
          <t>p_benefits</t>
        </is>
      </c>
      <c r="C235" s="52" t="inlineStr">
        <is>
          <t>Inclusive partner and gender-affirming benefits (CEI-verified)</t>
        </is>
      </c>
      <c r="D235" s="51" t="inlineStr">
        <is>
          <t>Structural</t>
        </is>
      </c>
      <c r="E235" s="51" t="inlineStr">
        <is>
          <t>Positive</t>
        </is>
      </c>
      <c r="F235" s="51" t="n">
        <v>22</v>
      </c>
      <c r="G235" s="51" t="n">
        <v>2024</v>
      </c>
      <c r="H235" s="52" t="inlineStr">
        <is>
          <t>https://reports.hrc.org/corporate-equality-index-2025</t>
        </is>
      </c>
      <c r="I235" s="52" t="inlineStr">
        <is>
          <t>HRC</t>
        </is>
      </c>
      <c r="J235" s="51" t="inlineStr">
        <is>
          <t>No</t>
        </is>
      </c>
      <c r="K235" s="52" t="inlineStr"/>
    </row>
    <row r="236" ht="23.25" customHeight="1" s="42">
      <c r="A236" s="52" t="inlineStr">
        <is>
          <t>Walgreens</t>
        </is>
      </c>
      <c r="B236" s="52" t="inlineStr">
        <is>
          <t>p_generic_post</t>
        </is>
      </c>
      <c r="C236" s="52" t="inlineStr">
        <is>
          <t>Pride Month posts and engagement (prior years)</t>
        </is>
      </c>
      <c r="D236" s="51" t="inlineStr">
        <is>
          <t>Cosmetic</t>
        </is>
      </c>
      <c r="E236" s="51" t="inlineStr">
        <is>
          <t>Positive</t>
        </is>
      </c>
      <c r="F236" s="51" t="n">
        <v>2</v>
      </c>
      <c r="G236" s="51" t="n">
        <v>2024</v>
      </c>
      <c r="H236" s="52" t="inlineStr">
        <is>
          <t>https://web.archive.org/web/2024/https://www.walgreensbootsalliance.com/people-perspectives/diversity-equity-inclusion</t>
        </is>
      </c>
      <c r="I236" s="52" t="inlineStr">
        <is>
          <t>Archive</t>
        </is>
      </c>
      <c r="J236" s="51" t="inlineStr">
        <is>
          <t>No</t>
        </is>
      </c>
      <c r="K236" s="52" t="inlineStr"/>
    </row>
    <row r="237" ht="23.25" customHeight="1" s="42">
      <c r="A237" s="52" t="inlineStr">
        <is>
          <t>Walgreens</t>
        </is>
      </c>
      <c r="B237" s="52" t="inlineStr">
        <is>
          <t>p_benefits</t>
        </is>
      </c>
      <c r="C237" s="52" t="inlineStr">
        <is>
          <t>Inclusive partner and gender-affirming benefits (CEI-verified)</t>
        </is>
      </c>
      <c r="D237" s="51" t="inlineStr">
        <is>
          <t>Structural</t>
        </is>
      </c>
      <c r="E237" s="51" t="inlineStr">
        <is>
          <t>Positive</t>
        </is>
      </c>
      <c r="F237" s="51" t="n">
        <v>22</v>
      </c>
      <c r="G237" s="51" t="n">
        <v>2024</v>
      </c>
      <c r="H237" s="52" t="inlineStr">
        <is>
          <t>https://reports.hrc.org/corporate-equality-index-2025</t>
        </is>
      </c>
      <c r="I237" s="52" t="inlineStr">
        <is>
          <t>HRC</t>
        </is>
      </c>
      <c r="J237" s="51" t="inlineStr">
        <is>
          <t>No</t>
        </is>
      </c>
      <c r="K237" s="52" t="inlineStr"/>
    </row>
    <row r="238" ht="23.25" customHeight="1" s="42">
      <c r="A238" s="52" t="inlineStr">
        <is>
          <t>Johnson &amp; Johnson</t>
        </is>
      </c>
      <c r="B238" s="52" t="inlineStr">
        <is>
          <t>p_generic_post</t>
        </is>
      </c>
      <c r="C238" s="52" t="inlineStr">
        <is>
          <t>Annual Pride Month posts and engagement</t>
        </is>
      </c>
      <c r="D238" s="51" t="inlineStr">
        <is>
          <t>Cosmetic</t>
        </is>
      </c>
      <c r="E238" s="51" t="inlineStr">
        <is>
          <t>Positive</t>
        </is>
      </c>
      <c r="F238" s="51" t="n">
        <v>2</v>
      </c>
      <c r="G238" s="51" t="n">
        <v>2024</v>
      </c>
      <c r="H238" s="52" t="inlineStr">
        <is>
          <t>https://web.archive.org/web/2024/https://www.jnj.com/about-jnj/diversity-equity-and-inclusion</t>
        </is>
      </c>
      <c r="I238" s="52" t="inlineStr">
        <is>
          <t>Archive</t>
        </is>
      </c>
      <c r="J238" s="51" t="inlineStr">
        <is>
          <t>No</t>
        </is>
      </c>
      <c r="K238" s="52" t="inlineStr"/>
    </row>
    <row r="239" ht="23.25" customHeight="1" s="42">
      <c r="A239" s="52" t="inlineStr">
        <is>
          <t>Johnson &amp; Johnson</t>
        </is>
      </c>
      <c r="B239" s="52" t="inlineStr">
        <is>
          <t>p_benefits</t>
        </is>
      </c>
      <c r="C239" s="52" t="inlineStr">
        <is>
          <t>Inclusive partner and gender-affirming benefits (CEI-verified)</t>
        </is>
      </c>
      <c r="D239" s="51" t="inlineStr">
        <is>
          <t>Structural</t>
        </is>
      </c>
      <c r="E239" s="51" t="inlineStr">
        <is>
          <t>Positive</t>
        </is>
      </c>
      <c r="F239" s="51" t="n">
        <v>22</v>
      </c>
      <c r="G239" s="51" t="n">
        <v>2024</v>
      </c>
      <c r="H239" s="52" t="inlineStr">
        <is>
          <t>https://reports.hrc.org/corporate-equality-index-2025</t>
        </is>
      </c>
      <c r="I239" s="52" t="inlineStr">
        <is>
          <t>HRC</t>
        </is>
      </c>
      <c r="J239" s="51" t="inlineStr">
        <is>
          <t>No</t>
        </is>
      </c>
      <c r="K239" s="52" t="inlineStr"/>
    </row>
    <row r="240" ht="23.25" customHeight="1" s="42">
      <c r="A240" s="52" t="inlineStr">
        <is>
          <t>Pfizer</t>
        </is>
      </c>
      <c r="B240" s="52" t="inlineStr">
        <is>
          <t>p_generic_post</t>
        </is>
      </c>
      <c r="C240" s="52" t="inlineStr">
        <is>
          <t>Annual Pride Month posts and engagement</t>
        </is>
      </c>
      <c r="D240" s="51" t="inlineStr">
        <is>
          <t>Cosmetic</t>
        </is>
      </c>
      <c r="E240" s="51" t="inlineStr">
        <is>
          <t>Positive</t>
        </is>
      </c>
      <c r="F240" s="51" t="n">
        <v>2</v>
      </c>
      <c r="G240" s="51" t="n">
        <v>2024</v>
      </c>
      <c r="H240" s="52" t="inlineStr">
        <is>
          <t>https://web.archive.org/web/2024/https://www.pfizer.com/about/responsibility/diversity-equity-inclusion</t>
        </is>
      </c>
      <c r="I240" s="52" t="inlineStr">
        <is>
          <t>Archive</t>
        </is>
      </c>
      <c r="J240" s="51" t="inlineStr">
        <is>
          <t>No</t>
        </is>
      </c>
      <c r="K240" s="52" t="inlineStr"/>
    </row>
    <row r="241" ht="23.25" customHeight="1" s="42">
      <c r="A241" s="52" t="inlineStr">
        <is>
          <t>Pfizer</t>
        </is>
      </c>
      <c r="B241" s="52" t="inlineStr">
        <is>
          <t>p_erg_support</t>
        </is>
      </c>
      <c r="C241" s="52" t="inlineStr">
        <is>
          <t>Funded OPEN LGBTQ+ employee resource network</t>
        </is>
      </c>
      <c r="D241" s="51" t="inlineStr">
        <is>
          <t>Civic</t>
        </is>
      </c>
      <c r="E241" s="51" t="inlineStr">
        <is>
          <t>Positive</t>
        </is>
      </c>
      <c r="F241" s="51" t="n">
        <v>15</v>
      </c>
      <c r="G241" s="51" t="n">
        <v>2024</v>
      </c>
      <c r="H241" s="52" t="inlineStr">
        <is>
          <t>https://web.archive.org/web/2024/https://www.pfizer.com/about/responsibility/diversity-equity-inclusion</t>
        </is>
      </c>
      <c r="I241" s="52" t="inlineStr">
        <is>
          <t>Archive</t>
        </is>
      </c>
      <c r="J241" s="51" t="inlineStr">
        <is>
          <t>No</t>
        </is>
      </c>
      <c r="K241" s="52" t="inlineStr"/>
    </row>
    <row r="242" ht="23.25" customHeight="1" s="42">
      <c r="A242" s="52" t="inlineStr">
        <is>
          <t>Pfizer</t>
        </is>
      </c>
      <c r="B242" s="52" t="inlineStr">
        <is>
          <t>p_benefits</t>
        </is>
      </c>
      <c r="C242" s="52" t="inlineStr">
        <is>
          <t>Inclusive partner and gender-affirming benefits (CEI-verified)</t>
        </is>
      </c>
      <c r="D242" s="51" t="inlineStr">
        <is>
          <t>Structural</t>
        </is>
      </c>
      <c r="E242" s="51" t="inlineStr">
        <is>
          <t>Positive</t>
        </is>
      </c>
      <c r="F242" s="51" t="n">
        <v>22</v>
      </c>
      <c r="G242" s="51" t="n">
        <v>2024</v>
      </c>
      <c r="H242" s="52" t="inlineStr">
        <is>
          <t>https://reports.hrc.org/corporate-equality-index-2025</t>
        </is>
      </c>
      <c r="I242" s="52" t="inlineStr">
        <is>
          <t>HRC</t>
        </is>
      </c>
      <c r="J242" s="51" t="inlineStr">
        <is>
          <t>No</t>
        </is>
      </c>
      <c r="K242" s="52" t="inlineStr"/>
    </row>
    <row r="243" ht="23.25" customHeight="1" s="42">
      <c r="A243" s="52" t="inlineStr">
        <is>
          <t>UnitedHealth Group</t>
        </is>
      </c>
      <c r="B243" s="52" t="inlineStr">
        <is>
          <t>p_generic_post</t>
        </is>
      </c>
      <c r="C243" s="52" t="inlineStr">
        <is>
          <t>Prior Pride Month engagement and DEI reporting</t>
        </is>
      </c>
      <c r="D243" s="51" t="inlineStr">
        <is>
          <t>Cosmetic</t>
        </is>
      </c>
      <c r="E243" s="51" t="inlineStr">
        <is>
          <t>Positive</t>
        </is>
      </c>
      <c r="F243" s="51" t="n">
        <v>2</v>
      </c>
      <c r="G243" s="51" t="n">
        <v>2024</v>
      </c>
      <c r="H243" s="52" t="inlineStr">
        <is>
          <t>https://web.archive.org/web/2024/https://www.unitedhealthgroup.com/people-and-businesses/people-culture/diversity-equity-inclusion.html</t>
        </is>
      </c>
      <c r="I243" s="52" t="inlineStr">
        <is>
          <t>Archive</t>
        </is>
      </c>
      <c r="J243" s="51" t="inlineStr">
        <is>
          <t>No</t>
        </is>
      </c>
      <c r="K243" s="52" t="inlineStr"/>
    </row>
    <row r="244" ht="23.25" customHeight="1" s="42">
      <c r="A244" s="52" t="inlineStr">
        <is>
          <t>UnitedHealth Group</t>
        </is>
      </c>
      <c r="B244" s="52" t="inlineStr">
        <is>
          <t>p_benefits</t>
        </is>
      </c>
      <c r="C244" s="52" t="inlineStr">
        <is>
          <t>Inclusive partner and gender-affirming benefits (CEI-verified)</t>
        </is>
      </c>
      <c r="D244" s="51" t="inlineStr">
        <is>
          <t>Structural</t>
        </is>
      </c>
      <c r="E244" s="51" t="inlineStr">
        <is>
          <t>Positive</t>
        </is>
      </c>
      <c r="F244" s="51" t="n">
        <v>22</v>
      </c>
      <c r="G244" s="51" t="n">
        <v>2024</v>
      </c>
      <c r="H244" s="52" t="inlineStr">
        <is>
          <t>https://reports.hrc.org/corporate-equality-index-2025</t>
        </is>
      </c>
      <c r="I244" s="52" t="inlineStr">
        <is>
          <t>HRC</t>
        </is>
      </c>
      <c r="J244" s="51" t="inlineStr">
        <is>
          <t>No</t>
        </is>
      </c>
      <c r="K244" s="52" t="inlineStr"/>
    </row>
    <row r="245" ht="23.25" customHeight="1" s="42">
      <c r="A245" s="52" t="inlineStr">
        <is>
          <t>UnitedHealth Group</t>
        </is>
      </c>
      <c r="B245" s="52" t="inlineStr">
        <is>
          <t>n_dei_removal</t>
        </is>
      </c>
      <c r="C245" s="52" t="inlineStr">
        <is>
          <t>Removed DEI mentions from much of its website; dedicated pages no longer load; 2022 DEI blog post deleted</t>
        </is>
      </c>
      <c r="D245" s="51" t="inlineStr">
        <is>
          <t>—</t>
        </is>
      </c>
      <c r="E245" s="51" t="inlineStr">
        <is>
          <t>Negative</t>
        </is>
      </c>
      <c r="F245" s="51" t="n">
        <v>-32</v>
      </c>
      <c r="G245" s="51" t="n">
        <v>2025</v>
      </c>
      <c r="H245" s="52" t="inlineStr">
        <is>
          <t>https://techcrunch.com/2025/03/26/unitedhealth-removes-mentions-of-dei-from-its-website/</t>
        </is>
      </c>
      <c r="I245" s="52" t="inlineStr">
        <is>
          <t>News</t>
        </is>
      </c>
      <c r="J245" s="51" t="inlineStr">
        <is>
          <t>Yes</t>
        </is>
      </c>
      <c r="K245" s="52" t="inlineStr">
        <is>
          <t>Archived before-state: https://web.archive.org/web/2024/https://www.unitedhealthgroup.com/people-and-businesses/people-culture/diversity-equity-inclusion.html</t>
        </is>
      </c>
    </row>
    <row r="246" ht="23.25" customHeight="1" s="42">
      <c r="A246" s="52" t="inlineStr">
        <is>
          <t>Cigna</t>
        </is>
      </c>
      <c r="B246" s="52" t="inlineStr">
        <is>
          <t>p_generic_post</t>
        </is>
      </c>
      <c r="C246" s="52" t="inlineStr">
        <is>
          <t>Pride engagement and inclusion reporting (prior years)</t>
        </is>
      </c>
      <c r="D246" s="51" t="inlineStr">
        <is>
          <t>Cosmetic</t>
        </is>
      </c>
      <c r="E246" s="51" t="inlineStr">
        <is>
          <t>Positive</t>
        </is>
      </c>
      <c r="F246" s="51" t="n">
        <v>2</v>
      </c>
      <c r="G246" s="51" t="n">
        <v>2024</v>
      </c>
      <c r="H246" s="52" t="inlineStr">
        <is>
          <t>https://web.archive.org/web/2024/https://www.thecignagroup.com/about-us/diversity-equity-inclusion</t>
        </is>
      </c>
      <c r="I246" s="52" t="inlineStr">
        <is>
          <t>Archive</t>
        </is>
      </c>
      <c r="J246" s="51" t="inlineStr">
        <is>
          <t>No</t>
        </is>
      </c>
      <c r="K246" s="52" t="inlineStr"/>
    </row>
    <row r="247" ht="23.25" customHeight="1" s="42">
      <c r="A247" s="52" t="inlineStr">
        <is>
          <t>Cigna</t>
        </is>
      </c>
      <c r="B247" s="52" t="inlineStr">
        <is>
          <t>p_benefits</t>
        </is>
      </c>
      <c r="C247" s="52" t="inlineStr">
        <is>
          <t>Inclusive benefits; public transgender health and gender-affirmation resources maintained</t>
        </is>
      </c>
      <c r="D247" s="51" t="inlineStr">
        <is>
          <t>Structural</t>
        </is>
      </c>
      <c r="E247" s="51" t="inlineStr">
        <is>
          <t>Positive</t>
        </is>
      </c>
      <c r="F247" s="51" t="n">
        <v>22</v>
      </c>
      <c r="G247" s="51" t="n">
        <v>2025</v>
      </c>
      <c r="H247" s="52" t="inlineStr">
        <is>
          <t>https://www.cigna.com/knowledge-center/transgender-health-issues</t>
        </is>
      </c>
      <c r="I247" s="52" t="inlineStr">
        <is>
          <t>Company</t>
        </is>
      </c>
      <c r="J247" s="51" t="inlineStr">
        <is>
          <t>Yes</t>
        </is>
      </c>
      <c r="K247" s="52" t="inlineStr"/>
    </row>
    <row r="248" ht="23.25" customHeight="1" s="42">
      <c r="A248" s="52" t="inlineStr">
        <is>
          <t>Cigna</t>
        </is>
      </c>
      <c r="B248" s="52" t="inlineStr">
        <is>
          <t>n_dei_removal</t>
        </is>
      </c>
      <c r="C248" s="52" t="inlineStr">
        <is>
          <t>Revised/softened DEI strategy language in 2025 annual report (insurer retreat pattern)</t>
        </is>
      </c>
      <c r="D248" s="51" t="inlineStr">
        <is>
          <t>—</t>
        </is>
      </c>
      <c r="E248" s="51" t="inlineStr">
        <is>
          <t>Negative</t>
        </is>
      </c>
      <c r="F248" s="51" t="n">
        <v>-32</v>
      </c>
      <c r="G248" s="51" t="n">
        <v>2025</v>
      </c>
      <c r="H248" s="52" t="inlineStr">
        <is>
          <t>https://www.modernhealthcare.com/insurance/unitedhealth-cigna-humana-elevance-dei/</t>
        </is>
      </c>
      <c r="I248" s="52" t="inlineStr">
        <is>
          <t>News</t>
        </is>
      </c>
      <c r="J248" s="51" t="inlineStr">
        <is>
          <t>Yes</t>
        </is>
      </c>
      <c r="K248" s="52" t="inlineStr"/>
    </row>
    <row r="249" ht="23.25" customHeight="1" s="42">
      <c r="A249" s="52" t="inlineStr">
        <is>
          <t>Humana</t>
        </is>
      </c>
      <c r="B249" s="52" t="inlineStr">
        <is>
          <t>p_generic_post</t>
        </is>
      </c>
      <c r="C249" s="52" t="inlineStr">
        <is>
          <t>Pride engagement and inclusion reporting (prior years)</t>
        </is>
      </c>
      <c r="D249" s="51" t="inlineStr">
        <is>
          <t>Cosmetic</t>
        </is>
      </c>
      <c r="E249" s="51" t="inlineStr">
        <is>
          <t>Positive</t>
        </is>
      </c>
      <c r="F249" s="51" t="n">
        <v>2</v>
      </c>
      <c r="G249" s="51" t="n">
        <v>2024</v>
      </c>
      <c r="H249" s="52" t="inlineStr">
        <is>
          <t>https://web.archive.org/web/2024/https://www.humana.com/about/impact/diversity-equity-inclusion</t>
        </is>
      </c>
      <c r="I249" s="52" t="inlineStr">
        <is>
          <t>Archive</t>
        </is>
      </c>
      <c r="J249" s="51" t="inlineStr">
        <is>
          <t>No</t>
        </is>
      </c>
      <c r="K249" s="52" t="inlineStr"/>
    </row>
    <row r="250" ht="23.25" customHeight="1" s="42">
      <c r="A250" s="52" t="inlineStr">
        <is>
          <t>Humana</t>
        </is>
      </c>
      <c r="B250" s="52" t="inlineStr">
        <is>
          <t>p_benefits</t>
        </is>
      </c>
      <c r="C250" s="52" t="inlineStr">
        <is>
          <t>Inclusive partner and gender-affirming benefits (CEI-verified)</t>
        </is>
      </c>
      <c r="D250" s="51" t="inlineStr">
        <is>
          <t>Structural</t>
        </is>
      </c>
      <c r="E250" s="51" t="inlineStr">
        <is>
          <t>Positive</t>
        </is>
      </c>
      <c r="F250" s="51" t="n">
        <v>22</v>
      </c>
      <c r="G250" s="51" t="n">
        <v>2024</v>
      </c>
      <c r="H250" s="52" t="inlineStr">
        <is>
          <t>https://reports.hrc.org/corporate-equality-index-2025</t>
        </is>
      </c>
      <c r="I250" s="52" t="inlineStr">
        <is>
          <t>HRC</t>
        </is>
      </c>
      <c r="J250" s="51" t="inlineStr">
        <is>
          <t>No</t>
        </is>
      </c>
      <c r="K250" s="52" t="inlineStr"/>
    </row>
    <row r="251" ht="23.25" customHeight="1" s="42">
      <c r="A251" s="52" t="inlineStr">
        <is>
          <t>Humana</t>
        </is>
      </c>
      <c r="B251" s="52" t="inlineStr">
        <is>
          <t>n_dei_removal</t>
        </is>
      </c>
      <c r="C251" s="52" t="inlineStr">
        <is>
          <t>Revised/softened DEI strategy language in 2025 annual report (insurer retreat pattern)</t>
        </is>
      </c>
      <c r="D251" s="51" t="inlineStr">
        <is>
          <t>—</t>
        </is>
      </c>
      <c r="E251" s="51" t="inlineStr">
        <is>
          <t>Negative</t>
        </is>
      </c>
      <c r="F251" s="51" t="n">
        <v>-32</v>
      </c>
      <c r="G251" s="51" t="n">
        <v>2025</v>
      </c>
      <c r="H251" s="52" t="inlineStr">
        <is>
          <t>https://www.modernhealthcare.com/insurance/unitedhealth-cigna-humana-elevance-dei/</t>
        </is>
      </c>
      <c r="I251" s="52" t="inlineStr">
        <is>
          <t>News</t>
        </is>
      </c>
      <c r="J251" s="51" t="inlineStr">
        <is>
          <t>Yes</t>
        </is>
      </c>
      <c r="K251" s="52" t="inlineStr"/>
    </row>
    <row r="252" ht="23.25" customHeight="1" s="42">
      <c r="A252" s="52" t="inlineStr">
        <is>
          <t>ExxonMobil</t>
        </is>
      </c>
      <c r="B252" s="52" t="inlineStr">
        <is>
          <t>p_anti_discrim_policy</t>
        </is>
      </c>
      <c r="C252" s="52" t="inlineStr">
        <is>
          <t>Nondiscrimination policy covering orientation and gender identity (adopted 2015 under federal contractor EO mandate)</t>
        </is>
      </c>
      <c r="D252" s="51" t="inlineStr">
        <is>
          <t>Structural</t>
        </is>
      </c>
      <c r="E252" s="51" t="inlineStr">
        <is>
          <t>Positive</t>
        </is>
      </c>
      <c r="F252" s="51" t="n">
        <v>25</v>
      </c>
      <c r="G252" s="51" t="n">
        <v>2015</v>
      </c>
      <c r="H252" s="52" t="inlineStr">
        <is>
          <t>https://en.wikipedia.org/wiki/ExxonMobil#LGBT_employment_policies</t>
        </is>
      </c>
      <c r="I252" s="52" t="inlineStr">
        <is>
          <t>News</t>
        </is>
      </c>
      <c r="J252" s="51" t="inlineStr">
        <is>
          <t>No</t>
        </is>
      </c>
      <c r="K252" s="52" t="inlineStr">
        <is>
          <t>Adopted only after Obama-era EO 13672 required it of contractors</t>
        </is>
      </c>
    </row>
    <row r="253" ht="23.25" customHeight="1" s="42">
      <c r="A253" s="52" t="inlineStr">
        <is>
          <t>ExxonMobil</t>
        </is>
      </c>
      <c r="B253" s="52" t="inlineStr">
        <is>
          <t>n_benefits_rollback</t>
        </is>
      </c>
      <c r="C253" s="52" t="inlineStr">
        <is>
          <t>Rescinded Mobil's domestic-partner benefits following the 1999 Exxon-Mobil merger</t>
        </is>
      </c>
      <c r="D253" s="51" t="inlineStr">
        <is>
          <t>—</t>
        </is>
      </c>
      <c r="E253" s="51" t="inlineStr">
        <is>
          <t>Negative</t>
        </is>
      </c>
      <c r="F253" s="51" t="n">
        <v>-28</v>
      </c>
      <c r="G253" s="51" t="n">
        <v>1999</v>
      </c>
      <c r="H253" s="52" t="inlineStr">
        <is>
          <t>https://en.wikipedia.org/wiki/ExxonMobil#LGBT_employment_policies</t>
        </is>
      </c>
      <c r="I253" s="52" t="inlineStr">
        <is>
          <t>News</t>
        </is>
      </c>
      <c r="J253" s="51" t="inlineStr">
        <is>
          <t>No</t>
        </is>
      </c>
      <c r="K253" s="52" t="inlineStr">
        <is>
          <t>Only major US company to revoke existing DP benefits; HRC's only negative CEI score (-25) followed</t>
        </is>
      </c>
    </row>
    <row r="254" ht="23.25" customHeight="1" s="42">
      <c r="A254" s="52" t="inlineStr">
        <is>
          <t>ExxonMobil</t>
        </is>
      </c>
      <c r="B254" s="52" t="inlineStr">
        <is>
          <t>n_pride_retreat</t>
        </is>
      </c>
      <c r="C254" s="52" t="inlineStr">
        <is>
          <t>Banned Pride (and other 'external position') flags from company flagpoles; employee protests and ERG pushback followed</t>
        </is>
      </c>
      <c r="D254" s="51" t="inlineStr">
        <is>
          <t>—</t>
        </is>
      </c>
      <c r="E254" s="51" t="inlineStr">
        <is>
          <t>Negative</t>
        </is>
      </c>
      <c r="F254" s="51" t="n">
        <v>-22</v>
      </c>
      <c r="G254" s="51" t="n">
        <v>2022</v>
      </c>
      <c r="H254" s="52" t="inlineStr">
        <is>
          <t>https://www.bloomberg.com/news/articles/2022-04-21/exxon-bans-lgbtq-pride-black-lives-matter-flags-at-offices</t>
        </is>
      </c>
      <c r="I254" s="52" t="inlineStr">
        <is>
          <t>News</t>
        </is>
      </c>
      <c r="J254" s="51" t="inlineStr">
        <is>
          <t>No</t>
        </is>
      </c>
      <c r="K254" s="52" t="inlineStr"/>
    </row>
    <row r="255" ht="23.25" customHeight="1" s="42">
      <c r="A255" s="52" t="inlineStr">
        <is>
          <t>Chevron</t>
        </is>
      </c>
      <c r="B255" s="52" t="inlineStr">
        <is>
          <t>p_generic_post</t>
        </is>
      </c>
      <c r="C255" s="52" t="inlineStr">
        <is>
          <t>Pride Month posts and engagement</t>
        </is>
      </c>
      <c r="D255" s="51" t="inlineStr">
        <is>
          <t>Cosmetic</t>
        </is>
      </c>
      <c r="E255" s="51" t="inlineStr">
        <is>
          <t>Positive</t>
        </is>
      </c>
      <c r="F255" s="51" t="n">
        <v>2</v>
      </c>
      <c r="G255" s="51" t="n">
        <v>2024</v>
      </c>
      <c r="H255" s="52" t="inlineStr">
        <is>
          <t>https://web.archive.org/web/2024/https://www.chevron.com/sustainability/social/diversity-inclusion</t>
        </is>
      </c>
      <c r="I255" s="52" t="inlineStr">
        <is>
          <t>Archive</t>
        </is>
      </c>
      <c r="J255" s="51" t="inlineStr">
        <is>
          <t>No</t>
        </is>
      </c>
      <c r="K255" s="52" t="inlineStr"/>
    </row>
    <row r="256" ht="23.25" customHeight="1" s="42">
      <c r="A256" s="52" t="inlineStr">
        <is>
          <t>Chevron</t>
        </is>
      </c>
      <c r="B256" s="52" t="inlineStr">
        <is>
          <t>p_erg_support</t>
        </is>
      </c>
      <c r="C256" s="52" t="inlineStr">
        <is>
          <t>Funded PRIDE Chevron employee network</t>
        </is>
      </c>
      <c r="D256" s="51" t="inlineStr">
        <is>
          <t>Civic</t>
        </is>
      </c>
      <c r="E256" s="51" t="inlineStr">
        <is>
          <t>Positive</t>
        </is>
      </c>
      <c r="F256" s="51" t="n">
        <v>15</v>
      </c>
      <c r="G256" s="51" t="n">
        <v>2024</v>
      </c>
      <c r="H256" s="52" t="inlineStr">
        <is>
          <t>https://web.archive.org/web/2024/https://www.chevron.com/sustainability/social/diversity-inclusion</t>
        </is>
      </c>
      <c r="I256" s="52" t="inlineStr">
        <is>
          <t>Archive</t>
        </is>
      </c>
      <c r="J256" s="51" t="inlineStr">
        <is>
          <t>No</t>
        </is>
      </c>
      <c r="K256" s="52" t="inlineStr"/>
    </row>
    <row r="257" ht="23.25" customHeight="1" s="42">
      <c r="A257" s="52" t="inlineStr">
        <is>
          <t>Marriott</t>
        </is>
      </c>
      <c r="B257" s="52" t="inlineStr">
        <is>
          <t>p_logo_rainbow</t>
        </is>
      </c>
      <c r="C257" s="52" t="inlineStr">
        <is>
          <t>Pride campaign branding across brands</t>
        </is>
      </c>
      <c r="D257" s="51" t="inlineStr">
        <is>
          <t>Cosmetic</t>
        </is>
      </c>
      <c r="E257" s="51" t="inlineStr">
        <is>
          <t>Positive</t>
        </is>
      </c>
      <c r="F257" s="51" t="n">
        <v>3</v>
      </c>
      <c r="G257" s="51" t="n">
        <v>2025</v>
      </c>
      <c r="H257" s="52" t="inlineStr">
        <is>
          <t>https://web.archive.org/web/2025/https://www.marriott.com/diversity/corporate-diversity.mi</t>
        </is>
      </c>
      <c r="I257" s="52" t="inlineStr">
        <is>
          <t>Archive</t>
        </is>
      </c>
      <c r="J257" s="51" t="inlineStr">
        <is>
          <t>Yes</t>
        </is>
      </c>
      <c r="K257" s="52" t="inlineStr"/>
    </row>
    <row r="258" ht="23.25" customHeight="1" s="42">
      <c r="A258" s="52" t="inlineStr">
        <is>
          <t>Marriott</t>
        </is>
      </c>
      <c r="B258" s="52" t="inlineStr">
        <is>
          <t>p_collab</t>
        </is>
      </c>
      <c r="C258" s="52" t="inlineStr">
        <is>
          <t>#LoveTravels platform with LGBTQ+ talent and creators, running since 2014</t>
        </is>
      </c>
      <c r="D258" s="51" t="inlineStr">
        <is>
          <t>Commercial</t>
        </is>
      </c>
      <c r="E258" s="51" t="inlineStr">
        <is>
          <t>Positive</t>
        </is>
      </c>
      <c r="F258" s="51" t="n">
        <v>8</v>
      </c>
      <c r="G258" s="51" t="n">
        <v>2024</v>
      </c>
      <c r="H258" s="52" t="inlineStr">
        <is>
          <t>https://web.archive.org/web/2024/https://www.marriott.com/loveTravels/</t>
        </is>
      </c>
      <c r="I258" s="52" t="inlineStr">
        <is>
          <t>Archive</t>
        </is>
      </c>
      <c r="J258" s="51" t="inlineStr">
        <is>
          <t>No</t>
        </is>
      </c>
      <c r="K258" s="52" t="inlineStr"/>
    </row>
    <row r="259" ht="23.25" customHeight="1" s="42">
      <c r="A259" s="52" t="inlineStr">
        <is>
          <t>Marriott</t>
        </is>
      </c>
      <c r="B259" s="52" t="inlineStr">
        <is>
          <t>p_erg_support</t>
        </is>
      </c>
      <c r="C259" s="52" t="inlineStr">
        <is>
          <t>Funded LGBTQ+ employee resource group</t>
        </is>
      </c>
      <c r="D259" s="51" t="inlineStr">
        <is>
          <t>Civic</t>
        </is>
      </c>
      <c r="E259" s="51" t="inlineStr">
        <is>
          <t>Positive</t>
        </is>
      </c>
      <c r="F259" s="51" t="n">
        <v>15</v>
      </c>
      <c r="G259" s="51" t="n">
        <v>2024</v>
      </c>
      <c r="H259" s="52" t="inlineStr">
        <is>
          <t>https://web.archive.org/web/2024/https://www.marriott.com/diversity/corporate-diversity.mi</t>
        </is>
      </c>
      <c r="I259" s="52" t="inlineStr">
        <is>
          <t>Archive</t>
        </is>
      </c>
      <c r="J259" s="51" t="inlineStr">
        <is>
          <t>No</t>
        </is>
      </c>
      <c r="K259" s="52" t="inlineStr"/>
    </row>
    <row r="260" ht="23.25" customHeight="1" s="42">
      <c r="A260" s="52" t="inlineStr">
        <is>
          <t>Marriott</t>
        </is>
      </c>
      <c r="B260" s="52" t="inlineStr">
        <is>
          <t>p_benefits</t>
        </is>
      </c>
      <c r="C260" s="52" t="inlineStr">
        <is>
          <t>Inclusive partner and gender-affirming benefits (CEI-verified)</t>
        </is>
      </c>
      <c r="D260" s="51" t="inlineStr">
        <is>
          <t>Structural</t>
        </is>
      </c>
      <c r="E260" s="51" t="inlineStr">
        <is>
          <t>Positive</t>
        </is>
      </c>
      <c r="F260" s="51" t="n">
        <v>22</v>
      </c>
      <c r="G260" s="51" t="n">
        <v>2025</v>
      </c>
      <c r="H260" s="52" t="inlineStr">
        <is>
          <t>https://reports.hrc.org/corporate-equality-index-2025</t>
        </is>
      </c>
      <c r="I260" s="52" t="inlineStr">
        <is>
          <t>HRC</t>
        </is>
      </c>
      <c r="J260" s="51" t="inlineStr">
        <is>
          <t>No</t>
        </is>
      </c>
      <c r="K260" s="52" t="inlineStr"/>
    </row>
    <row r="261" ht="23.25" customHeight="1" s="42">
      <c r="A261" s="52" t="inlineStr">
        <is>
          <t>Marriott</t>
        </is>
      </c>
      <c r="B261" s="52" t="inlineStr">
        <is>
          <t>p_consistent_history</t>
        </is>
      </c>
      <c r="C261" s="52" t="inlineStr">
        <is>
          <t>10+ years of sustained programming (#LoveTravels since 2014) and CEI 100 streak with no retreat</t>
        </is>
      </c>
      <c r="D261" s="51" t="inlineStr">
        <is>
          <t>Structural</t>
        </is>
      </c>
      <c r="E261" s="51" t="inlineStr">
        <is>
          <t>Positive</t>
        </is>
      </c>
      <c r="F261" s="51" t="n">
        <v>28</v>
      </c>
      <c r="G261" s="51" t="n">
        <v>2025</v>
      </c>
      <c r="H261" s="52" t="inlineStr">
        <is>
          <t>https://reports.hrc.org/corporate-equality-index-2025</t>
        </is>
      </c>
      <c r="I261" s="52" t="inlineStr">
        <is>
          <t>HRC</t>
        </is>
      </c>
      <c r="J261" s="51" t="inlineStr">
        <is>
          <t>No</t>
        </is>
      </c>
      <c r="K261" s="52" t="inlineStr"/>
    </row>
    <row r="262" ht="23.25" customHeight="1" s="42">
      <c r="A262" s="52" t="inlineStr">
        <is>
          <t>Hilton</t>
        </is>
      </c>
      <c r="B262" s="52" t="inlineStr">
        <is>
          <t>p_generic_post</t>
        </is>
      </c>
      <c r="C262" s="52" t="inlineStr">
        <is>
          <t>Annual Pride posts and campaigns</t>
        </is>
      </c>
      <c r="D262" s="51" t="inlineStr">
        <is>
          <t>Cosmetic</t>
        </is>
      </c>
      <c r="E262" s="51" t="inlineStr">
        <is>
          <t>Positive</t>
        </is>
      </c>
      <c r="F262" s="51" t="n">
        <v>2</v>
      </c>
      <c r="G262" s="51" t="n">
        <v>2025</v>
      </c>
      <c r="H262" s="52" t="inlineStr">
        <is>
          <t>https://web.archive.org/web/2025/https://www.hilton.com/en/corporate/</t>
        </is>
      </c>
      <c r="I262" s="52" t="inlineStr">
        <is>
          <t>Archive</t>
        </is>
      </c>
      <c r="J262" s="51" t="inlineStr">
        <is>
          <t>Yes</t>
        </is>
      </c>
      <c r="K262" s="52" t="inlineStr"/>
    </row>
    <row r="263" ht="23.25" customHeight="1" s="42">
      <c r="A263" s="52" t="inlineStr">
        <is>
          <t>Hilton</t>
        </is>
      </c>
      <c r="B263" s="52" t="inlineStr">
        <is>
          <t>p_parade_sponsor</t>
        </is>
      </c>
      <c r="C263" s="52" t="inlineStr">
        <is>
          <t>WorldPride 2025 (Washington DC) supporter while many corporates withdrew</t>
        </is>
      </c>
      <c r="D263" s="51" t="inlineStr">
        <is>
          <t>Civic</t>
        </is>
      </c>
      <c r="E263" s="51" t="inlineStr">
        <is>
          <t>Positive</t>
        </is>
      </c>
      <c r="F263" s="51" t="n">
        <v>12</v>
      </c>
      <c r="G263" s="51" t="n">
        <v>2025</v>
      </c>
      <c r="H263" s="52" t="inlineStr">
        <is>
          <t>https://www.hrdive.com/news/employer-pride-2025/751092/</t>
        </is>
      </c>
      <c r="I263" s="52" t="inlineStr">
        <is>
          <t>News</t>
        </is>
      </c>
      <c r="J263" s="51" t="inlineStr">
        <is>
          <t>Yes</t>
        </is>
      </c>
      <c r="K263" s="52" t="inlineStr"/>
    </row>
    <row r="264" ht="23.25" customHeight="1" s="42">
      <c r="A264" s="52" t="inlineStr">
        <is>
          <t>Hilton</t>
        </is>
      </c>
      <c r="B264" s="52" t="inlineStr">
        <is>
          <t>p_erg_support</t>
        </is>
      </c>
      <c r="C264" s="52" t="inlineStr">
        <is>
          <t>Funded LGBTQ+ ERG (Pride at Hilton)</t>
        </is>
      </c>
      <c r="D264" s="51" t="inlineStr">
        <is>
          <t>Civic</t>
        </is>
      </c>
      <c r="E264" s="51" t="inlineStr">
        <is>
          <t>Positive</t>
        </is>
      </c>
      <c r="F264" s="51" t="n">
        <v>15</v>
      </c>
      <c r="G264" s="51" t="n">
        <v>2024</v>
      </c>
      <c r="H264" s="52" t="inlineStr">
        <is>
          <t>https://web.archive.org/web/2024/https://jobs.hilton.com/us/en/diversity</t>
        </is>
      </c>
      <c r="I264" s="52" t="inlineStr">
        <is>
          <t>Archive</t>
        </is>
      </c>
      <c r="J264" s="51" t="inlineStr">
        <is>
          <t>No</t>
        </is>
      </c>
      <c r="K264" s="52" t="inlineStr"/>
    </row>
    <row r="265" ht="23.25" customHeight="1" s="42">
      <c r="A265" s="52" t="inlineStr">
        <is>
          <t>Delta Air Lines</t>
        </is>
      </c>
      <c r="B265" s="52" t="inlineStr">
        <is>
          <t>p_logo_rainbow</t>
        </is>
      </c>
      <c r="C265" s="52" t="inlineStr">
        <is>
          <t>Annual Pride branding and campaign visuals</t>
        </is>
      </c>
      <c r="D265" s="51" t="inlineStr">
        <is>
          <t>Cosmetic</t>
        </is>
      </c>
      <c r="E265" s="51" t="inlineStr">
        <is>
          <t>Positive</t>
        </is>
      </c>
      <c r="F265" s="51" t="n">
        <v>3</v>
      </c>
      <c r="G265" s="51" t="n">
        <v>2025</v>
      </c>
      <c r="H265" s="52" t="inlineStr">
        <is>
          <t>https://news.delta.com/tags/pride</t>
        </is>
      </c>
      <c r="I265" s="52" t="inlineStr">
        <is>
          <t>Company</t>
        </is>
      </c>
      <c r="J265" s="51" t="inlineStr">
        <is>
          <t>Yes</t>
        </is>
      </c>
      <c r="K265" s="52" t="inlineStr"/>
    </row>
    <row r="266" ht="23.25" customHeight="1" s="42">
      <c r="A266" s="52" t="inlineStr">
        <is>
          <t>Delta Air Lines</t>
        </is>
      </c>
      <c r="B266" s="52" t="inlineStr">
        <is>
          <t>p_generic_post</t>
        </is>
      </c>
      <c r="C266" s="52" t="inlineStr">
        <is>
          <t>Continuing Pride Month coverage and statements on its own newsroom</t>
        </is>
      </c>
      <c r="D266" s="51" t="inlineStr">
        <is>
          <t>Cosmetic</t>
        </is>
      </c>
      <c r="E266" s="51" t="inlineStr">
        <is>
          <t>Positive</t>
        </is>
      </c>
      <c r="F266" s="51" t="n">
        <v>2</v>
      </c>
      <c r="G266" s="51" t="n">
        <v>2026</v>
      </c>
      <c r="H266" s="52" t="inlineStr">
        <is>
          <t>https://news.delta.com/tags/pride</t>
        </is>
      </c>
      <c r="I266" s="52" t="inlineStr">
        <is>
          <t>Company</t>
        </is>
      </c>
      <c r="J266" s="51" t="inlineStr">
        <is>
          <t>Yes</t>
        </is>
      </c>
      <c r="K266" s="52" t="inlineStr"/>
    </row>
    <row r="267" ht="23.25" customHeight="1" s="42">
      <c r="A267" s="52" t="inlineStr">
        <is>
          <t>Delta Air Lines</t>
        </is>
      </c>
      <c r="B267" s="52" t="inlineStr">
        <is>
          <t>p_parade_march</t>
        </is>
      </c>
      <c r="C267" s="52" t="inlineStr">
        <is>
          <t>Employee contingents marching at Pride events incl. Amsterdam and Brighton (2025-26) and US prides</t>
        </is>
      </c>
      <c r="D267" s="51" t="inlineStr">
        <is>
          <t>Civic</t>
        </is>
      </c>
      <c r="E267" s="51" t="inlineStr">
        <is>
          <t>Positive</t>
        </is>
      </c>
      <c r="F267" s="51" t="n">
        <v>10</v>
      </c>
      <c r="G267" s="51" t="n">
        <v>2026</v>
      </c>
      <c r="H267" s="52" t="inlineStr">
        <is>
          <t>https://news.delta.com/delta-celebrates-spirit-togetherness-resilience-and-joy-pride-events-amsterdam-and-brighton</t>
        </is>
      </c>
      <c r="I267" s="52" t="inlineStr">
        <is>
          <t>Company</t>
        </is>
      </c>
      <c r="J267" s="51" t="inlineStr">
        <is>
          <t>Yes</t>
        </is>
      </c>
      <c r="K267" s="52" t="inlineStr"/>
    </row>
    <row r="268" ht="23.25" customHeight="1" s="42">
      <c r="A268" s="52" t="inlineStr">
        <is>
          <t>Delta Air Lines</t>
        </is>
      </c>
      <c r="B268" s="52" t="inlineStr">
        <is>
          <t>p_erg_support</t>
        </is>
      </c>
      <c r="C268" s="52" t="inlineStr">
        <is>
          <t>Funded EQUAL LGBTQ+ employee resource group</t>
        </is>
      </c>
      <c r="D268" s="51" t="inlineStr">
        <is>
          <t>Civic</t>
        </is>
      </c>
      <c r="E268" s="51" t="inlineStr">
        <is>
          <t>Positive</t>
        </is>
      </c>
      <c r="F268" s="51" t="n">
        <v>15</v>
      </c>
      <c r="G268" s="51" t="n">
        <v>2025</v>
      </c>
      <c r="H268" s="52" t="inlineStr">
        <is>
          <t>https://www.delta.com/us/en/about-delta/diversity</t>
        </is>
      </c>
      <c r="I268" s="52" t="inlineStr">
        <is>
          <t>Company</t>
        </is>
      </c>
      <c r="J268" s="51" t="inlineStr">
        <is>
          <t>Yes</t>
        </is>
      </c>
      <c r="K268" s="52" t="inlineStr"/>
    </row>
    <row r="269" ht="23.25" customHeight="1" s="42">
      <c r="A269" s="52" t="inlineStr">
        <is>
          <t>Delta Air Lines</t>
        </is>
      </c>
      <c r="B269" s="52" t="inlineStr">
        <is>
          <t>p_benefits</t>
        </is>
      </c>
      <c r="C269" s="52" t="inlineStr">
        <is>
          <t>Inclusive partner and gender-affirming benefits (CEI-verified)</t>
        </is>
      </c>
      <c r="D269" s="51" t="inlineStr">
        <is>
          <t>Structural</t>
        </is>
      </c>
      <c r="E269" s="51" t="inlineStr">
        <is>
          <t>Positive</t>
        </is>
      </c>
      <c r="F269" s="51" t="n">
        <v>22</v>
      </c>
      <c r="G269" s="51" t="n">
        <v>2025</v>
      </c>
      <c r="H269" s="52" t="inlineStr">
        <is>
          <t>https://reports.hrc.org/corporate-equality-index-2025</t>
        </is>
      </c>
      <c r="I269" s="52" t="inlineStr">
        <is>
          <t>HRC</t>
        </is>
      </c>
      <c r="J269" s="51" t="inlineStr">
        <is>
          <t>No</t>
        </is>
      </c>
      <c r="K269" s="52" t="inlineStr"/>
    </row>
    <row r="270" ht="23.25" customHeight="1" s="42">
      <c r="A270" s="52" t="inlineStr">
        <is>
          <t>Delta Air Lines</t>
        </is>
      </c>
      <c r="B270" s="52" t="inlineStr">
        <is>
          <t>p_dei_explicit</t>
        </is>
      </c>
      <c r="C270" s="52" t="inlineStr">
        <is>
          <t>Publicly affirmed continuing DEI commitments in Jan 2025 amid the corporate retreat</t>
        </is>
      </c>
      <c r="D270" s="51" t="inlineStr">
        <is>
          <t>Structural</t>
        </is>
      </c>
      <c r="E270" s="51" t="inlineStr">
        <is>
          <t>Positive</t>
        </is>
      </c>
      <c r="F270" s="51" t="n">
        <v>20</v>
      </c>
      <c r="G270" s="51" t="n">
        <v>2025</v>
      </c>
      <c r="H270" s="52" t="inlineStr">
        <is>
          <t>https://www.nbcnews.com/news/nbcblk/delta-air-lines-costco-companies-say-ll-stick-dei-rcna189669</t>
        </is>
      </c>
      <c r="I270" s="52" t="inlineStr">
        <is>
          <t>News</t>
        </is>
      </c>
      <c r="J270" s="51" t="inlineStr">
        <is>
          <t>Yes</t>
        </is>
      </c>
      <c r="K270" s="52" t="inlineStr"/>
    </row>
    <row r="271" ht="23.25" customHeight="1" s="42">
      <c r="A271" s="52" t="inlineStr">
        <is>
          <t>American Airlines</t>
        </is>
      </c>
      <c r="B271" s="52" t="inlineStr">
        <is>
          <t>p_generic_post</t>
        </is>
      </c>
      <c r="C271" s="52" t="inlineStr">
        <is>
          <t>Annual Pride posts and campaigns</t>
        </is>
      </c>
      <c r="D271" s="51" t="inlineStr">
        <is>
          <t>Cosmetic</t>
        </is>
      </c>
      <c r="E271" s="51" t="inlineStr">
        <is>
          <t>Positive</t>
        </is>
      </c>
      <c r="F271" s="51" t="n">
        <v>2</v>
      </c>
      <c r="G271" s="51" t="n">
        <v>2024</v>
      </c>
      <c r="H271" s="52" t="inlineStr">
        <is>
          <t>https://web.archive.org/web/2024/https://www.aa.com/i18n/customer-service/about-us/diversity-equity-and-inclusion.jsp</t>
        </is>
      </c>
      <c r="I271" s="52" t="inlineStr">
        <is>
          <t>Archive</t>
        </is>
      </c>
      <c r="J271" s="51" t="inlineStr">
        <is>
          <t>No</t>
        </is>
      </c>
      <c r="K271" s="52" t="inlineStr"/>
    </row>
    <row r="272" ht="23.25" customHeight="1" s="42">
      <c r="A272" s="52" t="inlineStr">
        <is>
          <t>American Airlines</t>
        </is>
      </c>
      <c r="B272" s="52" t="inlineStr">
        <is>
          <t>p_erg_support</t>
        </is>
      </c>
      <c r="C272" s="52" t="inlineStr">
        <is>
          <t>Funded PRIDE ERG, established 1994 — among the oldest in aviation</t>
        </is>
      </c>
      <c r="D272" s="51" t="inlineStr">
        <is>
          <t>Civic</t>
        </is>
      </c>
      <c r="E272" s="51" t="inlineStr">
        <is>
          <t>Positive</t>
        </is>
      </c>
      <c r="F272" s="51" t="n">
        <v>15</v>
      </c>
      <c r="G272" s="51" t="n">
        <v>2024</v>
      </c>
      <c r="H272" s="52" t="inlineStr">
        <is>
          <t>https://web.archive.org/web/2024/https://www.aa.com/i18n/customer-service/about-us/diversity-equity-and-inclusion.jsp</t>
        </is>
      </c>
      <c r="I272" s="52" t="inlineStr">
        <is>
          <t>Archive</t>
        </is>
      </c>
      <c r="J272" s="51" t="inlineStr">
        <is>
          <t>No</t>
        </is>
      </c>
      <c r="K272" s="52" t="inlineStr"/>
    </row>
    <row r="273" ht="23.25" customHeight="1" s="42">
      <c r="A273" s="52" t="inlineStr">
        <is>
          <t>American Airlines</t>
        </is>
      </c>
      <c r="B273" s="52" t="inlineStr">
        <is>
          <t>p_benefits</t>
        </is>
      </c>
      <c r="C273" s="52" t="inlineStr">
        <is>
          <t>Inclusive partner and gender-affirming benefits (CEI-verified)</t>
        </is>
      </c>
      <c r="D273" s="51" t="inlineStr">
        <is>
          <t>Structural</t>
        </is>
      </c>
      <c r="E273" s="51" t="inlineStr">
        <is>
          <t>Positive</t>
        </is>
      </c>
      <c r="F273" s="51" t="n">
        <v>22</v>
      </c>
      <c r="G273" s="51" t="n">
        <v>2024</v>
      </c>
      <c r="H273" s="52" t="inlineStr">
        <is>
          <t>https://reports.hrc.org/corporate-equality-index-2025</t>
        </is>
      </c>
      <c r="I273" s="52" t="inlineStr">
        <is>
          <t>HRC</t>
        </is>
      </c>
      <c r="J273" s="51" t="inlineStr">
        <is>
          <t>No</t>
        </is>
      </c>
      <c r="K273" s="52" t="inlineStr"/>
    </row>
    <row r="274" ht="23.25" customHeight="1" s="42">
      <c r="A274" s="52" t="inlineStr">
        <is>
          <t>United Airlines</t>
        </is>
      </c>
      <c r="B274" s="52" t="inlineStr">
        <is>
          <t>p_generic_post</t>
        </is>
      </c>
      <c r="C274" s="52" t="inlineStr">
        <is>
          <t>Annual Pride posts and campaigns</t>
        </is>
      </c>
      <c r="D274" s="51" t="inlineStr">
        <is>
          <t>Cosmetic</t>
        </is>
      </c>
      <c r="E274" s="51" t="inlineStr">
        <is>
          <t>Positive</t>
        </is>
      </c>
      <c r="F274" s="51" t="n">
        <v>2</v>
      </c>
      <c r="G274" s="51" t="n">
        <v>2025</v>
      </c>
      <c r="H274" s="52" t="inlineStr">
        <is>
          <t>https://web.archive.org/web/2025/https://www.united.com/en/us/fly/company/global-citizenship/diversity-equity-and-inclusion.html</t>
        </is>
      </c>
      <c r="I274" s="52" t="inlineStr">
        <is>
          <t>Archive</t>
        </is>
      </c>
      <c r="J274" s="51" t="inlineStr">
        <is>
          <t>Yes</t>
        </is>
      </c>
      <c r="K274" s="52" t="inlineStr"/>
    </row>
    <row r="275" ht="23.25" customHeight="1" s="42">
      <c r="A275" s="52" t="inlineStr">
        <is>
          <t>United Airlines</t>
        </is>
      </c>
      <c r="B275" s="52" t="inlineStr">
        <is>
          <t>p_parade_sponsor</t>
        </is>
      </c>
      <c r="C275" s="52" t="inlineStr">
        <is>
          <t>WorldPride 2025 (Washington DC) supporter</t>
        </is>
      </c>
      <c r="D275" s="51" t="inlineStr">
        <is>
          <t>Civic</t>
        </is>
      </c>
      <c r="E275" s="51" t="inlineStr">
        <is>
          <t>Positive</t>
        </is>
      </c>
      <c r="F275" s="51" t="n">
        <v>12</v>
      </c>
      <c r="G275" s="51" t="n">
        <v>2025</v>
      </c>
      <c r="H275" s="52" t="inlineStr">
        <is>
          <t>https://www.hrdive.com/news/employer-pride-2025/751092/</t>
        </is>
      </c>
      <c r="I275" s="52" t="inlineStr">
        <is>
          <t>News</t>
        </is>
      </c>
      <c r="J275" s="51" t="inlineStr">
        <is>
          <t>Yes</t>
        </is>
      </c>
      <c r="K275" s="52" t="inlineStr"/>
    </row>
    <row r="276" ht="23.25" customHeight="1" s="42">
      <c r="A276" s="52" t="inlineStr">
        <is>
          <t>United Airlines</t>
        </is>
      </c>
      <c r="B276" s="52" t="inlineStr">
        <is>
          <t>p_erg_support</t>
        </is>
      </c>
      <c r="C276" s="52" t="inlineStr">
        <is>
          <t>Funded LGBTQ+ employee resource group</t>
        </is>
      </c>
      <c r="D276" s="51" t="inlineStr">
        <is>
          <t>Civic</t>
        </is>
      </c>
      <c r="E276" s="51" t="inlineStr">
        <is>
          <t>Positive</t>
        </is>
      </c>
      <c r="F276" s="51" t="n">
        <v>15</v>
      </c>
      <c r="G276" s="51" t="n">
        <v>2024</v>
      </c>
      <c r="H276" s="52" t="inlineStr">
        <is>
          <t>https://web.archive.org/web/2024/https://www.united.com/en/us/fly/company/global-citizenship/diversity-equity-and-inclusion.html</t>
        </is>
      </c>
      <c r="I276" s="52" t="inlineStr">
        <is>
          <t>Archive</t>
        </is>
      </c>
      <c r="J276" s="51" t="inlineStr">
        <is>
          <t>No</t>
        </is>
      </c>
      <c r="K276" s="52" t="inlineStr"/>
    </row>
    <row r="277" ht="23.25" customHeight="1" s="42">
      <c r="A277" s="52" t="inlineStr">
        <is>
          <t>Airbnb</t>
        </is>
      </c>
      <c r="B277" s="52" t="inlineStr">
        <is>
          <t>p_generic_post</t>
        </is>
      </c>
      <c r="C277" s="52" t="inlineStr">
        <is>
          <t>Pride Month posts and campaigns</t>
        </is>
      </c>
      <c r="D277" s="51" t="inlineStr">
        <is>
          <t>Cosmetic</t>
        </is>
      </c>
      <c r="E277" s="51" t="inlineStr">
        <is>
          <t>Positive</t>
        </is>
      </c>
      <c r="F277" s="51" t="n">
        <v>2</v>
      </c>
      <c r="G277" s="51" t="n">
        <v>2025</v>
      </c>
      <c r="H277" s="52" t="inlineStr">
        <is>
          <t>https://web.archive.org/web/2025/https://news.airbnb.com/</t>
        </is>
      </c>
      <c r="I277" s="52" t="inlineStr">
        <is>
          <t>Archive</t>
        </is>
      </c>
      <c r="J277" s="51" t="inlineStr">
        <is>
          <t>Yes</t>
        </is>
      </c>
      <c r="K277" s="52" t="inlineStr"/>
    </row>
    <row r="278" ht="23.25" customHeight="1" s="42">
      <c r="A278" s="52" t="inlineStr">
        <is>
          <t>Airbnb</t>
        </is>
      </c>
      <c r="B278" s="52" t="inlineStr">
        <is>
          <t>p_community_events</t>
        </is>
      </c>
      <c r="C278" s="52" t="inlineStr">
        <is>
          <t>LGBTQ+ travel-safety features and community programs for hosts/guests incl. protections in hostile regions</t>
        </is>
      </c>
      <c r="D278" s="51" t="inlineStr">
        <is>
          <t>Civic</t>
        </is>
      </c>
      <c r="E278" s="51" t="inlineStr">
        <is>
          <t>Positive</t>
        </is>
      </c>
      <c r="F278" s="51" t="n">
        <v>12</v>
      </c>
      <c r="G278" s="51" t="n">
        <v>2024</v>
      </c>
      <c r="H278" s="52" t="inlineStr">
        <is>
          <t>https://web.archive.org/web/2024/https://www.airbnb.com/against-discrimination</t>
        </is>
      </c>
      <c r="I278" s="52" t="inlineStr">
        <is>
          <t>Archive</t>
        </is>
      </c>
      <c r="J278" s="51" t="inlineStr">
        <is>
          <t>No</t>
        </is>
      </c>
      <c r="K278" s="52" t="inlineStr"/>
    </row>
    <row r="279" ht="23.25" customHeight="1" s="42">
      <c r="A279" s="52" t="inlineStr">
        <is>
          <t>Airbnb</t>
        </is>
      </c>
      <c r="B279" s="52" t="inlineStr">
        <is>
          <t>p_anti_discrim_policy</t>
        </is>
      </c>
      <c r="C279" s="52" t="inlineStr">
        <is>
          <t>Community Commitment: platform-wide nondiscrimination covering sexual orientation and gender identity, binding on all users since 2016</t>
        </is>
      </c>
      <c r="D279" s="51" t="inlineStr">
        <is>
          <t>Structural</t>
        </is>
      </c>
      <c r="E279" s="51" t="inlineStr">
        <is>
          <t>Positive</t>
        </is>
      </c>
      <c r="F279" s="51" t="n">
        <v>25</v>
      </c>
      <c r="G279" s="51" t="n">
        <v>2016</v>
      </c>
      <c r="H279" s="52" t="inlineStr">
        <is>
          <t>https://www.airbnb.com/against-discrimination</t>
        </is>
      </c>
      <c r="I279" s="52" t="inlineStr">
        <is>
          <t>Company</t>
        </is>
      </c>
      <c r="J279" s="51" t="inlineStr">
        <is>
          <t>No</t>
        </is>
      </c>
      <c r="K279" s="52" t="inlineStr"/>
    </row>
    <row r="280" ht="23.25" customHeight="1" s="42">
      <c r="A280" s="52" t="inlineStr">
        <is>
          <t>Expedia</t>
        </is>
      </c>
      <c r="B280" s="52" t="inlineStr">
        <is>
          <t>p_generic_post</t>
        </is>
      </c>
      <c r="C280" s="52" t="inlineStr">
        <is>
          <t>Pride posts and LGBTQ+ travel content (Orbitz/Expedia brands)</t>
        </is>
      </c>
      <c r="D280" s="51" t="inlineStr">
        <is>
          <t>Cosmetic</t>
        </is>
      </c>
      <c r="E280" s="51" t="inlineStr">
        <is>
          <t>Positive</t>
        </is>
      </c>
      <c r="F280" s="51" t="n">
        <v>2</v>
      </c>
      <c r="G280" s="51" t="n">
        <v>2024</v>
      </c>
      <c r="H280" s="52" t="inlineStr">
        <is>
          <t>https://web.archive.org/web/2024/https://www.expediagroup.com/who-we-are/our-commitments/inclusion-diversity</t>
        </is>
      </c>
      <c r="I280" s="52" t="inlineStr">
        <is>
          <t>Archive</t>
        </is>
      </c>
      <c r="J280" s="51" t="inlineStr">
        <is>
          <t>No</t>
        </is>
      </c>
      <c r="K280" s="52" t="inlineStr"/>
    </row>
    <row r="281" ht="23.25" customHeight="1" s="42">
      <c r="A281" s="52" t="inlineStr">
        <is>
          <t>Expedia</t>
        </is>
      </c>
      <c r="B281" s="52" t="inlineStr">
        <is>
          <t>p_collab</t>
        </is>
      </c>
      <c r="C281" s="52" t="inlineStr">
        <is>
          <t>Orbitz legacy of dedicated LGBTQ+ travel marketing and partnerships</t>
        </is>
      </c>
      <c r="D281" s="51" t="inlineStr">
        <is>
          <t>Commercial</t>
        </is>
      </c>
      <c r="E281" s="51" t="inlineStr">
        <is>
          <t>Positive</t>
        </is>
      </c>
      <c r="F281" s="51" t="n">
        <v>8</v>
      </c>
      <c r="G281" s="51" t="n">
        <v>2023</v>
      </c>
      <c r="H281" s="52" t="inlineStr">
        <is>
          <t>https://web.archive.org/web/2023/https://www.orbitz.com/lgbt-travel/</t>
        </is>
      </c>
      <c r="I281" s="52" t="inlineStr">
        <is>
          <t>Archive</t>
        </is>
      </c>
      <c r="J281" s="51" t="inlineStr">
        <is>
          <t>No</t>
        </is>
      </c>
      <c r="K281" s="52" t="inlineStr"/>
    </row>
    <row r="282" ht="23.25" customHeight="1" s="42">
      <c r="A282" s="52" t="inlineStr">
        <is>
          <t>Procter &amp; Gamble</t>
        </is>
      </c>
      <c r="B282" s="52" t="inlineStr">
        <is>
          <t>p_generic_post</t>
        </is>
      </c>
      <c r="C282" s="52" t="inlineStr">
        <is>
          <t>Annual Pride Month posts and brand campaigns</t>
        </is>
      </c>
      <c r="D282" s="51" t="inlineStr">
        <is>
          <t>Cosmetic</t>
        </is>
      </c>
      <c r="E282" s="51" t="inlineStr">
        <is>
          <t>Positive</t>
        </is>
      </c>
      <c r="F282" s="51" t="n">
        <v>2</v>
      </c>
      <c r="G282" s="51" t="n">
        <v>2025</v>
      </c>
      <c r="H282" s="52" t="inlineStr">
        <is>
          <t>https://us.pg.com/blogs/dei-matters-a-sons-perspective/</t>
        </is>
      </c>
      <c r="I282" s="52" t="inlineStr">
        <is>
          <t>Company</t>
        </is>
      </c>
      <c r="J282" s="51" t="inlineStr">
        <is>
          <t>Yes</t>
        </is>
      </c>
      <c r="K282" s="52" t="inlineStr"/>
    </row>
    <row r="283" ht="23.25" customHeight="1" s="42">
      <c r="A283" s="52" t="inlineStr">
        <is>
          <t>Procter &amp; Gamble</t>
        </is>
      </c>
      <c r="B283" s="52" t="inlineStr">
        <is>
          <t>p_collab</t>
        </is>
      </c>
      <c r="C283" s="52" t="inlineStr">
        <is>
          <t>Queer-inclusive brand campaigns (Pantene, Gillette's first trans shaving ad) and GLAAD advertising-visibility research partnership</t>
        </is>
      </c>
      <c r="D283" s="51" t="inlineStr">
        <is>
          <t>Commercial</t>
        </is>
      </c>
      <c r="E283" s="51" t="inlineStr">
        <is>
          <t>Positive</t>
        </is>
      </c>
      <c r="F283" s="51" t="n">
        <v>8</v>
      </c>
      <c r="G283" s="51" t="n">
        <v>2024</v>
      </c>
      <c r="H283" s="52" t="inlineStr">
        <is>
          <t>https://adage.com/article/marketing-news-strategy/pg-and-unilever-extend-lgbtq-efforts-well-beyond-pride-month/2417571/</t>
        </is>
      </c>
      <c r="I283" s="52" t="inlineStr">
        <is>
          <t>News</t>
        </is>
      </c>
      <c r="J283" s="51" t="inlineStr">
        <is>
          <t>No</t>
        </is>
      </c>
      <c r="K283" s="52" t="inlineStr"/>
    </row>
    <row r="284" ht="23.25" customHeight="1" s="42">
      <c r="A284" s="52" t="inlineStr">
        <is>
          <t>Procter &amp; Gamble</t>
        </is>
      </c>
      <c r="B284" s="52" t="inlineStr">
        <is>
          <t>p_dei_explicit</t>
        </is>
      </c>
      <c r="C284" s="52" t="inlineStr">
        <is>
          <t>Reaffirmed workforce inclusion commitments in annual report and public statements ('This cannot change')</t>
        </is>
      </c>
      <c r="D284" s="51" t="inlineStr">
        <is>
          <t>Structural</t>
        </is>
      </c>
      <c r="E284" s="51" t="inlineStr">
        <is>
          <t>Positive</t>
        </is>
      </c>
      <c r="F284" s="51" t="n">
        <v>20</v>
      </c>
      <c r="G284" s="51" t="n">
        <v>2025</v>
      </c>
      <c r="H284" s="52" t="inlineStr">
        <is>
          <t>https://buildremote.co/dei/procter-and-gamble/</t>
        </is>
      </c>
      <c r="I284" s="52" t="inlineStr">
        <is>
          <t>News</t>
        </is>
      </c>
      <c r="J284" s="51" t="inlineStr">
        <is>
          <t>Yes</t>
        </is>
      </c>
      <c r="K284" s="52" t="inlineStr"/>
    </row>
    <row r="285" ht="23.25" customHeight="1" s="42">
      <c r="A285" s="52" t="inlineStr">
        <is>
          <t>Procter &amp; Gamble</t>
        </is>
      </c>
      <c r="B285" s="52" t="inlineStr">
        <is>
          <t>p_benefits</t>
        </is>
      </c>
      <c r="C285" s="52" t="inlineStr">
        <is>
          <t>Inclusive partner and gender-affirming benefits; CEI 100 in 2025</t>
        </is>
      </c>
      <c r="D285" s="51" t="inlineStr">
        <is>
          <t>Structural</t>
        </is>
      </c>
      <c r="E285" s="51" t="inlineStr">
        <is>
          <t>Positive</t>
        </is>
      </c>
      <c r="F285" s="51" t="n">
        <v>22</v>
      </c>
      <c r="G285" s="51" t="n">
        <v>2025</v>
      </c>
      <c r="H285" s="52" t="inlineStr">
        <is>
          <t>https://www.hrc.org/resources/corporations/procter-gamble-co.</t>
        </is>
      </c>
      <c r="I285" s="52" t="inlineStr">
        <is>
          <t>HRC</t>
        </is>
      </c>
      <c r="J285" s="51" t="inlineStr">
        <is>
          <t>No</t>
        </is>
      </c>
      <c r="K285" s="52" t="inlineStr"/>
    </row>
    <row r="286" ht="23.25" customHeight="1" s="42">
      <c r="A286" s="52" t="inlineStr">
        <is>
          <t>Unilever</t>
        </is>
      </c>
      <c r="B286" s="52" t="inlineStr">
        <is>
          <t>p_generic_post</t>
        </is>
      </c>
      <c r="C286" s="52" t="inlineStr">
        <is>
          <t>Pride campaigns across brands (Dove, Ben &amp; Jerry's, Closeup)</t>
        </is>
      </c>
      <c r="D286" s="51" t="inlineStr">
        <is>
          <t>Cosmetic</t>
        </is>
      </c>
      <c r="E286" s="51" t="inlineStr">
        <is>
          <t>Positive</t>
        </is>
      </c>
      <c r="F286" s="51" t="n">
        <v>2</v>
      </c>
      <c r="G286" s="51" t="n">
        <v>2024</v>
      </c>
      <c r="H286" s="52" t="inlineStr">
        <is>
          <t>https://adage.com/article/marketing-news-strategy/pg-and-unilever-extend-lgbtq-efforts-well-beyond-pride-month/2417571/</t>
        </is>
      </c>
      <c r="I286" s="52" t="inlineStr">
        <is>
          <t>News</t>
        </is>
      </c>
      <c r="J286" s="51" t="inlineStr">
        <is>
          <t>No</t>
        </is>
      </c>
      <c r="K286" s="52" t="inlineStr"/>
    </row>
    <row r="287" ht="23.25" customHeight="1" s="42">
      <c r="A287" s="52" t="inlineStr">
        <is>
          <t>Unilever</t>
        </is>
      </c>
      <c r="B287" s="52" t="inlineStr">
        <is>
          <t>p_collab</t>
        </is>
      </c>
      <c r="C287" s="52" t="inlineStr">
        <is>
          <t>Ben &amp; Jerry's sustained LGBTQ+ activism and campaign partnerships; Dove inclusive campaigns</t>
        </is>
      </c>
      <c r="D287" s="51" t="inlineStr">
        <is>
          <t>Commercial</t>
        </is>
      </c>
      <c r="E287" s="51" t="inlineStr">
        <is>
          <t>Positive</t>
        </is>
      </c>
      <c r="F287" s="51" t="n">
        <v>8</v>
      </c>
      <c r="G287" s="51" t="n">
        <v>2024</v>
      </c>
      <c r="H287" s="52" t="inlineStr">
        <is>
          <t>https://adage.com/article/marketing-news-strategy/pg-and-unilever-extend-lgbtq-efforts-well-beyond-pride-month/2417571/</t>
        </is>
      </c>
      <c r="I287" s="52" t="inlineStr">
        <is>
          <t>News</t>
        </is>
      </c>
      <c r="J287" s="51" t="inlineStr">
        <is>
          <t>No</t>
        </is>
      </c>
      <c r="K287" s="52" t="inlineStr"/>
    </row>
    <row r="288" ht="23.25" customHeight="1" s="42">
      <c r="A288" s="52" t="inlineStr">
        <is>
          <t>Unilever</t>
        </is>
      </c>
      <c r="B288" s="52" t="inlineStr">
        <is>
          <t>p_benefits</t>
        </is>
      </c>
      <c r="C288" s="52" t="inlineStr">
        <is>
          <t>Inclusive partner and gender-affirming benefits (CEI-verified)</t>
        </is>
      </c>
      <c r="D288" s="51" t="inlineStr">
        <is>
          <t>Structural</t>
        </is>
      </c>
      <c r="E288" s="51" t="inlineStr">
        <is>
          <t>Positive</t>
        </is>
      </c>
      <c r="F288" s="51" t="n">
        <v>22</v>
      </c>
      <c r="G288" s="51" t="n">
        <v>2024</v>
      </c>
      <c r="H288" s="52" t="inlineStr">
        <is>
          <t>https://reports.hrc.org/corporate-equality-index-2025</t>
        </is>
      </c>
      <c r="I288" s="52" t="inlineStr">
        <is>
          <t>HRC</t>
        </is>
      </c>
      <c r="J288" s="51" t="inlineStr">
        <is>
          <t>No</t>
        </is>
      </c>
      <c r="K288" s="52" t="inlineStr"/>
    </row>
    <row r="289" ht="23.25" customHeight="1" s="42">
      <c r="A289" s="52" t="inlineStr">
        <is>
          <t>Kellanova</t>
        </is>
      </c>
      <c r="B289" s="52" t="inlineStr">
        <is>
          <t>p_generic_post</t>
        </is>
      </c>
      <c r="C289" s="52" t="inlineStr">
        <is>
          <t>Pride Month posts and engagement</t>
        </is>
      </c>
      <c r="D289" s="51" t="inlineStr">
        <is>
          <t>Cosmetic</t>
        </is>
      </c>
      <c r="E289" s="51" t="inlineStr">
        <is>
          <t>Positive</t>
        </is>
      </c>
      <c r="F289" s="51" t="n">
        <v>2</v>
      </c>
      <c r="G289" s="51" t="n">
        <v>2024</v>
      </c>
      <c r="H289" s="52" t="inlineStr">
        <is>
          <t>https://web.archive.org/web/2024/https://www.kellanova.com/us/en/our-difference/diversity-equity-inclusion.html</t>
        </is>
      </c>
      <c r="I289" s="52" t="inlineStr">
        <is>
          <t>Archive</t>
        </is>
      </c>
      <c r="J289" s="51" t="inlineStr">
        <is>
          <t>No</t>
        </is>
      </c>
      <c r="K289" s="52" t="inlineStr"/>
    </row>
    <row r="290" ht="23.25" customHeight="1" s="42">
      <c r="A290" s="52" t="inlineStr">
        <is>
          <t>Kellanova</t>
        </is>
      </c>
      <c r="B290" s="52" t="inlineStr">
        <is>
          <t>p_merch_proceeds</t>
        </is>
      </c>
      <c r="C290" s="52" t="inlineStr">
        <is>
          <t>'Together With Pride' cereal benefiting GLAAD ($3 donation per box upload), as Kellogg's</t>
        </is>
      </c>
      <c r="D290" s="51" t="inlineStr">
        <is>
          <t>Commercial</t>
        </is>
      </c>
      <c r="E290" s="51" t="inlineStr">
        <is>
          <t>Positive</t>
        </is>
      </c>
      <c r="F290" s="51" t="n">
        <v>10</v>
      </c>
      <c r="G290" s="51" t="n">
        <v>2021</v>
      </c>
      <c r="H290" s="52" t="inlineStr">
        <is>
          <t>https://web.archive.org/web/2021/https://newsroom.kelloggcompany.com/2021-05-17-Kelloggs-R-and-GLAAD-Together-With-Pride</t>
        </is>
      </c>
      <c r="I290" s="52" t="inlineStr">
        <is>
          <t>Archive</t>
        </is>
      </c>
      <c r="J290" s="51" t="inlineStr">
        <is>
          <t>No</t>
        </is>
      </c>
      <c r="K290" s="52" t="inlineStr"/>
    </row>
    <row r="291" ht="23.25" customHeight="1" s="42">
      <c r="A291" s="52" t="inlineStr">
        <is>
          <t>General Mills</t>
        </is>
      </c>
      <c r="B291" s="52" t="inlineStr">
        <is>
          <t>p_generic_post</t>
        </is>
      </c>
      <c r="C291" s="52" t="inlineStr">
        <is>
          <t>Pride Month posts and inclusive brand campaigns (Lucky Charms, Cheerios)</t>
        </is>
      </c>
      <c r="D291" s="51" t="inlineStr">
        <is>
          <t>Cosmetic</t>
        </is>
      </c>
      <c r="E291" s="51" t="inlineStr">
        <is>
          <t>Positive</t>
        </is>
      </c>
      <c r="F291" s="51" t="n">
        <v>2</v>
      </c>
      <c r="G291" s="51" t="n">
        <v>2024</v>
      </c>
      <c r="H291" s="52" t="inlineStr">
        <is>
          <t>https://web.archive.org/web/2024/https://www.generalmills.com/how-we-make-it/healthier-planet/global-impact/diversity-equity-inclusion</t>
        </is>
      </c>
      <c r="I291" s="52" t="inlineStr">
        <is>
          <t>Archive</t>
        </is>
      </c>
      <c r="J291" s="51" t="inlineStr">
        <is>
          <t>No</t>
        </is>
      </c>
      <c r="K291" s="52" t="inlineStr"/>
    </row>
    <row r="292" ht="23.25" customHeight="1" s="42">
      <c r="A292" s="52" t="inlineStr">
        <is>
          <t>General Mills</t>
        </is>
      </c>
      <c r="B292" s="52" t="inlineStr">
        <is>
          <t>p_benefits</t>
        </is>
      </c>
      <c r="C292" s="52" t="inlineStr">
        <is>
          <t>Inclusive partner and gender-affirming benefits (CEI-verified)</t>
        </is>
      </c>
      <c r="D292" s="51" t="inlineStr">
        <is>
          <t>Structural</t>
        </is>
      </c>
      <c r="E292" s="51" t="inlineStr">
        <is>
          <t>Positive</t>
        </is>
      </c>
      <c r="F292" s="51" t="n">
        <v>22</v>
      </c>
      <c r="G292" s="51" t="n">
        <v>2024</v>
      </c>
      <c r="H292" s="52" t="inlineStr">
        <is>
          <t>https://reports.hrc.org/corporate-equality-index-2025</t>
        </is>
      </c>
      <c r="I292" s="52" t="inlineStr">
        <is>
          <t>HRC</t>
        </is>
      </c>
      <c r="J292" s="51" t="inlineStr">
        <is>
          <t>No</t>
        </is>
      </c>
      <c r="K292" s="52" t="inlineStr"/>
    </row>
    <row r="293" ht="23.25" customHeight="1" s="42">
      <c r="A293" s="52" t="inlineStr">
        <is>
          <t>Colgate-Palmolive</t>
        </is>
      </c>
      <c r="B293" s="52" t="inlineStr">
        <is>
          <t>p_generic_post</t>
        </is>
      </c>
      <c r="C293" s="52" t="inlineStr">
        <is>
          <t>Pride Month posts and engagement</t>
        </is>
      </c>
      <c r="D293" s="51" t="inlineStr">
        <is>
          <t>Cosmetic</t>
        </is>
      </c>
      <c r="E293" s="51" t="inlineStr">
        <is>
          <t>Positive</t>
        </is>
      </c>
      <c r="F293" s="51" t="n">
        <v>2</v>
      </c>
      <c r="G293" s="51" t="n">
        <v>2024</v>
      </c>
      <c r="H293" s="52" t="inlineStr">
        <is>
          <t>https://web.archive.org/web/2024/https://www.colgatepalmolive.com/en-us/who-we-are/diversity-equity-inclusion</t>
        </is>
      </c>
      <c r="I293" s="52" t="inlineStr">
        <is>
          <t>Archive</t>
        </is>
      </c>
      <c r="J293" s="51" t="inlineStr">
        <is>
          <t>No</t>
        </is>
      </c>
      <c r="K293" s="52" t="inlineStr"/>
    </row>
    <row r="294" ht="23.25" customHeight="1" s="42">
      <c r="A294" s="52" t="inlineStr">
        <is>
          <t>Colgate-Palmolive</t>
        </is>
      </c>
      <c r="B294" s="52" t="inlineStr">
        <is>
          <t>p_benefits</t>
        </is>
      </c>
      <c r="C294" s="52" t="inlineStr">
        <is>
          <t>Inclusive partner and gender-affirming benefits (CEI-verified)</t>
        </is>
      </c>
      <c r="D294" s="51" t="inlineStr">
        <is>
          <t>Structural</t>
        </is>
      </c>
      <c r="E294" s="51" t="inlineStr">
        <is>
          <t>Positive</t>
        </is>
      </c>
      <c r="F294" s="51" t="n">
        <v>22</v>
      </c>
      <c r="G294" s="51" t="n">
        <v>2024</v>
      </c>
      <c r="H294" s="52" t="inlineStr">
        <is>
          <t>https://reports.hrc.org/corporate-equality-index-2025</t>
        </is>
      </c>
      <c r="I294" s="52" t="inlineStr">
        <is>
          <t>HRC</t>
        </is>
      </c>
      <c r="J294" s="51" t="inlineStr">
        <is>
          <t>No</t>
        </is>
      </c>
      <c r="K294" s="52" t="inlineStr"/>
    </row>
    <row r="295" ht="23.25" customHeight="1" s="42">
      <c r="A295" s="52" t="inlineStr">
        <is>
          <t>Lockheed Martin</t>
        </is>
      </c>
      <c r="B295" s="52" t="inlineStr">
        <is>
          <t>p_generic_post</t>
        </is>
      </c>
      <c r="C295" s="52" t="inlineStr">
        <is>
          <t>Pride Month posts and engagement (through 2024)</t>
        </is>
      </c>
      <c r="D295" s="51" t="inlineStr">
        <is>
          <t>Cosmetic</t>
        </is>
      </c>
      <c r="E295" s="51" t="inlineStr">
        <is>
          <t>Positive</t>
        </is>
      </c>
      <c r="F295" s="51" t="n">
        <v>2</v>
      </c>
      <c r="G295" s="51" t="n">
        <v>2024</v>
      </c>
      <c r="H295" s="52" t="inlineStr">
        <is>
          <t>https://web.archive.org/web/2024/https://www.lockheedmartin.com/en-us/who-we-are/global-diversity-inclusion.html</t>
        </is>
      </c>
      <c r="I295" s="52" t="inlineStr">
        <is>
          <t>Archive</t>
        </is>
      </c>
      <c r="J295" s="51" t="inlineStr">
        <is>
          <t>No</t>
        </is>
      </c>
      <c r="K295" s="52" t="inlineStr"/>
    </row>
    <row r="296" ht="23.25" customHeight="1" s="42">
      <c r="A296" s="52" t="inlineStr">
        <is>
          <t>Lockheed Martin</t>
        </is>
      </c>
      <c r="B296" s="52" t="inlineStr">
        <is>
          <t>p_erg_support</t>
        </is>
      </c>
      <c r="C296" s="52" t="inlineStr">
        <is>
          <t>Funded LGBTQ+ employee resource group (PRIDE)</t>
        </is>
      </c>
      <c r="D296" s="51" t="inlineStr">
        <is>
          <t>Civic</t>
        </is>
      </c>
      <c r="E296" s="51" t="inlineStr">
        <is>
          <t>Positive</t>
        </is>
      </c>
      <c r="F296" s="51" t="n">
        <v>15</v>
      </c>
      <c r="G296" s="51" t="n">
        <v>2024</v>
      </c>
      <c r="H296" s="52" t="inlineStr">
        <is>
          <t>https://web.archive.org/web/2024/https://www.lockheedmartin.com/en-us/who-we-are/global-diversity-inclusion.html</t>
        </is>
      </c>
      <c r="I296" s="52" t="inlineStr">
        <is>
          <t>Archive</t>
        </is>
      </c>
      <c r="J296" s="51" t="inlineStr">
        <is>
          <t>No</t>
        </is>
      </c>
      <c r="K296" s="52" t="inlineStr"/>
    </row>
    <row r="297" ht="23.25" customHeight="1" s="42">
      <c r="A297" s="52" t="inlineStr">
        <is>
          <t>Lockheed Martin</t>
        </is>
      </c>
      <c r="B297" s="52" t="inlineStr">
        <is>
          <t>n_dei_removal</t>
        </is>
      </c>
      <c r="C297" s="52" t="inlineStr">
        <is>
          <t>Publicly announced compliance with anti-DEI executive order; DEI webpages removed (dead links)</t>
        </is>
      </c>
      <c r="D297" s="51" t="inlineStr">
        <is>
          <t>—</t>
        </is>
      </c>
      <c r="E297" s="51" t="inlineStr">
        <is>
          <t>Negative</t>
        </is>
      </c>
      <c r="F297" s="51" t="n">
        <v>-32</v>
      </c>
      <c r="G297" s="51" t="n">
        <v>2025</v>
      </c>
      <c r="H297" s="52" t="inlineStr">
        <is>
          <t>https://www.defensedaily.com/as-some-top-defense-companies-stay-mum-lockheed-martin-says-it-will-abide-by-trump-executive-order-on-dei/pentagon/</t>
        </is>
      </c>
      <c r="I297" s="52" t="inlineStr">
        <is>
          <t>News</t>
        </is>
      </c>
      <c r="J297" s="51" t="inlineStr">
        <is>
          <t>Yes</t>
        </is>
      </c>
      <c r="K297" s="52" t="inlineStr">
        <is>
          <t>Sector page-removal pattern: https://breakingdefense.com/2025/02/dei-doa-how-the-defense-industry-is-racing-to-bury-its-diversity-efforts/ ; archived before-state: https://web.archive.org/web/2024/https://www.lockheedmartin.com/en-us/who-we-are/global-diversity-inclusion.html</t>
        </is>
      </c>
    </row>
    <row r="298" ht="23.25" customHeight="1" s="42">
      <c r="A298" s="52" t="inlineStr">
        <is>
          <t>RTX (Raytheon)</t>
        </is>
      </c>
      <c r="B298" s="52" t="inlineStr">
        <is>
          <t>p_generic_post</t>
        </is>
      </c>
      <c r="C298" s="52" t="inlineStr">
        <is>
          <t>Pride Month posts and engagement (through 2024)</t>
        </is>
      </c>
      <c r="D298" s="51" t="inlineStr">
        <is>
          <t>Cosmetic</t>
        </is>
      </c>
      <c r="E298" s="51" t="inlineStr">
        <is>
          <t>Positive</t>
        </is>
      </c>
      <c r="F298" s="51" t="n">
        <v>2</v>
      </c>
      <c r="G298" s="51" t="n">
        <v>2024</v>
      </c>
      <c r="H298" s="52" t="inlineStr">
        <is>
          <t>https://web.archive.org/web/2024/https://www.rtx.com/who-we-are/we-are-rtx/diversity-equity-and-inclusion</t>
        </is>
      </c>
      <c r="I298" s="52" t="inlineStr">
        <is>
          <t>Archive</t>
        </is>
      </c>
      <c r="J298" s="51" t="inlineStr">
        <is>
          <t>No</t>
        </is>
      </c>
      <c r="K298" s="52" t="inlineStr"/>
    </row>
    <row r="299" ht="23.25" customHeight="1" s="42">
      <c r="A299" s="52" t="inlineStr">
        <is>
          <t>RTX (Raytheon)</t>
        </is>
      </c>
      <c r="B299" s="52" t="inlineStr">
        <is>
          <t>p_erg_support</t>
        </is>
      </c>
      <c r="C299" s="52" t="inlineStr">
        <is>
          <t>Funded LGBTQ+ employee resource group</t>
        </is>
      </c>
      <c r="D299" s="51" t="inlineStr">
        <is>
          <t>Civic</t>
        </is>
      </c>
      <c r="E299" s="51" t="inlineStr">
        <is>
          <t>Positive</t>
        </is>
      </c>
      <c r="F299" s="51" t="n">
        <v>15</v>
      </c>
      <c r="G299" s="51" t="n">
        <v>2024</v>
      </c>
      <c r="H299" s="52" t="inlineStr">
        <is>
          <t>https://web.archive.org/web/2024/https://www.rtx.com/who-we-are/we-are-rtx/diversity-equity-and-inclusion</t>
        </is>
      </c>
      <c r="I299" s="52" t="inlineStr">
        <is>
          <t>Archive</t>
        </is>
      </c>
      <c r="J299" s="51" t="inlineStr">
        <is>
          <t>No</t>
        </is>
      </c>
      <c r="K299" s="52" t="inlineStr"/>
    </row>
    <row r="300" ht="23.25" customHeight="1" s="42">
      <c r="A300" s="52" t="inlineStr">
        <is>
          <t>RTX (Raytheon)</t>
        </is>
      </c>
      <c r="B300" s="52" t="inlineStr">
        <is>
          <t>n_dei_removal</t>
        </is>
      </c>
      <c r="C300" s="52" t="inlineStr">
        <is>
          <t>Removed DEI webpages (now dead links) without announcement in early-2025 defense retreat</t>
        </is>
      </c>
      <c r="D300" s="51" t="inlineStr">
        <is>
          <t>—</t>
        </is>
      </c>
      <c r="E300" s="51" t="inlineStr">
        <is>
          <t>Negative</t>
        </is>
      </c>
      <c r="F300" s="51" t="n">
        <v>-32</v>
      </c>
      <c r="G300" s="51" t="n">
        <v>2025</v>
      </c>
      <c r="H300" s="52" t="inlineStr">
        <is>
          <t>https://breakingdefense.com/2025/02/dei-doa-how-the-defense-industry-is-racing-to-bury-its-diversity-efforts/</t>
        </is>
      </c>
      <c r="I300" s="52" t="inlineStr">
        <is>
          <t>News</t>
        </is>
      </c>
      <c r="J300" s="51" t="inlineStr">
        <is>
          <t>Yes</t>
        </is>
      </c>
      <c r="K300" s="52" t="inlineStr">
        <is>
          <t>Archived before-state: https://web.archive.org/web/2024/https://www.rtx.com/who-we-are/we-are-rtx/diversity-equity-and-inclusion</t>
        </is>
      </c>
    </row>
    <row r="301" ht="23.25" customHeight="1" s="42">
      <c r="A301" s="52" t="inlineStr">
        <is>
          <t>Boeing</t>
        </is>
      </c>
      <c r="B301" s="52" t="inlineStr">
        <is>
          <t>p_generic_post</t>
        </is>
      </c>
      <c r="C301" s="52" t="inlineStr">
        <is>
          <t>Pride Month posts and engagement (through 2024)</t>
        </is>
      </c>
      <c r="D301" s="51" t="inlineStr">
        <is>
          <t>Cosmetic</t>
        </is>
      </c>
      <c r="E301" s="51" t="inlineStr">
        <is>
          <t>Positive</t>
        </is>
      </c>
      <c r="F301" s="51" t="n">
        <v>2</v>
      </c>
      <c r="G301" s="51" t="n">
        <v>2024</v>
      </c>
      <c r="H301" s="52" t="inlineStr">
        <is>
          <t>https://web.archive.org/web/2024/https://www.boeing.com/principles/diversity-and-inclusion</t>
        </is>
      </c>
      <c r="I301" s="52" t="inlineStr">
        <is>
          <t>Archive</t>
        </is>
      </c>
      <c r="J301" s="51" t="inlineStr">
        <is>
          <t>No</t>
        </is>
      </c>
      <c r="K301" s="52" t="inlineStr"/>
    </row>
    <row r="302" ht="23.25" customHeight="1" s="42">
      <c r="A302" s="52" t="inlineStr">
        <is>
          <t>Boeing</t>
        </is>
      </c>
      <c r="B302" s="52" t="inlineStr">
        <is>
          <t>p_erg_support</t>
        </is>
      </c>
      <c r="C302" s="52" t="inlineStr">
        <is>
          <t>Funded Boeing Pride employee resource group</t>
        </is>
      </c>
      <c r="D302" s="51" t="inlineStr">
        <is>
          <t>Civic</t>
        </is>
      </c>
      <c r="E302" s="51" t="inlineStr">
        <is>
          <t>Positive</t>
        </is>
      </c>
      <c r="F302" s="51" t="n">
        <v>15</v>
      </c>
      <c r="G302" s="51" t="n">
        <v>2024</v>
      </c>
      <c r="H302" s="52" t="inlineStr">
        <is>
          <t>https://web.archive.org/web/2024/https://www.boeing.com/principles/diversity-and-inclusion</t>
        </is>
      </c>
      <c r="I302" s="52" t="inlineStr">
        <is>
          <t>Archive</t>
        </is>
      </c>
      <c r="J302" s="51" t="inlineStr">
        <is>
          <t>No</t>
        </is>
      </c>
      <c r="K302" s="52" t="inlineStr"/>
    </row>
    <row r="303" ht="23.25" customHeight="1" s="42">
      <c r="A303" s="52" t="inlineStr">
        <is>
          <t>Boeing</t>
        </is>
      </c>
      <c r="B303" s="52" t="inlineStr">
        <is>
          <t>n_dei_removal</t>
        </is>
      </c>
      <c r="C303" s="52" t="inlineStr">
        <is>
          <t>Dismantled global DEI department (Nov 2024); DEI web presence later reduced in sector-wide scrub</t>
        </is>
      </c>
      <c r="D303" s="51" t="inlineStr">
        <is>
          <t>—</t>
        </is>
      </c>
      <c r="E303" s="51" t="inlineStr">
        <is>
          <t>Negative</t>
        </is>
      </c>
      <c r="F303" s="51" t="n">
        <v>-32</v>
      </c>
      <c r="G303" s="51" t="n">
        <v>2024</v>
      </c>
      <c r="H303" s="52" t="inlineStr">
        <is>
          <t>https://www.techtarget.com/whatis/feature/What-companies-are-rolling-back-DEI-policies</t>
        </is>
      </c>
      <c r="I303" s="52" t="inlineStr">
        <is>
          <t>News</t>
        </is>
      </c>
      <c r="J303" s="51" t="inlineStr">
        <is>
          <t>No</t>
        </is>
      </c>
      <c r="K303" s="52" t="inlineStr">
        <is>
          <t>Archived before-state: https://web.archive.org/web/2024/https://www.boeing.com/principles/diversity-and-inclusion</t>
        </is>
      </c>
    </row>
    <row r="304" ht="23.25" customHeight="1" s="42">
      <c r="A304" s="52" t="inlineStr">
        <is>
          <t>Adobe</t>
        </is>
      </c>
      <c r="B304" s="52" t="inlineStr">
        <is>
          <t>p_generic_post</t>
        </is>
      </c>
      <c r="C304" s="52" t="inlineStr">
        <is>
          <t>Annual Pride Month posts and engagement</t>
        </is>
      </c>
      <c r="D304" s="51" t="inlineStr">
        <is>
          <t>Cosmetic</t>
        </is>
      </c>
      <c r="E304" s="51" t="inlineStr">
        <is>
          <t>Positive</t>
        </is>
      </c>
      <c r="F304" s="51" t="n">
        <v>2</v>
      </c>
      <c r="G304" s="51" t="n">
        <v>2024</v>
      </c>
      <c r="H304" s="52" t="inlineStr">
        <is>
          <t>https://web.archive.org/web/2024/https://www.adobe.com/diversity.html</t>
        </is>
      </c>
      <c r="I304" s="52" t="inlineStr">
        <is>
          <t>Archive</t>
        </is>
      </c>
      <c r="J304" s="51" t="inlineStr">
        <is>
          <t>No</t>
        </is>
      </c>
      <c r="K304" s="52" t="inlineStr"/>
    </row>
    <row r="305" ht="23.25" customHeight="1" s="42">
      <c r="A305" s="52" t="inlineStr">
        <is>
          <t>Adobe</t>
        </is>
      </c>
      <c r="B305" s="52" t="inlineStr">
        <is>
          <t>p_benefits</t>
        </is>
      </c>
      <c r="C305" s="52" t="inlineStr">
        <is>
          <t>Inclusive partner and gender-affirming benefits (CEI-verified)</t>
        </is>
      </c>
      <c r="D305" s="51" t="inlineStr">
        <is>
          <t>Structural</t>
        </is>
      </c>
      <c r="E305" s="51" t="inlineStr">
        <is>
          <t>Positive</t>
        </is>
      </c>
      <c r="F305" s="51" t="n">
        <v>22</v>
      </c>
      <c r="G305" s="51" t="n">
        <v>2024</v>
      </c>
      <c r="H305" s="52" t="inlineStr">
        <is>
          <t>https://reports.hrc.org/corporate-equality-index-2025</t>
        </is>
      </c>
      <c r="I305" s="52" t="inlineStr">
        <is>
          <t>HRC</t>
        </is>
      </c>
      <c r="J305" s="51" t="inlineStr">
        <is>
          <t>No</t>
        </is>
      </c>
      <c r="K305" s="52" t="inlineStr"/>
    </row>
    <row r="306" ht="23.25" customHeight="1" s="42">
      <c r="A306" s="52" t="inlineStr">
        <is>
          <t>Intel</t>
        </is>
      </c>
      <c r="B306" s="52" t="inlineStr">
        <is>
          <t>p_generic_post</t>
        </is>
      </c>
      <c r="C306" s="52" t="inlineStr">
        <is>
          <t>Annual Pride posts and engagement</t>
        </is>
      </c>
      <c r="D306" s="51" t="inlineStr">
        <is>
          <t>Cosmetic</t>
        </is>
      </c>
      <c r="E306" s="51" t="inlineStr">
        <is>
          <t>Positive</t>
        </is>
      </c>
      <c r="F306" s="51" t="n">
        <v>2</v>
      </c>
      <c r="G306" s="51" t="n">
        <v>2024</v>
      </c>
      <c r="H306" s="52" t="inlineStr">
        <is>
          <t>https://web.archive.org/web/2024/https://www.intel.com/content/www/us/en/diversity/diversity-at-intel.html</t>
        </is>
      </c>
      <c r="I306" s="52" t="inlineStr">
        <is>
          <t>Archive</t>
        </is>
      </c>
      <c r="J306" s="51" t="inlineStr">
        <is>
          <t>No</t>
        </is>
      </c>
      <c r="K306" s="52" t="inlineStr"/>
    </row>
    <row r="307" ht="23.25" customHeight="1" s="42">
      <c r="A307" s="52" t="inlineStr">
        <is>
          <t>Intel</t>
        </is>
      </c>
      <c r="B307" s="52" t="inlineStr">
        <is>
          <t>p_erg_support</t>
        </is>
      </c>
      <c r="C307" s="52" t="inlineStr">
        <is>
          <t>Funded IGLOBE LGBTQ+ employee resource group</t>
        </is>
      </c>
      <c r="D307" s="51" t="inlineStr">
        <is>
          <t>Civic</t>
        </is>
      </c>
      <c r="E307" s="51" t="inlineStr">
        <is>
          <t>Positive</t>
        </is>
      </c>
      <c r="F307" s="51" t="n">
        <v>15</v>
      </c>
      <c r="G307" s="51" t="n">
        <v>2024</v>
      </c>
      <c r="H307" s="52" t="inlineStr">
        <is>
          <t>https://web.archive.org/web/2024/https://www.intel.com/content/www/us/en/diversity/diversity-at-intel.html</t>
        </is>
      </c>
      <c r="I307" s="52" t="inlineStr">
        <is>
          <t>Archive</t>
        </is>
      </c>
      <c r="J307" s="51" t="inlineStr">
        <is>
          <t>No</t>
        </is>
      </c>
      <c r="K307" s="52" t="inlineStr"/>
    </row>
    <row r="308" ht="23.25" customHeight="1" s="42">
      <c r="A308" s="52" t="inlineStr">
        <is>
          <t>Intel</t>
        </is>
      </c>
      <c r="B308" s="52" t="inlineStr">
        <is>
          <t>p_benefits</t>
        </is>
      </c>
      <c r="C308" s="52" t="inlineStr">
        <is>
          <t>Inclusive partner and gender-affirming benefits (CEI-verified)</t>
        </is>
      </c>
      <c r="D308" s="51" t="inlineStr">
        <is>
          <t>Structural</t>
        </is>
      </c>
      <c r="E308" s="51" t="inlineStr">
        <is>
          <t>Positive</t>
        </is>
      </c>
      <c r="F308" s="51" t="n">
        <v>22</v>
      </c>
      <c r="G308" s="51" t="n">
        <v>2024</v>
      </c>
      <c r="H308" s="52" t="inlineStr">
        <is>
          <t>https://reports.hrc.org/corporate-equality-index-2025</t>
        </is>
      </c>
      <c r="I308" s="52" t="inlineStr">
        <is>
          <t>HRC</t>
        </is>
      </c>
      <c r="J308" s="51" t="inlineStr">
        <is>
          <t>No</t>
        </is>
      </c>
      <c r="K308" s="52" t="inlineStr"/>
    </row>
    <row r="309" ht="23.25" customHeight="1" s="42">
      <c r="A309" s="52" t="inlineStr">
        <is>
          <t>Intel</t>
        </is>
      </c>
      <c r="B309" s="52" t="inlineStr">
        <is>
          <t>n_dei_removal</t>
        </is>
      </c>
      <c r="C309" s="52" t="inlineStr">
        <is>
          <t>Cut DEI language and removed some diversity targets from 2025 10-K</t>
        </is>
      </c>
      <c r="D309" s="51" t="inlineStr">
        <is>
          <t>—</t>
        </is>
      </c>
      <c r="E309" s="51" t="inlineStr">
        <is>
          <t>Negative</t>
        </is>
      </c>
      <c r="F309" s="51" t="n">
        <v>-32</v>
      </c>
      <c r="G309" s="51" t="n">
        <v>2025</v>
      </c>
      <c r="H309" s="52" t="inlineStr">
        <is>
          <t>https://techcrunch.com/2025/04/17/here-are-all-the-tech-companies-rolling-back-dei-or-still-committed-to-it-so-far/</t>
        </is>
      </c>
      <c r="I309" s="52" t="inlineStr">
        <is>
          <t>News</t>
        </is>
      </c>
      <c r="J309" s="51" t="inlineStr">
        <is>
          <t>Yes</t>
        </is>
      </c>
      <c r="K309" s="52" t="inlineStr"/>
    </row>
    <row r="310" ht="23.25" customHeight="1" s="42">
      <c r="A310" s="52" t="inlineStr">
        <is>
          <t>Cisco Systems</t>
        </is>
      </c>
      <c r="B310" s="52" t="inlineStr">
        <is>
          <t>p_generic_post</t>
        </is>
      </c>
      <c r="C310" s="52" t="inlineStr">
        <is>
          <t>Annual Pride posts and campaigns</t>
        </is>
      </c>
      <c r="D310" s="51" t="inlineStr">
        <is>
          <t>Cosmetic</t>
        </is>
      </c>
      <c r="E310" s="51" t="inlineStr">
        <is>
          <t>Positive</t>
        </is>
      </c>
      <c r="F310" s="51" t="n">
        <v>2</v>
      </c>
      <c r="G310" s="51" t="n">
        <v>2025</v>
      </c>
      <c r="H310" s="52" t="inlineStr">
        <is>
          <t>https://web.archive.org/web/2025/https://www.cisco.com/c/en/us/about/inclusive-future.html</t>
        </is>
      </c>
      <c r="I310" s="52" t="inlineStr">
        <is>
          <t>Archive</t>
        </is>
      </c>
      <c r="J310" s="51" t="inlineStr">
        <is>
          <t>Yes</t>
        </is>
      </c>
      <c r="K310" s="52" t="inlineStr"/>
    </row>
    <row r="311" ht="23.25" customHeight="1" s="42">
      <c r="A311" s="52" t="inlineStr">
        <is>
          <t>Cisco Systems</t>
        </is>
      </c>
      <c r="B311" s="52" t="inlineStr">
        <is>
          <t>p_benefits</t>
        </is>
      </c>
      <c r="C311" s="52" t="inlineStr">
        <is>
          <t>Inclusive partner and gender-affirming benefits (CEI-verified)</t>
        </is>
      </c>
      <c r="D311" s="51" t="inlineStr">
        <is>
          <t>Structural</t>
        </is>
      </c>
      <c r="E311" s="51" t="inlineStr">
        <is>
          <t>Positive</t>
        </is>
      </c>
      <c r="F311" s="51" t="n">
        <v>22</v>
      </c>
      <c r="G311" s="51" t="n">
        <v>2025</v>
      </c>
      <c r="H311" s="52" t="inlineStr">
        <is>
          <t>https://reports.hrc.org/corporate-equality-index-2025</t>
        </is>
      </c>
      <c r="I311" s="52" t="inlineStr">
        <is>
          <t>HRC</t>
        </is>
      </c>
      <c r="J311" s="51" t="inlineStr">
        <is>
          <t>No</t>
        </is>
      </c>
      <c r="K311" s="52" t="inlineStr"/>
    </row>
    <row r="312" ht="23.25" customHeight="1" s="42">
      <c r="A312" s="52" t="inlineStr">
        <is>
          <t>Cisco Systems</t>
        </is>
      </c>
      <c r="B312" s="52" t="inlineStr">
        <is>
          <t>p_leadership_vocal</t>
        </is>
      </c>
      <c r="C312" s="52" t="inlineStr">
        <is>
          <t>CEO Chuck Robbins publicly defended DEI commitments post-EO: 'too much business value'</t>
        </is>
      </c>
      <c r="D312" s="51" t="inlineStr">
        <is>
          <t>Structural</t>
        </is>
      </c>
      <c r="E312" s="51" t="inlineStr">
        <is>
          <t>Positive</t>
        </is>
      </c>
      <c r="F312" s="51" t="n">
        <v>18</v>
      </c>
      <c r="G312" s="51" t="n">
        <v>2025</v>
      </c>
      <c r="H312" s="52" t="inlineStr">
        <is>
          <t>https://fortune.com/2025/04/04/how-companies-like-delta-and-cisco-are-sticking-up-for-their-dei-policies/</t>
        </is>
      </c>
      <c r="I312" s="52" t="inlineStr">
        <is>
          <t>News</t>
        </is>
      </c>
      <c r="J312" s="51" t="inlineStr">
        <is>
          <t>Yes</t>
        </is>
      </c>
      <c r="K312" s="52" t="inlineStr"/>
    </row>
    <row r="313" ht="23.25" customHeight="1" s="42">
      <c r="A313" s="52" t="inlineStr">
        <is>
          <t>NVIDIA</t>
        </is>
      </c>
      <c r="B313" s="52" t="inlineStr">
        <is>
          <t>p_generic_post</t>
        </is>
      </c>
      <c r="C313" s="52" t="inlineStr">
        <is>
          <t>Pride posts; diversity &amp; belonging page maintained</t>
        </is>
      </c>
      <c r="D313" s="51" t="inlineStr">
        <is>
          <t>Cosmetic</t>
        </is>
      </c>
      <c r="E313" s="51" t="inlineStr">
        <is>
          <t>Positive</t>
        </is>
      </c>
      <c r="F313" s="51" t="n">
        <v>2</v>
      </c>
      <c r="G313" s="51" t="n">
        <v>2025</v>
      </c>
      <c r="H313" s="52" t="inlineStr">
        <is>
          <t>https://www.nvidia.com/en-us/about-nvidia/careers/diversity-and-inclusion/</t>
        </is>
      </c>
      <c r="I313" s="52" t="inlineStr">
        <is>
          <t>Company</t>
        </is>
      </c>
      <c r="J313" s="51" t="inlineStr">
        <is>
          <t>Yes</t>
        </is>
      </c>
      <c r="K313" s="52" t="inlineStr"/>
    </row>
    <row r="314" ht="23.25" customHeight="1" s="42">
      <c r="A314" s="52" t="inlineStr">
        <is>
          <t>NVIDIA</t>
        </is>
      </c>
      <c r="B314" s="52" t="inlineStr">
        <is>
          <t>p_benefits</t>
        </is>
      </c>
      <c r="C314" s="52" t="inlineStr">
        <is>
          <t>Inclusive partner and gender-affirming benefits (CEI-verified)</t>
        </is>
      </c>
      <c r="D314" s="51" t="inlineStr">
        <is>
          <t>Structural</t>
        </is>
      </c>
      <c r="E314" s="51" t="inlineStr">
        <is>
          <t>Positive</t>
        </is>
      </c>
      <c r="F314" s="51" t="n">
        <v>22</v>
      </c>
      <c r="G314" s="51" t="n">
        <v>2024</v>
      </c>
      <c r="H314" s="52" t="inlineStr">
        <is>
          <t>https://reports.hrc.org/corporate-equality-index-2025</t>
        </is>
      </c>
      <c r="I314" s="52" t="inlineStr">
        <is>
          <t>HRC</t>
        </is>
      </c>
      <c r="J314" s="51" t="inlineStr">
        <is>
          <t>No</t>
        </is>
      </c>
      <c r="K314" s="52" t="inlineStr"/>
    </row>
    <row r="315" ht="23.25" customHeight="1" s="42">
      <c r="A315" s="52" t="inlineStr">
        <is>
          <t>Qualcomm</t>
        </is>
      </c>
      <c r="B315" s="52" t="inlineStr">
        <is>
          <t>p_generic_post</t>
        </is>
      </c>
      <c r="C315" s="52" t="inlineStr">
        <is>
          <t>Pride posts and engagement</t>
        </is>
      </c>
      <c r="D315" s="51" t="inlineStr">
        <is>
          <t>Cosmetic</t>
        </is>
      </c>
      <c r="E315" s="51" t="inlineStr">
        <is>
          <t>Positive</t>
        </is>
      </c>
      <c r="F315" s="51" t="n">
        <v>2</v>
      </c>
      <c r="G315" s="51" t="n">
        <v>2024</v>
      </c>
      <c r="H315" s="52" t="inlineStr">
        <is>
          <t>https://web.archive.org/web/2024/https://www.qualcomm.com/company/corporate-responsibility/diversity-and-inclusion</t>
        </is>
      </c>
      <c r="I315" s="52" t="inlineStr">
        <is>
          <t>Archive</t>
        </is>
      </c>
      <c r="J315" s="51" t="inlineStr">
        <is>
          <t>No</t>
        </is>
      </c>
      <c r="K315" s="52" t="inlineStr"/>
    </row>
    <row r="316" ht="23.25" customHeight="1" s="42">
      <c r="A316" s="52" t="inlineStr">
        <is>
          <t>Qualcomm</t>
        </is>
      </c>
      <c r="B316" s="52" t="inlineStr">
        <is>
          <t>p_erg_support</t>
        </is>
      </c>
      <c r="C316" s="52" t="inlineStr">
        <is>
          <t>Funded eQuality LGBTQ+ employee network</t>
        </is>
      </c>
      <c r="D316" s="51" t="inlineStr">
        <is>
          <t>Civic</t>
        </is>
      </c>
      <c r="E316" s="51" t="inlineStr">
        <is>
          <t>Positive</t>
        </is>
      </c>
      <c r="F316" s="51" t="n">
        <v>15</v>
      </c>
      <c r="G316" s="51" t="n">
        <v>2024</v>
      </c>
      <c r="H316" s="52" t="inlineStr">
        <is>
          <t>https://web.archive.org/web/2024/https://www.qualcomm.com/company/corporate-responsibility/diversity-and-inclusion</t>
        </is>
      </c>
      <c r="I316" s="52" t="inlineStr">
        <is>
          <t>Archive</t>
        </is>
      </c>
      <c r="J316" s="51" t="inlineStr">
        <is>
          <t>No</t>
        </is>
      </c>
      <c r="K316" s="52" t="inlineStr"/>
    </row>
    <row r="317" ht="23.25" customHeight="1" s="42">
      <c r="A317" s="52" t="inlineStr">
        <is>
          <t>Texas Instruments</t>
        </is>
      </c>
      <c r="B317" s="52" t="inlineStr">
        <is>
          <t>p_generic_post</t>
        </is>
      </c>
      <c r="C317" s="52" t="inlineStr">
        <is>
          <t>Occasional Pride posts and engagement</t>
        </is>
      </c>
      <c r="D317" s="51" t="inlineStr">
        <is>
          <t>Cosmetic</t>
        </is>
      </c>
      <c r="E317" s="51" t="inlineStr">
        <is>
          <t>Positive</t>
        </is>
      </c>
      <c r="F317" s="51" t="n">
        <v>2</v>
      </c>
      <c r="G317" s="51" t="n">
        <v>2024</v>
      </c>
      <c r="H317" s="52" t="inlineStr">
        <is>
          <t>https://web.archive.org/web/2024/https://careers.ti.com/diversity-inclusion/</t>
        </is>
      </c>
      <c r="I317" s="52" t="inlineStr">
        <is>
          <t>Archive</t>
        </is>
      </c>
      <c r="J317" s="51" t="inlineStr">
        <is>
          <t>No</t>
        </is>
      </c>
      <c r="K317" s="52" t="inlineStr"/>
    </row>
    <row r="318" ht="23.25" customHeight="1" s="42">
      <c r="A318" s="52" t="inlineStr">
        <is>
          <t>PayPal</t>
        </is>
      </c>
      <c r="B318" s="52" t="inlineStr">
        <is>
          <t>p_generic_post</t>
        </is>
      </c>
      <c r="C318" s="52" t="inlineStr">
        <is>
          <t>Annual Pride posts and engagement</t>
        </is>
      </c>
      <c r="D318" s="51" t="inlineStr">
        <is>
          <t>Cosmetic</t>
        </is>
      </c>
      <c r="E318" s="51" t="inlineStr">
        <is>
          <t>Positive</t>
        </is>
      </c>
      <c r="F318" s="51" t="n">
        <v>2</v>
      </c>
      <c r="G318" s="51" t="n">
        <v>2024</v>
      </c>
      <c r="H318" s="52" t="inlineStr">
        <is>
          <t>https://web.archive.org/web/2024/https://about.pypl.com/who-we-are/diversity-inclusion-equity-and-belonging</t>
        </is>
      </c>
      <c r="I318" s="52" t="inlineStr">
        <is>
          <t>Archive</t>
        </is>
      </c>
      <c r="J318" s="51" t="inlineStr">
        <is>
          <t>No</t>
        </is>
      </c>
      <c r="K318" s="52" t="inlineStr"/>
    </row>
    <row r="319" ht="23.25" customHeight="1" s="42">
      <c r="A319" s="52" t="inlineStr">
        <is>
          <t>PayPal</t>
        </is>
      </c>
      <c r="B319" s="52" t="inlineStr">
        <is>
          <t>p_erg_support</t>
        </is>
      </c>
      <c r="C319" s="52" t="inlineStr">
        <is>
          <t>Funded Pride LGBTQ+ employee resource group</t>
        </is>
      </c>
      <c r="D319" s="51" t="inlineStr">
        <is>
          <t>Civic</t>
        </is>
      </c>
      <c r="E319" s="51" t="inlineStr">
        <is>
          <t>Positive</t>
        </is>
      </c>
      <c r="F319" s="51" t="n">
        <v>15</v>
      </c>
      <c r="G319" s="51" t="n">
        <v>2024</v>
      </c>
      <c r="H319" s="52" t="inlineStr">
        <is>
          <t>https://web.archive.org/web/2024/https://about.pypl.com/who-we-are/diversity-inclusion-equity-and-belonging</t>
        </is>
      </c>
      <c r="I319" s="52" t="inlineStr">
        <is>
          <t>Archive</t>
        </is>
      </c>
      <c r="J319" s="51" t="inlineStr">
        <is>
          <t>No</t>
        </is>
      </c>
      <c r="K319" s="52" t="inlineStr"/>
    </row>
    <row r="320" ht="23.25" customHeight="1" s="42">
      <c r="A320" s="52" t="inlineStr">
        <is>
          <t>PayPal</t>
        </is>
      </c>
      <c r="B320" s="52" t="inlineStr">
        <is>
          <t>p_leadership_vocal</t>
        </is>
      </c>
      <c r="C320" s="52" t="inlineStr">
        <is>
          <t>CEO Dan Schulman canceled PayPal's 400-job Charlotte expansion over NC's anti-trans HB2 law</t>
        </is>
      </c>
      <c r="D320" s="51" t="inlineStr">
        <is>
          <t>Structural</t>
        </is>
      </c>
      <c r="E320" s="51" t="inlineStr">
        <is>
          <t>Positive</t>
        </is>
      </c>
      <c r="F320" s="51" t="n">
        <v>18</v>
      </c>
      <c r="G320" s="51" t="n">
        <v>2016</v>
      </c>
      <c r="H320" s="52" t="inlineStr">
        <is>
          <t>https://en.wikipedia.org/wiki/Public_Facilities_Privacy_%26_Security_Act</t>
        </is>
      </c>
      <c r="I320" s="52" t="inlineStr">
        <is>
          <t>News</t>
        </is>
      </c>
      <c r="J320" s="51" t="inlineStr">
        <is>
          <t>No</t>
        </is>
      </c>
      <c r="K320" s="52" t="inlineStr"/>
    </row>
    <row r="321" ht="23.25" customHeight="1" s="42">
      <c r="A321" s="52" t="inlineStr">
        <is>
          <t>Uber</t>
        </is>
      </c>
      <c r="B321" s="52" t="inlineStr">
        <is>
          <t>p_logo_rainbow</t>
        </is>
      </c>
      <c r="C321" s="52" t="inlineStr">
        <is>
          <t>Pride branding and in-app Pride features (through 2024)</t>
        </is>
      </c>
      <c r="D321" s="51" t="inlineStr">
        <is>
          <t>Cosmetic</t>
        </is>
      </c>
      <c r="E321" s="51" t="inlineStr">
        <is>
          <t>Positive</t>
        </is>
      </c>
      <c r="F321" s="51" t="n">
        <v>3</v>
      </c>
      <c r="G321" s="51" t="n">
        <v>2024</v>
      </c>
      <c r="H321" s="52" t="inlineStr">
        <is>
          <t>https://web.archive.org/web/2024/https://www.uber.com/us/en/about/diversity/</t>
        </is>
      </c>
      <c r="I321" s="52" t="inlineStr">
        <is>
          <t>Archive</t>
        </is>
      </c>
      <c r="J321" s="51" t="inlineStr">
        <is>
          <t>No</t>
        </is>
      </c>
      <c r="K321" s="52" t="inlineStr"/>
    </row>
    <row r="322" ht="23.25" customHeight="1" s="42">
      <c r="A322" s="52" t="inlineStr">
        <is>
          <t>Uber</t>
        </is>
      </c>
      <c r="B322" s="52" t="inlineStr">
        <is>
          <t>p_generic_post</t>
        </is>
      </c>
      <c r="C322" s="52" t="inlineStr">
        <is>
          <t>Annual Pride posts</t>
        </is>
      </c>
      <c r="D322" s="51" t="inlineStr">
        <is>
          <t>Cosmetic</t>
        </is>
      </c>
      <c r="E322" s="51" t="inlineStr">
        <is>
          <t>Positive</t>
        </is>
      </c>
      <c r="F322" s="51" t="n">
        <v>2</v>
      </c>
      <c r="G322" s="51" t="n">
        <v>2024</v>
      </c>
      <c r="H322" s="52" t="inlineStr">
        <is>
          <t>https://web.archive.org/web/2024/https://www.uber.com/us/en/about/diversity/</t>
        </is>
      </c>
      <c r="I322" s="52" t="inlineStr">
        <is>
          <t>Archive</t>
        </is>
      </c>
      <c r="J322" s="51" t="inlineStr">
        <is>
          <t>No</t>
        </is>
      </c>
      <c r="K322" s="52" t="inlineStr"/>
    </row>
    <row r="323" ht="23.25" customHeight="1" s="42">
      <c r="A323" s="52" t="inlineStr">
        <is>
          <t>Uber</t>
        </is>
      </c>
      <c r="B323" s="52" t="inlineStr">
        <is>
          <t>p_erg_support</t>
        </is>
      </c>
      <c r="C323" s="52" t="inlineStr">
        <is>
          <t>Funded Pride at Uber employee resource group</t>
        </is>
      </c>
      <c r="D323" s="51" t="inlineStr">
        <is>
          <t>Civic</t>
        </is>
      </c>
      <c r="E323" s="51" t="inlineStr">
        <is>
          <t>Positive</t>
        </is>
      </c>
      <c r="F323" s="51" t="n">
        <v>15</v>
      </c>
      <c r="G323" s="51" t="n">
        <v>2024</v>
      </c>
      <c r="H323" s="52" t="inlineStr">
        <is>
          <t>https://web.archive.org/web/2024/https://www.uber.com/us/en/about/diversity/</t>
        </is>
      </c>
      <c r="I323" s="52" t="inlineStr">
        <is>
          <t>Archive</t>
        </is>
      </c>
      <c r="J323" s="51" t="inlineStr">
        <is>
          <t>No</t>
        </is>
      </c>
      <c r="K323" s="52" t="inlineStr"/>
    </row>
    <row r="324" ht="23.25" customHeight="1" s="42">
      <c r="A324" s="52" t="inlineStr">
        <is>
          <t>Uber</t>
        </is>
      </c>
      <c r="B324" s="52" t="inlineStr">
        <is>
          <t>n_dei_removal</t>
        </is>
      </c>
      <c r="C324" s="52" t="inlineStr">
        <is>
          <t>Removed DEI exec-pay incentive, diverse-board pledge, and entire 10-K diversity section</t>
        </is>
      </c>
      <c r="D324" s="51" t="inlineStr">
        <is>
          <t>—</t>
        </is>
      </c>
      <c r="E324" s="51" t="inlineStr">
        <is>
          <t>Negative</t>
        </is>
      </c>
      <c r="F324" s="51" t="n">
        <v>-32</v>
      </c>
      <c r="G324" s="51" t="n">
        <v>2025</v>
      </c>
      <c r="H324" s="52" t="inlineStr">
        <is>
          <t>https://techcrunch.com/2025/04/17/here-are-all-the-tech-companies-rolling-back-dei-or-still-committed-to-it-so-far/</t>
        </is>
      </c>
      <c r="I324" s="52" t="inlineStr">
        <is>
          <t>News</t>
        </is>
      </c>
      <c r="J324" s="51" t="inlineStr">
        <is>
          <t>Yes</t>
        </is>
      </c>
      <c r="K324" s="52" t="inlineStr">
        <is>
          <t>Archived before-state: https://web.archive.org/web/2024/https://www.uber.com/us/en/about/diversity/</t>
        </is>
      </c>
    </row>
    <row r="325" ht="23.25" customHeight="1" s="42">
      <c r="A325" s="52" t="inlineStr">
        <is>
          <t>Lyft</t>
        </is>
      </c>
      <c r="B325" s="52" t="inlineStr">
        <is>
          <t>p_generic_post</t>
        </is>
      </c>
      <c r="C325" s="52" t="inlineStr">
        <is>
          <t>Pride posts and campaigns</t>
        </is>
      </c>
      <c r="D325" s="51" t="inlineStr">
        <is>
          <t>Cosmetic</t>
        </is>
      </c>
      <c r="E325" s="51" t="inlineStr">
        <is>
          <t>Positive</t>
        </is>
      </c>
      <c r="F325" s="51" t="n">
        <v>2</v>
      </c>
      <c r="G325" s="51" t="n">
        <v>2024</v>
      </c>
      <c r="H325" s="52" t="inlineStr">
        <is>
          <t>https://web.archive.org/web/2024/https://www.lyft.com/blog</t>
        </is>
      </c>
      <c r="I325" s="52" t="inlineStr">
        <is>
          <t>Archive</t>
        </is>
      </c>
      <c r="J325" s="51" t="inlineStr">
        <is>
          <t>No</t>
        </is>
      </c>
      <c r="K325" s="52" t="inlineStr"/>
    </row>
    <row r="326" ht="23.25" customHeight="1" s="42">
      <c r="A326" s="52" t="inlineStr">
        <is>
          <t>Lyft</t>
        </is>
      </c>
      <c r="B326" s="52" t="inlineStr">
        <is>
          <t>p_erg_support</t>
        </is>
      </c>
      <c r="C326" s="52" t="inlineStr">
        <is>
          <t>Funded LGBTQ+ employee resource group</t>
        </is>
      </c>
      <c r="D326" s="51" t="inlineStr">
        <is>
          <t>Civic</t>
        </is>
      </c>
      <c r="E326" s="51" t="inlineStr">
        <is>
          <t>Positive</t>
        </is>
      </c>
      <c r="F326" s="51" t="n">
        <v>15</v>
      </c>
      <c r="G326" s="51" t="n">
        <v>2024</v>
      </c>
      <c r="H326" s="52" t="inlineStr">
        <is>
          <t>https://web.archive.org/web/2024/https://www.lyft.com/careers</t>
        </is>
      </c>
      <c r="I326" s="52" t="inlineStr">
        <is>
          <t>Archive</t>
        </is>
      </c>
      <c r="J326" s="51" t="inlineStr">
        <is>
          <t>No</t>
        </is>
      </c>
      <c r="K326" s="52" t="inlineStr"/>
    </row>
    <row r="327" ht="23.25" customHeight="1" s="42">
      <c r="A327" s="52" t="inlineStr">
        <is>
          <t>eBay</t>
        </is>
      </c>
      <c r="B327" s="52" t="inlineStr">
        <is>
          <t>p_generic_post</t>
        </is>
      </c>
      <c r="C327" s="52" t="inlineStr">
        <is>
          <t>Annual Pride posts and engagement</t>
        </is>
      </c>
      <c r="D327" s="51" t="inlineStr">
        <is>
          <t>Cosmetic</t>
        </is>
      </c>
      <c r="E327" s="51" t="inlineStr">
        <is>
          <t>Positive</t>
        </is>
      </c>
      <c r="F327" s="51" t="n">
        <v>2</v>
      </c>
      <c r="G327" s="51" t="n">
        <v>2024</v>
      </c>
      <c r="H327" s="52" t="inlineStr">
        <is>
          <t>https://web.archive.org/web/2024/https://www.ebayinc.com/company/diversity-inclusion/</t>
        </is>
      </c>
      <c r="I327" s="52" t="inlineStr">
        <is>
          <t>Archive</t>
        </is>
      </c>
      <c r="J327" s="51" t="inlineStr">
        <is>
          <t>No</t>
        </is>
      </c>
      <c r="K327" s="52" t="inlineStr"/>
    </row>
    <row r="328" ht="23.25" customHeight="1" s="42">
      <c r="A328" s="52" t="inlineStr">
        <is>
          <t>eBay</t>
        </is>
      </c>
      <c r="B328" s="52" t="inlineStr">
        <is>
          <t>p_benefits</t>
        </is>
      </c>
      <c r="C328" s="52" t="inlineStr">
        <is>
          <t>Inclusive partner and gender-affirming benefits (CEI-verified)</t>
        </is>
      </c>
      <c r="D328" s="51" t="inlineStr">
        <is>
          <t>Structural</t>
        </is>
      </c>
      <c r="E328" s="51" t="inlineStr">
        <is>
          <t>Positive</t>
        </is>
      </c>
      <c r="F328" s="51" t="n">
        <v>22</v>
      </c>
      <c r="G328" s="51" t="n">
        <v>2024</v>
      </c>
      <c r="H328" s="52" t="inlineStr">
        <is>
          <t>https://reports.hrc.org/corporate-equality-index-2025</t>
        </is>
      </c>
      <c r="I328" s="52" t="inlineStr">
        <is>
          <t>HRC</t>
        </is>
      </c>
      <c r="J328" s="51" t="inlineStr">
        <is>
          <t>No</t>
        </is>
      </c>
      <c r="K328" s="52" t="inlineStr"/>
    </row>
    <row r="329" ht="23.25" customHeight="1" s="42">
      <c r="A329" s="52" t="inlineStr">
        <is>
          <t>Intuit</t>
        </is>
      </c>
      <c r="B329" s="52" t="inlineStr">
        <is>
          <t>p_generic_post</t>
        </is>
      </c>
      <c r="C329" s="52" t="inlineStr">
        <is>
          <t>Annual Pride posts and engagement</t>
        </is>
      </c>
      <c r="D329" s="51" t="inlineStr">
        <is>
          <t>Cosmetic</t>
        </is>
      </c>
      <c r="E329" s="51" t="inlineStr">
        <is>
          <t>Positive</t>
        </is>
      </c>
      <c r="F329" s="51" t="n">
        <v>2</v>
      </c>
      <c r="G329" s="51" t="n">
        <v>2024</v>
      </c>
      <c r="H329" s="52" t="inlineStr">
        <is>
          <t>https://web.archive.org/web/2024/https://www.intuit.com/careers/diversity-equity-inclusion/</t>
        </is>
      </c>
      <c r="I329" s="52" t="inlineStr">
        <is>
          <t>Archive</t>
        </is>
      </c>
      <c r="J329" s="51" t="inlineStr">
        <is>
          <t>No</t>
        </is>
      </c>
      <c r="K329" s="52" t="inlineStr"/>
    </row>
    <row r="330" ht="23.25" customHeight="1" s="42">
      <c r="A330" s="52" t="inlineStr">
        <is>
          <t>Intuit</t>
        </is>
      </c>
      <c r="B330" s="52" t="inlineStr">
        <is>
          <t>p_benefits</t>
        </is>
      </c>
      <c r="C330" s="52" t="inlineStr">
        <is>
          <t>Inclusive partner and gender-affirming benefits (CEI-verified)</t>
        </is>
      </c>
      <c r="D330" s="51" t="inlineStr">
        <is>
          <t>Structural</t>
        </is>
      </c>
      <c r="E330" s="51" t="inlineStr">
        <is>
          <t>Positive</t>
        </is>
      </c>
      <c r="F330" s="51" t="n">
        <v>22</v>
      </c>
      <c r="G330" s="51" t="n">
        <v>2024</v>
      </c>
      <c r="H330" s="52" t="inlineStr">
        <is>
          <t>https://reports.hrc.org/corporate-equality-index-2025</t>
        </is>
      </c>
      <c r="I330" s="52" t="inlineStr">
        <is>
          <t>HRC</t>
        </is>
      </c>
      <c r="J330" s="51" t="inlineStr">
        <is>
          <t>No</t>
        </is>
      </c>
      <c r="K330" s="52" t="inlineStr"/>
    </row>
    <row r="331" ht="23.25" customHeight="1" s="42">
      <c r="A331" s="52" t="inlineStr">
        <is>
          <t>ServiceNow</t>
        </is>
      </c>
      <c r="B331" s="52" t="inlineStr">
        <is>
          <t>p_generic_post</t>
        </is>
      </c>
      <c r="C331" s="52" t="inlineStr">
        <is>
          <t>Pride posts and engagement</t>
        </is>
      </c>
      <c r="D331" s="51" t="inlineStr">
        <is>
          <t>Cosmetic</t>
        </is>
      </c>
      <c r="E331" s="51" t="inlineStr">
        <is>
          <t>Positive</t>
        </is>
      </c>
      <c r="F331" s="51" t="n">
        <v>2</v>
      </c>
      <c r="G331" s="51" t="n">
        <v>2024</v>
      </c>
      <c r="H331" s="52" t="inlineStr">
        <is>
          <t>https://web.archive.org/web/2024/https://www.servicenow.com/company/diversity-inclusion-belonging.html</t>
        </is>
      </c>
      <c r="I331" s="52" t="inlineStr">
        <is>
          <t>Archive</t>
        </is>
      </c>
      <c r="J331" s="51" t="inlineStr">
        <is>
          <t>No</t>
        </is>
      </c>
      <c r="K331" s="52" t="inlineStr"/>
    </row>
    <row r="332" ht="23.25" customHeight="1" s="42">
      <c r="A332" s="52" t="inlineStr">
        <is>
          <t>ServiceNow</t>
        </is>
      </c>
      <c r="B332" s="52" t="inlineStr">
        <is>
          <t>p_erg_support</t>
        </is>
      </c>
      <c r="C332" s="52" t="inlineStr">
        <is>
          <t>Funded Pride at Now employee resource group</t>
        </is>
      </c>
      <c r="D332" s="51" t="inlineStr">
        <is>
          <t>Civic</t>
        </is>
      </c>
      <c r="E332" s="51" t="inlineStr">
        <is>
          <t>Positive</t>
        </is>
      </c>
      <c r="F332" s="51" t="n">
        <v>15</v>
      </c>
      <c r="G332" s="51" t="n">
        <v>2024</v>
      </c>
      <c r="H332" s="52" t="inlineStr">
        <is>
          <t>https://web.archive.org/web/2024/https://www.servicenow.com/company/diversity-inclusion-belonging.html</t>
        </is>
      </c>
      <c r="I332" s="52" t="inlineStr">
        <is>
          <t>Archive</t>
        </is>
      </c>
      <c r="J332" s="51" t="inlineStr">
        <is>
          <t>No</t>
        </is>
      </c>
      <c r="K332" s="52" t="inlineStr"/>
    </row>
    <row r="333" ht="23.25" customHeight="1" s="42">
      <c r="A333" s="52" t="inlineStr">
        <is>
          <t>Snap Inc.</t>
        </is>
      </c>
      <c r="B333" s="52" t="inlineStr">
        <is>
          <t>p_logo_rainbow</t>
        </is>
      </c>
      <c r="C333" s="52" t="inlineStr">
        <is>
          <t>Annual Pride AR lenses, filters and stickers across Snapchat</t>
        </is>
      </c>
      <c r="D333" s="51" t="inlineStr">
        <is>
          <t>Cosmetic</t>
        </is>
      </c>
      <c r="E333" s="51" t="inlineStr">
        <is>
          <t>Positive</t>
        </is>
      </c>
      <c r="F333" s="51" t="n">
        <v>3</v>
      </c>
      <c r="G333" s="51" t="n">
        <v>2024</v>
      </c>
      <c r="H333" s="52" t="inlineStr">
        <is>
          <t>https://web.archive.org/web/2024/https://newsroom.snap.com/</t>
        </is>
      </c>
      <c r="I333" s="52" t="inlineStr">
        <is>
          <t>Archive</t>
        </is>
      </c>
      <c r="J333" s="51" t="inlineStr">
        <is>
          <t>No</t>
        </is>
      </c>
      <c r="K333" s="52" t="inlineStr"/>
    </row>
    <row r="334" ht="23.25" customHeight="1" s="42">
      <c r="A334" s="52" t="inlineStr">
        <is>
          <t>Pinterest</t>
        </is>
      </c>
      <c r="B334" s="52" t="inlineStr">
        <is>
          <t>p_generic_post</t>
        </is>
      </c>
      <c r="C334" s="52" t="inlineStr">
        <is>
          <t>Pride content hubs and posts</t>
        </is>
      </c>
      <c r="D334" s="51" t="inlineStr">
        <is>
          <t>Cosmetic</t>
        </is>
      </c>
      <c r="E334" s="51" t="inlineStr">
        <is>
          <t>Positive</t>
        </is>
      </c>
      <c r="F334" s="51" t="n">
        <v>2</v>
      </c>
      <c r="G334" s="51" t="n">
        <v>2025</v>
      </c>
      <c r="H334" s="52" t="inlineStr">
        <is>
          <t>https://web.archive.org/web/2025/https://newsroom.pinterest.com/</t>
        </is>
      </c>
      <c r="I334" s="52" t="inlineStr">
        <is>
          <t>Archive</t>
        </is>
      </c>
      <c r="J334" s="51" t="inlineStr">
        <is>
          <t>Yes</t>
        </is>
      </c>
      <c r="K334" s="52" t="inlineStr"/>
    </row>
    <row r="335" ht="23.25" customHeight="1" s="42">
      <c r="A335" s="52" t="inlineStr">
        <is>
          <t>Pinterest</t>
        </is>
      </c>
      <c r="B335" s="52" t="inlineStr">
        <is>
          <t>p_dei_explicit</t>
        </is>
      </c>
      <c r="C335" s="52" t="inlineStr">
        <is>
          <t>Maintained DEI commitments; flagged anti-DEI attacks as a business risk in SEC filings</t>
        </is>
      </c>
      <c r="D335" s="51" t="inlineStr">
        <is>
          <t>Structural</t>
        </is>
      </c>
      <c r="E335" s="51" t="inlineStr">
        <is>
          <t>Positive</t>
        </is>
      </c>
      <c r="F335" s="51" t="n">
        <v>20</v>
      </c>
      <c r="G335" s="51" t="n">
        <v>2025</v>
      </c>
      <c r="H335" s="52" t="inlineStr">
        <is>
          <t>https://techcrunch.com/2025/02/07/pinterest-lists-dei-attacks-as-possible-business-risk-latest-filing/</t>
        </is>
      </c>
      <c r="I335" s="52" t="inlineStr">
        <is>
          <t>News</t>
        </is>
      </c>
      <c r="J335" s="51" t="inlineStr">
        <is>
          <t>Yes</t>
        </is>
      </c>
      <c r="K335" s="52" t="inlineStr"/>
    </row>
    <row r="336" ht="23.25" customHeight="1" s="42">
      <c r="A336" s="52" t="inlineStr">
        <is>
          <t>Kroger</t>
        </is>
      </c>
      <c r="B336" s="52" t="inlineStr">
        <is>
          <t>p_generic_post</t>
        </is>
      </c>
      <c r="C336" s="52" t="inlineStr">
        <is>
          <t>Pride posts and local Pride participation</t>
        </is>
      </c>
      <c r="D336" s="51" t="inlineStr">
        <is>
          <t>Cosmetic</t>
        </is>
      </c>
      <c r="E336" s="51" t="inlineStr">
        <is>
          <t>Positive</t>
        </is>
      </c>
      <c r="F336" s="51" t="n">
        <v>2</v>
      </c>
      <c r="G336" s="51" t="n">
        <v>2024</v>
      </c>
      <c r="H336" s="52" t="inlineStr">
        <is>
          <t>https://web.archive.org/web/2024/https://www.thekrogerco.com/our-promise/diversity/</t>
        </is>
      </c>
      <c r="I336" s="52" t="inlineStr">
        <is>
          <t>Archive</t>
        </is>
      </c>
      <c r="J336" s="51" t="inlineStr">
        <is>
          <t>No</t>
        </is>
      </c>
      <c r="K336" s="52" t="inlineStr"/>
    </row>
    <row r="337" ht="23.25" customHeight="1" s="42">
      <c r="A337" s="52" t="inlineStr">
        <is>
          <t>Kroger</t>
        </is>
      </c>
      <c r="B337" s="52" t="inlineStr">
        <is>
          <t>p_erg_support</t>
        </is>
      </c>
      <c r="C337" s="52" t="inlineStr">
        <is>
          <t>Funded LGBTQ+ associate resource group</t>
        </is>
      </c>
      <c r="D337" s="51" t="inlineStr">
        <is>
          <t>Civic</t>
        </is>
      </c>
      <c r="E337" s="51" t="inlineStr">
        <is>
          <t>Positive</t>
        </is>
      </c>
      <c r="F337" s="51" t="n">
        <v>15</v>
      </c>
      <c r="G337" s="51" t="n">
        <v>2024</v>
      </c>
      <c r="H337" s="52" t="inlineStr">
        <is>
          <t>https://web.archive.org/web/2024/https://www.thekrogerco.com/our-promise/diversity/</t>
        </is>
      </c>
      <c r="I337" s="52" t="inlineStr">
        <is>
          <t>Archive</t>
        </is>
      </c>
      <c r="J337" s="51" t="inlineStr">
        <is>
          <t>No</t>
        </is>
      </c>
      <c r="K337" s="52" t="inlineStr"/>
    </row>
    <row r="338" ht="23.25" customHeight="1" s="42">
      <c r="A338" s="52" t="inlineStr">
        <is>
          <t>Albertsons</t>
        </is>
      </c>
      <c r="B338" s="52" t="inlineStr">
        <is>
          <t>p_generic_post</t>
        </is>
      </c>
      <c r="C338" s="52" t="inlineStr">
        <is>
          <t>Occasional Pride posts and local engagement</t>
        </is>
      </c>
      <c r="D338" s="51" t="inlineStr">
        <is>
          <t>Cosmetic</t>
        </is>
      </c>
      <c r="E338" s="51" t="inlineStr">
        <is>
          <t>Positive</t>
        </is>
      </c>
      <c r="F338" s="51" t="n">
        <v>2</v>
      </c>
      <c r="G338" s="51" t="n">
        <v>2024</v>
      </c>
      <c r="H338" s="52" t="inlineStr">
        <is>
          <t>https://web.archive.org/web/2024/https://www.albertsonscompanies.com/about-us/diversity-equity-inclusion.html</t>
        </is>
      </c>
      <c r="I338" s="52" t="inlineStr">
        <is>
          <t>Archive</t>
        </is>
      </c>
      <c r="J338" s="51" t="inlineStr">
        <is>
          <t>No</t>
        </is>
      </c>
      <c r="K338" s="52" t="inlineStr"/>
    </row>
    <row r="339" ht="23.25" customHeight="1" s="42">
      <c r="A339" s="52" t="inlineStr">
        <is>
          <t>TJX Companies</t>
        </is>
      </c>
      <c r="B339" s="52" t="inlineStr">
        <is>
          <t>p_generic_post</t>
        </is>
      </c>
      <c r="C339" s="52" t="inlineStr">
        <is>
          <t>Inclusion statements and engagement</t>
        </is>
      </c>
      <c r="D339" s="51" t="inlineStr">
        <is>
          <t>Cosmetic</t>
        </is>
      </c>
      <c r="E339" s="51" t="inlineStr">
        <is>
          <t>Positive</t>
        </is>
      </c>
      <c r="F339" s="51" t="n">
        <v>2</v>
      </c>
      <c r="G339" s="51" t="n">
        <v>2025</v>
      </c>
      <c r="H339" s="52" t="inlineStr">
        <is>
          <t>https://web.archive.org/web/2025/https://www.tjx.com/responsibility/workplace/inclusion-and-diversity</t>
        </is>
      </c>
      <c r="I339" s="52" t="inlineStr">
        <is>
          <t>Archive</t>
        </is>
      </c>
      <c r="J339" s="51" t="inlineStr">
        <is>
          <t>Yes</t>
        </is>
      </c>
      <c r="K339" s="52" t="inlineStr"/>
    </row>
    <row r="340" ht="23.25" customHeight="1" s="42">
      <c r="A340" s="52" t="inlineStr">
        <is>
          <t>TJX Companies</t>
        </is>
      </c>
      <c r="B340" s="52" t="inlineStr">
        <is>
          <t>p_dei_explicit</t>
        </is>
      </c>
      <c r="C340" s="52" t="inlineStr">
        <is>
          <t>Publicly reaffirmed inclusion and diversity commitments during the 2025 corporate retreat</t>
        </is>
      </c>
      <c r="D340" s="51" t="inlineStr">
        <is>
          <t>Structural</t>
        </is>
      </c>
      <c r="E340" s="51" t="inlineStr">
        <is>
          <t>Positive</t>
        </is>
      </c>
      <c r="F340" s="51" t="n">
        <v>20</v>
      </c>
      <c r="G340" s="51" t="n">
        <v>2025</v>
      </c>
      <c r="H340" s="52" t="inlineStr">
        <is>
          <t>https://www.livenowfox.com/news/companies-roll-back-dei-policies</t>
        </is>
      </c>
      <c r="I340" s="52" t="inlineStr">
        <is>
          <t>News</t>
        </is>
      </c>
      <c r="J340" s="51" t="inlineStr">
        <is>
          <t>Yes</t>
        </is>
      </c>
      <c r="K340" s="52" t="inlineStr"/>
    </row>
    <row r="341" ht="23.25" customHeight="1" s="42">
      <c r="A341" s="52" t="inlineStr">
        <is>
          <t>Macy's</t>
        </is>
      </c>
      <c r="B341" s="52" t="inlineStr">
        <is>
          <t>p_generic_post</t>
        </is>
      </c>
      <c r="C341" s="52" t="inlineStr">
        <is>
          <t>Annual Pride posts and campaigns</t>
        </is>
      </c>
      <c r="D341" s="51" t="inlineStr">
        <is>
          <t>Cosmetic</t>
        </is>
      </c>
      <c r="E341" s="51" t="inlineStr">
        <is>
          <t>Positive</t>
        </is>
      </c>
      <c r="F341" s="51" t="n">
        <v>2</v>
      </c>
      <c r="G341" s="51" t="n">
        <v>2024</v>
      </c>
      <c r="H341" s="52" t="inlineStr">
        <is>
          <t>https://web.archive.org/web/2024/https://www.macysinc.com/purpose/diversity-equity-inclusion</t>
        </is>
      </c>
      <c r="I341" s="52" t="inlineStr">
        <is>
          <t>Archive</t>
        </is>
      </c>
      <c r="J341" s="51" t="inlineStr">
        <is>
          <t>No</t>
        </is>
      </c>
      <c r="K341" s="52" t="inlineStr"/>
    </row>
    <row r="342" ht="23.25" customHeight="1" s="42">
      <c r="A342" s="52" t="inlineStr">
        <is>
          <t>Macy's</t>
        </is>
      </c>
      <c r="B342" s="52" t="inlineStr">
        <is>
          <t>p_merch_collection</t>
        </is>
      </c>
      <c r="C342" s="52" t="inlineStr">
        <is>
          <t>Pride merchandise collections in stores and online</t>
        </is>
      </c>
      <c r="D342" s="51" t="inlineStr">
        <is>
          <t>Commercial</t>
        </is>
      </c>
      <c r="E342" s="51" t="inlineStr">
        <is>
          <t>Positive</t>
        </is>
      </c>
      <c r="F342" s="51" t="n">
        <v>6</v>
      </c>
      <c r="G342" s="51" t="n">
        <v>2024</v>
      </c>
      <c r="H342" s="52" t="inlineStr">
        <is>
          <t>https://web.archive.org/web/2024/https://www.macys.com/shop/featured/pride</t>
        </is>
      </c>
      <c r="I342" s="52" t="inlineStr">
        <is>
          <t>Archive</t>
        </is>
      </c>
      <c r="J342" s="51" t="inlineStr">
        <is>
          <t>No</t>
        </is>
      </c>
      <c r="K342" s="52" t="inlineStr"/>
    </row>
    <row r="343" ht="23.25" customHeight="1" s="42">
      <c r="A343" s="52" t="inlineStr">
        <is>
          <t>Macy's</t>
        </is>
      </c>
      <c r="B343" s="52" t="inlineStr">
        <is>
          <t>p_parade_sponsor</t>
        </is>
      </c>
      <c r="C343" s="52" t="inlineStr">
        <is>
          <t>NYC Pride participation/sponsorship history</t>
        </is>
      </c>
      <c r="D343" s="51" t="inlineStr">
        <is>
          <t>Civic</t>
        </is>
      </c>
      <c r="E343" s="51" t="inlineStr">
        <is>
          <t>Positive</t>
        </is>
      </c>
      <c r="F343" s="51" t="n">
        <v>12</v>
      </c>
      <c r="G343" s="51" t="n">
        <v>2024</v>
      </c>
      <c r="H343" s="52" t="inlineStr">
        <is>
          <t>https://web.archive.org/web/2024/https://www.macysinc.com/purpose/diversity-equity-inclusion</t>
        </is>
      </c>
      <c r="I343" s="52" t="inlineStr">
        <is>
          <t>Archive</t>
        </is>
      </c>
      <c r="J343" s="51" t="inlineStr">
        <is>
          <t>No</t>
        </is>
      </c>
      <c r="K343" s="52" t="inlineStr"/>
    </row>
    <row r="344" ht="23.25" customHeight="1" s="42">
      <c r="A344" s="52" t="inlineStr">
        <is>
          <t>Nordstrom</t>
        </is>
      </c>
      <c r="B344" s="52" t="inlineStr">
        <is>
          <t>p_generic_post</t>
        </is>
      </c>
      <c r="C344" s="52" t="inlineStr">
        <is>
          <t>Annual Pride posts</t>
        </is>
      </c>
      <c r="D344" s="51" t="inlineStr">
        <is>
          <t>Cosmetic</t>
        </is>
      </c>
      <c r="E344" s="51" t="inlineStr">
        <is>
          <t>Positive</t>
        </is>
      </c>
      <c r="F344" s="51" t="n">
        <v>2</v>
      </c>
      <c r="G344" s="51" t="n">
        <v>2024</v>
      </c>
      <c r="H344" s="52" t="inlineStr">
        <is>
          <t>https://web.archive.org/web/2024/https://www.nordstrom.com/</t>
        </is>
      </c>
      <c r="I344" s="52" t="inlineStr">
        <is>
          <t>Archive</t>
        </is>
      </c>
      <c r="J344" s="51" t="inlineStr">
        <is>
          <t>No</t>
        </is>
      </c>
      <c r="K344" s="52" t="inlineStr"/>
    </row>
    <row r="345" ht="23.25" customHeight="1" s="42">
      <c r="A345" s="52" t="inlineStr">
        <is>
          <t>Nordstrom</t>
        </is>
      </c>
      <c r="B345" s="52" t="inlineStr">
        <is>
          <t>p_merch_collection</t>
        </is>
      </c>
      <c r="C345" s="52" t="inlineStr">
        <is>
          <t>Annual Pride merchandise assortment</t>
        </is>
      </c>
      <c r="D345" s="51" t="inlineStr">
        <is>
          <t>Commercial</t>
        </is>
      </c>
      <c r="E345" s="51" t="inlineStr">
        <is>
          <t>Positive</t>
        </is>
      </c>
      <c r="F345" s="51" t="n">
        <v>6</v>
      </c>
      <c r="G345" s="51" t="n">
        <v>2024</v>
      </c>
      <c r="H345" s="52" t="inlineStr">
        <is>
          <t>https://web.archive.org/web/2024/https://www.nordstrom.com/browse/pride</t>
        </is>
      </c>
      <c r="I345" s="52" t="inlineStr">
        <is>
          <t>Archive</t>
        </is>
      </c>
      <c r="J345" s="51" t="inlineStr">
        <is>
          <t>No</t>
        </is>
      </c>
      <c r="K345" s="52" t="inlineStr"/>
    </row>
    <row r="346" ht="23.25" customHeight="1" s="42">
      <c r="A346" s="52" t="inlineStr">
        <is>
          <t>Kohl's</t>
        </is>
      </c>
      <c r="B346" s="52" t="inlineStr">
        <is>
          <t>p_generic_post</t>
        </is>
      </c>
      <c r="C346" s="52" t="inlineStr">
        <is>
          <t>Annual Pride posts</t>
        </is>
      </c>
      <c r="D346" s="51" t="inlineStr">
        <is>
          <t>Cosmetic</t>
        </is>
      </c>
      <c r="E346" s="51" t="inlineStr">
        <is>
          <t>Positive</t>
        </is>
      </c>
      <c r="F346" s="51" t="n">
        <v>2</v>
      </c>
      <c r="G346" s="51" t="n">
        <v>2024</v>
      </c>
      <c r="H346" s="52" t="inlineStr">
        <is>
          <t>https://web.archive.org/web/2024/https://corporate.kohls.com/company/diversity-equity-inclusion</t>
        </is>
      </c>
      <c r="I346" s="52" t="inlineStr">
        <is>
          <t>Archive</t>
        </is>
      </c>
      <c r="J346" s="51" t="inlineStr">
        <is>
          <t>No</t>
        </is>
      </c>
      <c r="K346" s="52" t="inlineStr"/>
    </row>
    <row r="347" ht="23.25" customHeight="1" s="42">
      <c r="A347" s="52" t="inlineStr">
        <is>
          <t>Kohl's</t>
        </is>
      </c>
      <c r="B347" s="52" t="inlineStr">
        <is>
          <t>p_merch_collection</t>
        </is>
      </c>
      <c r="C347" s="52" t="inlineStr">
        <is>
          <t>Pride merchandise incl. family items, maintained through the 2023 boycott attempt</t>
        </is>
      </c>
      <c r="D347" s="51" t="inlineStr">
        <is>
          <t>Commercial</t>
        </is>
      </c>
      <c r="E347" s="51" t="inlineStr">
        <is>
          <t>Positive</t>
        </is>
      </c>
      <c r="F347" s="51" t="n">
        <v>6</v>
      </c>
      <c r="G347" s="51" t="n">
        <v>2023</v>
      </c>
      <c r="H347" s="52" t="inlineStr">
        <is>
          <t>https://en.wikipedia.org/wiki/Kohl%27s</t>
        </is>
      </c>
      <c r="I347" s="52" t="inlineStr">
        <is>
          <t>News</t>
        </is>
      </c>
      <c r="J347" s="51" t="inlineStr">
        <is>
          <t>No</t>
        </is>
      </c>
      <c r="K347" s="52" t="inlineStr"/>
    </row>
    <row r="348" ht="23.25" customHeight="1" s="42">
      <c r="A348" s="52" t="inlineStr">
        <is>
          <t>Yum! Brands</t>
        </is>
      </c>
      <c r="B348" s="52" t="inlineStr">
        <is>
          <t>p_generic_post</t>
        </is>
      </c>
      <c r="C348" s="52" t="inlineStr">
        <is>
          <t>Pride posts across brands</t>
        </is>
      </c>
      <c r="D348" s="51" t="inlineStr">
        <is>
          <t>Cosmetic</t>
        </is>
      </c>
      <c r="E348" s="51" t="inlineStr">
        <is>
          <t>Positive</t>
        </is>
      </c>
      <c r="F348" s="51" t="n">
        <v>2</v>
      </c>
      <c r="G348" s="51" t="n">
        <v>2024</v>
      </c>
      <c r="H348" s="52" t="inlineStr">
        <is>
          <t>https://web.archive.org/web/2024/https://www.yum.com/wps/portal/yumbrands/Yumbrands/company/diversity-equity-inclusion</t>
        </is>
      </c>
      <c r="I348" s="52" t="inlineStr">
        <is>
          <t>Archive</t>
        </is>
      </c>
      <c r="J348" s="51" t="inlineStr">
        <is>
          <t>No</t>
        </is>
      </c>
      <c r="K348" s="52" t="inlineStr"/>
    </row>
    <row r="349" ht="23.25" customHeight="1" s="42">
      <c r="A349" s="52" t="inlineStr">
        <is>
          <t>Yum! Brands</t>
        </is>
      </c>
      <c r="B349" s="52" t="inlineStr">
        <is>
          <t>p_collab</t>
        </is>
      </c>
      <c r="C349" s="52" t="inlineStr">
        <is>
          <t>Taco Bell Drag Brunch tour with drag performers at locations nationwide</t>
        </is>
      </c>
      <c r="D349" s="51" t="inlineStr">
        <is>
          <t>Commercial</t>
        </is>
      </c>
      <c r="E349" s="51" t="inlineStr">
        <is>
          <t>Positive</t>
        </is>
      </c>
      <c r="F349" s="51" t="n">
        <v>8</v>
      </c>
      <c r="G349" s="51" t="n">
        <v>2022</v>
      </c>
      <c r="H349" s="52" t="inlineStr">
        <is>
          <t>https://web.archive.org/web/2022/https://www.tacobell.com/dragbrunch</t>
        </is>
      </c>
      <c r="I349" s="52" t="inlineStr">
        <is>
          <t>Archive</t>
        </is>
      </c>
      <c r="J349" s="51" t="inlineStr">
        <is>
          <t>No</t>
        </is>
      </c>
      <c r="K349" s="52" t="inlineStr"/>
    </row>
    <row r="350" ht="23.25" customHeight="1" s="42">
      <c r="A350" s="52" t="inlineStr">
        <is>
          <t>Chipotle</t>
        </is>
      </c>
      <c r="B350" s="52" t="inlineStr">
        <is>
          <t>p_generic_post</t>
        </is>
      </c>
      <c r="C350" s="52" t="inlineStr">
        <is>
          <t>Occasional Pride posts and engagement</t>
        </is>
      </c>
      <c r="D350" s="51" t="inlineStr">
        <is>
          <t>Cosmetic</t>
        </is>
      </c>
      <c r="E350" s="51" t="inlineStr">
        <is>
          <t>Positive</t>
        </is>
      </c>
      <c r="F350" s="51" t="n">
        <v>2</v>
      </c>
      <c r="G350" s="51" t="n">
        <v>2024</v>
      </c>
      <c r="H350" s="52" t="inlineStr">
        <is>
          <t>https://web.archive.org/web/2024/https://www.chipotle.com/</t>
        </is>
      </c>
      <c r="I350" s="52" t="inlineStr">
        <is>
          <t>Archive</t>
        </is>
      </c>
      <c r="J350" s="51" t="inlineStr">
        <is>
          <t>No</t>
        </is>
      </c>
      <c r="K350" s="52" t="inlineStr"/>
    </row>
    <row r="351" ht="23.25" customHeight="1" s="42">
      <c r="A351" s="52" t="inlineStr">
        <is>
          <t>Darden Restaurants</t>
        </is>
      </c>
      <c r="B351" s="52" t="inlineStr">
        <is>
          <t>p_generic_post</t>
        </is>
      </c>
      <c r="C351" s="52" t="inlineStr">
        <is>
          <t>Occasional inclusion posts</t>
        </is>
      </c>
      <c r="D351" s="51" t="inlineStr">
        <is>
          <t>Cosmetic</t>
        </is>
      </c>
      <c r="E351" s="51" t="inlineStr">
        <is>
          <t>Positive</t>
        </is>
      </c>
      <c r="F351" s="51" t="n">
        <v>2</v>
      </c>
      <c r="G351" s="51" t="n">
        <v>2024</v>
      </c>
      <c r="H351" s="52" t="inlineStr">
        <is>
          <t>https://web.archive.org/web/2024/https://www.darden.com/our-people/diversity-equity-inclusion</t>
        </is>
      </c>
      <c r="I351" s="52" t="inlineStr">
        <is>
          <t>Archive</t>
        </is>
      </c>
      <c r="J351" s="51" t="inlineStr">
        <is>
          <t>No</t>
        </is>
      </c>
      <c r="K351" s="52" t="inlineStr"/>
    </row>
    <row r="352" ht="23.25" customHeight="1" s="42">
      <c r="A352" s="52" t="inlineStr">
        <is>
          <t>Molson Coors</t>
        </is>
      </c>
      <c r="B352" s="52" t="inlineStr">
        <is>
          <t>p_logo_rainbow</t>
        </is>
      </c>
      <c r="C352" s="52" t="inlineStr">
        <is>
          <t>Pride branding and packaging (through 2024)</t>
        </is>
      </c>
      <c r="D352" s="51" t="inlineStr">
        <is>
          <t>Cosmetic</t>
        </is>
      </c>
      <c r="E352" s="51" t="inlineStr">
        <is>
          <t>Positive</t>
        </is>
      </c>
      <c r="F352" s="51" t="n">
        <v>3</v>
      </c>
      <c r="G352" s="51" t="n">
        <v>2024</v>
      </c>
      <c r="H352" s="52" t="inlineStr">
        <is>
          <t>https://web.archive.org/web/2024/https://www.molsoncoors.com/sustainability/diversity-equity-inclusion</t>
        </is>
      </c>
      <c r="I352" s="52" t="inlineStr">
        <is>
          <t>Archive</t>
        </is>
      </c>
      <c r="J352" s="51" t="inlineStr">
        <is>
          <t>No</t>
        </is>
      </c>
      <c r="K352" s="52" t="inlineStr"/>
    </row>
    <row r="353" ht="23.25" customHeight="1" s="42">
      <c r="A353" s="52" t="inlineStr">
        <is>
          <t>Molson Coors</t>
        </is>
      </c>
      <c r="B353" s="52" t="inlineStr">
        <is>
          <t>p_generic_post</t>
        </is>
      </c>
      <c r="C353" s="52" t="inlineStr">
        <is>
          <t>Annual Pride posts (through 2024)</t>
        </is>
      </c>
      <c r="D353" s="51" t="inlineStr">
        <is>
          <t>Cosmetic</t>
        </is>
      </c>
      <c r="E353" s="51" t="inlineStr">
        <is>
          <t>Positive</t>
        </is>
      </c>
      <c r="F353" s="51" t="n">
        <v>2</v>
      </c>
      <c r="G353" s="51" t="n">
        <v>2024</v>
      </c>
      <c r="H353" s="52" t="inlineStr">
        <is>
          <t>https://web.archive.org/web/2024/https://www.molsoncoors.com/sustainability/diversity-equity-inclusion</t>
        </is>
      </c>
      <c r="I353" s="52" t="inlineStr">
        <is>
          <t>Archive</t>
        </is>
      </c>
      <c r="J353" s="51" t="inlineStr">
        <is>
          <t>No</t>
        </is>
      </c>
      <c r="K353" s="52" t="inlineStr"/>
    </row>
    <row r="354" ht="23.25" customHeight="1" s="42">
      <c r="A354" s="52" t="inlineStr">
        <is>
          <t>Molson Coors</t>
        </is>
      </c>
      <c r="B354" s="52" t="inlineStr">
        <is>
          <t>p_merch_collection</t>
        </is>
      </c>
      <c r="C354" s="52" t="inlineStr">
        <is>
          <t>Pride-themed packaging/merchandise (Coors Light LGBTQ+ marketing legacy)</t>
        </is>
      </c>
      <c r="D354" s="51" t="inlineStr">
        <is>
          <t>Commercial</t>
        </is>
      </c>
      <c r="E354" s="51" t="inlineStr">
        <is>
          <t>Positive</t>
        </is>
      </c>
      <c r="F354" s="51" t="n">
        <v>6</v>
      </c>
      <c r="G354" s="51" t="n">
        <v>2023</v>
      </c>
      <c r="H354" s="52" t="inlineStr">
        <is>
          <t>https://web.archive.org/web/2023/https://www.molsoncoors.com/</t>
        </is>
      </c>
      <c r="I354" s="52" t="inlineStr">
        <is>
          <t>Archive</t>
        </is>
      </c>
      <c r="J354" s="51" t="inlineStr">
        <is>
          <t>No</t>
        </is>
      </c>
      <c r="K354" s="52" t="inlineStr"/>
    </row>
    <row r="355" ht="23.25" customHeight="1" s="42">
      <c r="A355" s="52" t="inlineStr">
        <is>
          <t>Molson Coors</t>
        </is>
      </c>
      <c r="B355" s="52" t="inlineStr">
        <is>
          <t>p_parade_sponsor</t>
        </is>
      </c>
      <c r="C355" s="52" t="inlineStr">
        <is>
          <t>Pride event sponsorships in multiple markets (ended in rollback)</t>
        </is>
      </c>
      <c r="D355" s="51" t="inlineStr">
        <is>
          <t>Civic</t>
        </is>
      </c>
      <c r="E355" s="51" t="inlineStr">
        <is>
          <t>Positive</t>
        </is>
      </c>
      <c r="F355" s="51" t="n">
        <v>12</v>
      </c>
      <c r="G355" s="51" t="n">
        <v>2024</v>
      </c>
      <c r="H355" s="52" t="inlineStr">
        <is>
          <t>https://www.hrc.org/press-releases/hrc-foundation-announces-record-participation-in-upcoming-2025-corporate-equality-index-docks-scores-of-seven-companies-in-current-ranking-following-their-pullback-from-workplace-inclusion</t>
        </is>
      </c>
      <c r="I355" s="52" t="inlineStr">
        <is>
          <t>HRC</t>
        </is>
      </c>
      <c r="J355" s="51" t="inlineStr">
        <is>
          <t>No</t>
        </is>
      </c>
      <c r="K355" s="52" t="inlineStr"/>
    </row>
    <row r="356" ht="23.25" customHeight="1" s="42">
      <c r="A356" s="52" t="inlineStr">
        <is>
          <t>Molson Coors</t>
        </is>
      </c>
      <c r="B356" s="52" t="inlineStr">
        <is>
          <t>p_erg_support</t>
        </is>
      </c>
      <c r="C356" s="52" t="inlineStr">
        <is>
          <t>Funded LGBTQ+ employee resource group</t>
        </is>
      </c>
      <c r="D356" s="51" t="inlineStr">
        <is>
          <t>Civic</t>
        </is>
      </c>
      <c r="E356" s="51" t="inlineStr">
        <is>
          <t>Positive</t>
        </is>
      </c>
      <c r="F356" s="51" t="n">
        <v>15</v>
      </c>
      <c r="G356" s="51" t="n">
        <v>2024</v>
      </c>
      <c r="H356" s="52" t="inlineStr">
        <is>
          <t>https://web.archive.org/web/2024/https://www.molsoncoors.com/sustainability/diversity-equity-inclusion</t>
        </is>
      </c>
      <c r="I356" s="52" t="inlineStr">
        <is>
          <t>Archive</t>
        </is>
      </c>
      <c r="J356" s="51" t="inlineStr">
        <is>
          <t>No</t>
        </is>
      </c>
      <c r="K356" s="52" t="inlineStr"/>
    </row>
    <row r="357" ht="23.25" customHeight="1" s="42">
      <c r="A357" s="52" t="inlineStr">
        <is>
          <t>Molson Coors</t>
        </is>
      </c>
      <c r="B357" s="52" t="inlineStr">
        <is>
          <t>n_dei_removal</t>
        </is>
      </c>
      <c r="C357" s="52" t="inlineStr">
        <is>
          <t>Ended DEI training, supplier diversity goals and CEI participation; HRC docked score -25</t>
        </is>
      </c>
      <c r="D357" s="51" t="inlineStr">
        <is>
          <t>—</t>
        </is>
      </c>
      <c r="E357" s="51" t="inlineStr">
        <is>
          <t>Negative</t>
        </is>
      </c>
      <c r="F357" s="51" t="n">
        <v>-32</v>
      </c>
      <c r="G357" s="51" t="n">
        <v>2024</v>
      </c>
      <c r="H357" s="52" t="inlineStr">
        <is>
          <t>https://www.hrc.org/press-releases/hrc-foundation-announces-record-participation-in-upcoming-2025-corporate-equality-index-docks-scores-of-seven-companies-in-current-ranking-following-their-pullback-from-workplace-inclusion</t>
        </is>
      </c>
      <c r="I357" s="52" t="inlineStr">
        <is>
          <t>HRC</t>
        </is>
      </c>
      <c r="J357" s="51" t="inlineStr">
        <is>
          <t>No</t>
        </is>
      </c>
      <c r="K357" s="52" t="inlineStr">
        <is>
          <t>One of 7 docked companies</t>
        </is>
      </c>
    </row>
    <row r="358" ht="23.25" customHeight="1" s="42">
      <c r="A358" s="52" t="inlineStr">
        <is>
          <t>Molson Coors</t>
        </is>
      </c>
      <c r="B358" s="52" t="inlineStr">
        <is>
          <t>n_pride_retreat</t>
        </is>
      </c>
      <c r="C358" s="52" t="inlineStr">
        <is>
          <t>Publicly retreated from inclusion commitments and Pride sponsorship posture under activist pressure</t>
        </is>
      </c>
      <c r="D358" s="51" t="inlineStr">
        <is>
          <t>—</t>
        </is>
      </c>
      <c r="E358" s="51" t="inlineStr">
        <is>
          <t>Negative</t>
        </is>
      </c>
      <c r="F358" s="51" t="n">
        <v>-22</v>
      </c>
      <c r="G358" s="51" t="n">
        <v>2024</v>
      </c>
      <c r="H358" s="52" t="inlineStr">
        <is>
          <t>https://www.hrc.org/press-releases/hrc-foundation-announces-record-participation-in-upcoming-2025-corporate-equality-index-docks-scores-of-seven-companies-in-current-ranking-following-their-pullback-from-workplace-inclusion</t>
        </is>
      </c>
      <c r="I358" s="52" t="inlineStr">
        <is>
          <t>HRC</t>
        </is>
      </c>
      <c r="J358" s="51" t="inlineStr">
        <is>
          <t>No</t>
        </is>
      </c>
      <c r="K358" s="52" t="inlineStr"/>
    </row>
    <row r="359" ht="23.25" customHeight="1" s="42">
      <c r="A359" s="52" t="inlineStr">
        <is>
          <t>Constellation Brands</t>
        </is>
      </c>
      <c r="B359" s="52" t="inlineStr">
        <is>
          <t>p_generic_post</t>
        </is>
      </c>
      <c r="C359" s="52" t="inlineStr">
        <is>
          <t>Occasional Pride posts via brands</t>
        </is>
      </c>
      <c r="D359" s="51" t="inlineStr">
        <is>
          <t>Cosmetic</t>
        </is>
      </c>
      <c r="E359" s="51" t="inlineStr">
        <is>
          <t>Positive</t>
        </is>
      </c>
      <c r="F359" s="51" t="n">
        <v>2</v>
      </c>
      <c r="G359" s="51" t="n">
        <v>2024</v>
      </c>
      <c r="H359" s="52" t="inlineStr">
        <is>
          <t>https://web.archive.org/web/2024/https://www.cbrands.com/</t>
        </is>
      </c>
      <c r="I359" s="52" t="inlineStr">
        <is>
          <t>Archive</t>
        </is>
      </c>
      <c r="J359" s="51" t="inlineStr">
        <is>
          <t>No</t>
        </is>
      </c>
      <c r="K359" s="52" t="inlineStr"/>
    </row>
    <row r="360" ht="23.25" customHeight="1" s="42">
      <c r="A360" s="52" t="inlineStr">
        <is>
          <t>Mondelez International</t>
        </is>
      </c>
      <c r="B360" s="52" t="inlineStr">
        <is>
          <t>p_generic_post</t>
        </is>
      </c>
      <c r="C360" s="52" t="inlineStr">
        <is>
          <t>Pride posts across brands</t>
        </is>
      </c>
      <c r="D360" s="51" t="inlineStr">
        <is>
          <t>Cosmetic</t>
        </is>
      </c>
      <c r="E360" s="51" t="inlineStr">
        <is>
          <t>Positive</t>
        </is>
      </c>
      <c r="F360" s="51" t="n">
        <v>2</v>
      </c>
      <c r="G360" s="51" t="n">
        <v>2024</v>
      </c>
      <c r="H360" s="52" t="inlineStr">
        <is>
          <t>https://web.archive.org/web/2024/https://www.mondelezinternational.com/</t>
        </is>
      </c>
      <c r="I360" s="52" t="inlineStr">
        <is>
          <t>Archive</t>
        </is>
      </c>
      <c r="J360" s="51" t="inlineStr">
        <is>
          <t>No</t>
        </is>
      </c>
      <c r="K360" s="52" t="inlineStr"/>
    </row>
    <row r="361" ht="23.25" customHeight="1" s="42">
      <c r="A361" s="52" t="inlineStr">
        <is>
          <t>Mondelez International</t>
        </is>
      </c>
      <c r="B361" s="52" t="inlineStr">
        <is>
          <t>p_collab</t>
        </is>
      </c>
      <c r="C361" s="52" t="inlineStr">
        <is>
          <t>OREO 'Proud Parent' campaign with PFLAG and rainbow OREO activations</t>
        </is>
      </c>
      <c r="D361" s="51" t="inlineStr">
        <is>
          <t>Commercial</t>
        </is>
      </c>
      <c r="E361" s="51" t="inlineStr">
        <is>
          <t>Positive</t>
        </is>
      </c>
      <c r="F361" s="51" t="n">
        <v>8</v>
      </c>
      <c r="G361" s="51" t="n">
        <v>2021</v>
      </c>
      <c r="H361" s="52" t="inlineStr">
        <is>
          <t>https://web.archive.org/web/2021/https://www.oreo.com/proudparent</t>
        </is>
      </c>
      <c r="I361" s="52" t="inlineStr">
        <is>
          <t>Archive</t>
        </is>
      </c>
      <c r="J361" s="51" t="inlineStr">
        <is>
          <t>No</t>
        </is>
      </c>
      <c r="K361" s="52" t="inlineStr"/>
    </row>
    <row r="362" ht="23.25" customHeight="1" s="42">
      <c r="A362" s="52" t="inlineStr">
        <is>
          <t>Mondelez International</t>
        </is>
      </c>
      <c r="B362" s="52" t="inlineStr">
        <is>
          <t>p_merch_collection</t>
        </is>
      </c>
      <c r="C362" s="52" t="inlineStr">
        <is>
          <t>Pride/allyship-themed OREO packs and giveaways</t>
        </is>
      </c>
      <c r="D362" s="51" t="inlineStr">
        <is>
          <t>Commercial</t>
        </is>
      </c>
      <c r="E362" s="51" t="inlineStr">
        <is>
          <t>Positive</t>
        </is>
      </c>
      <c r="F362" s="51" t="n">
        <v>6</v>
      </c>
      <c r="G362" s="51" t="n">
        <v>2021</v>
      </c>
      <c r="H362" s="52" t="inlineStr">
        <is>
          <t>https://web.archive.org/web/2021/https://www.oreo.com/proudparent</t>
        </is>
      </c>
      <c r="I362" s="52" t="inlineStr">
        <is>
          <t>Archive</t>
        </is>
      </c>
      <c r="J362" s="51" t="inlineStr">
        <is>
          <t>No</t>
        </is>
      </c>
      <c r="K362" s="52" t="inlineStr"/>
    </row>
    <row r="363" ht="23.25" customHeight="1" s="42">
      <c r="A363" s="52" t="inlineStr">
        <is>
          <t>Kraft Heinz</t>
        </is>
      </c>
      <c r="B363" s="52" t="inlineStr">
        <is>
          <t>p_generic_post</t>
        </is>
      </c>
      <c r="C363" s="52" t="inlineStr">
        <is>
          <t>Occasional brand Pride posts</t>
        </is>
      </c>
      <c r="D363" s="51" t="inlineStr">
        <is>
          <t>Cosmetic</t>
        </is>
      </c>
      <c r="E363" s="51" t="inlineStr">
        <is>
          <t>Positive</t>
        </is>
      </c>
      <c r="F363" s="51" t="n">
        <v>2</v>
      </c>
      <c r="G363" s="51" t="n">
        <v>2024</v>
      </c>
      <c r="H363" s="52" t="inlineStr">
        <is>
          <t>https://web.archive.org/web/2024/https://www.kraftheinzcompany.com/esg/diversity-equity-inclusion</t>
        </is>
      </c>
      <c r="I363" s="52" t="inlineStr">
        <is>
          <t>Archive</t>
        </is>
      </c>
      <c r="J363" s="51" t="inlineStr">
        <is>
          <t>No</t>
        </is>
      </c>
      <c r="K363" s="52" t="inlineStr"/>
    </row>
    <row r="364" ht="23.25" customHeight="1" s="42">
      <c r="A364" s="52" t="inlineStr">
        <is>
          <t>Hershey</t>
        </is>
      </c>
      <c r="B364" s="52" t="inlineStr">
        <is>
          <t>p_generic_post</t>
        </is>
      </c>
      <c r="C364" s="52" t="inlineStr">
        <is>
          <t>Pride posts and engagement</t>
        </is>
      </c>
      <c r="D364" s="51" t="inlineStr">
        <is>
          <t>Cosmetic</t>
        </is>
      </c>
      <c r="E364" s="51" t="inlineStr">
        <is>
          <t>Positive</t>
        </is>
      </c>
      <c r="F364" s="51" t="n">
        <v>2</v>
      </c>
      <c r="G364" s="51" t="n">
        <v>2024</v>
      </c>
      <c r="H364" s="52" t="inlineStr">
        <is>
          <t>https://web.archive.org/web/2024/https://www.thehersheycompany.com/en_us/home/our-story/diversity-equity-inclusion.html</t>
        </is>
      </c>
      <c r="I364" s="52" t="inlineStr">
        <is>
          <t>Archive</t>
        </is>
      </c>
      <c r="J364" s="51" t="inlineStr">
        <is>
          <t>No</t>
        </is>
      </c>
      <c r="K364" s="52" t="inlineStr"/>
    </row>
    <row r="365" ht="23.25" customHeight="1" s="42">
      <c r="A365" s="52" t="inlineStr">
        <is>
          <t>Hershey</t>
        </is>
      </c>
      <c r="B365" s="52" t="inlineStr">
        <is>
          <t>p_collab</t>
        </is>
      </c>
      <c r="C365" s="52" t="inlineStr">
        <is>
          <t>Campaign featuring trans activist Fae Johnstone (Hershey's Canada IWD 2023), maintained through boycott pressure</t>
        </is>
      </c>
      <c r="D365" s="51" t="inlineStr">
        <is>
          <t>Commercial</t>
        </is>
      </c>
      <c r="E365" s="51" t="inlineStr">
        <is>
          <t>Positive</t>
        </is>
      </c>
      <c r="F365" s="51" t="n">
        <v>8</v>
      </c>
      <c r="G365" s="51" t="n">
        <v>2023</v>
      </c>
      <c r="H365" s="52" t="inlineStr">
        <is>
          <t>https://en.wikipedia.org/wiki/Fae_Johnstone</t>
        </is>
      </c>
      <c r="I365" s="52" t="inlineStr">
        <is>
          <t>News</t>
        </is>
      </c>
      <c r="J365" s="51" t="inlineStr">
        <is>
          <t>No</t>
        </is>
      </c>
      <c r="K365" s="52" t="inlineStr"/>
    </row>
    <row r="366" ht="23.25" customHeight="1" s="42">
      <c r="A366" s="52" t="inlineStr">
        <is>
          <t>Morgan Stanley</t>
        </is>
      </c>
      <c r="B366" s="52" t="inlineStr">
        <is>
          <t>p_generic_post</t>
        </is>
      </c>
      <c r="C366" s="52" t="inlineStr">
        <is>
          <t>Annual Pride posts and engagement</t>
        </is>
      </c>
      <c r="D366" s="51" t="inlineStr">
        <is>
          <t>Cosmetic</t>
        </is>
      </c>
      <c r="E366" s="51" t="inlineStr">
        <is>
          <t>Positive</t>
        </is>
      </c>
      <c r="F366" s="51" t="n">
        <v>2</v>
      </c>
      <c r="G366" s="51" t="n">
        <v>2024</v>
      </c>
      <c r="H366" s="52" t="inlineStr">
        <is>
          <t>https://web.archive.org/web/2024/https://www.morganstanley.com/about-us/diversity</t>
        </is>
      </c>
      <c r="I366" s="52" t="inlineStr">
        <is>
          <t>Archive</t>
        </is>
      </c>
      <c r="J366" s="51" t="inlineStr">
        <is>
          <t>No</t>
        </is>
      </c>
      <c r="K366" s="52" t="inlineStr"/>
    </row>
    <row r="367" ht="23.25" customHeight="1" s="42">
      <c r="A367" s="52" t="inlineStr">
        <is>
          <t>Morgan Stanley</t>
        </is>
      </c>
      <c r="B367" s="52" t="inlineStr">
        <is>
          <t>p_erg_support</t>
        </is>
      </c>
      <c r="C367" s="52" t="inlineStr">
        <is>
          <t>Funded Pride &amp; Allies employee network</t>
        </is>
      </c>
      <c r="D367" s="51" t="inlineStr">
        <is>
          <t>Civic</t>
        </is>
      </c>
      <c r="E367" s="51" t="inlineStr">
        <is>
          <t>Positive</t>
        </is>
      </c>
      <c r="F367" s="51" t="n">
        <v>15</v>
      </c>
      <c r="G367" s="51" t="n">
        <v>2024</v>
      </c>
      <c r="H367" s="52" t="inlineStr">
        <is>
          <t>https://web.archive.org/web/2024/https://www.morganstanley.com/about-us/diversity</t>
        </is>
      </c>
      <c r="I367" s="52" t="inlineStr">
        <is>
          <t>Archive</t>
        </is>
      </c>
      <c r="J367" s="51" t="inlineStr">
        <is>
          <t>No</t>
        </is>
      </c>
      <c r="K367" s="52" t="inlineStr"/>
    </row>
    <row r="368" ht="23.25" customHeight="1" s="42">
      <c r="A368" s="52" t="inlineStr">
        <is>
          <t>BlackRock</t>
        </is>
      </c>
      <c r="B368" s="52" t="inlineStr">
        <is>
          <t>p_generic_post</t>
        </is>
      </c>
      <c r="C368" s="52" t="inlineStr">
        <is>
          <t>Annual Pride posts and engagement</t>
        </is>
      </c>
      <c r="D368" s="51" t="inlineStr">
        <is>
          <t>Cosmetic</t>
        </is>
      </c>
      <c r="E368" s="51" t="inlineStr">
        <is>
          <t>Positive</t>
        </is>
      </c>
      <c r="F368" s="51" t="n">
        <v>2</v>
      </c>
      <c r="G368" s="51" t="n">
        <v>2024</v>
      </c>
      <c r="H368" s="52" t="inlineStr">
        <is>
          <t>https://web.archive.org/web/2024/https://careers.blackrock.com/life-at-blackrock/inclusion-and-diversity/</t>
        </is>
      </c>
      <c r="I368" s="52" t="inlineStr">
        <is>
          <t>Archive</t>
        </is>
      </c>
      <c r="J368" s="51" t="inlineStr">
        <is>
          <t>No</t>
        </is>
      </c>
      <c r="K368" s="52" t="inlineStr"/>
    </row>
    <row r="369" ht="23.25" customHeight="1" s="42">
      <c r="A369" s="52" t="inlineStr">
        <is>
          <t>BlackRock</t>
        </is>
      </c>
      <c r="B369" s="52" t="inlineStr">
        <is>
          <t>p_erg_support</t>
        </is>
      </c>
      <c r="C369" s="52" t="inlineStr">
        <is>
          <t>Funded LGBTQ+ employee network</t>
        </is>
      </c>
      <c r="D369" s="51" t="inlineStr">
        <is>
          <t>Civic</t>
        </is>
      </c>
      <c r="E369" s="51" t="inlineStr">
        <is>
          <t>Positive</t>
        </is>
      </c>
      <c r="F369" s="51" t="n">
        <v>15</v>
      </c>
      <c r="G369" s="51" t="n">
        <v>2024</v>
      </c>
      <c r="H369" s="52" t="inlineStr">
        <is>
          <t>https://web.archive.org/web/2024/https://careers.blackrock.com/life-at-blackrock/inclusion-and-diversity/</t>
        </is>
      </c>
      <c r="I369" s="52" t="inlineStr">
        <is>
          <t>Archive</t>
        </is>
      </c>
      <c r="J369" s="51" t="inlineStr">
        <is>
          <t>No</t>
        </is>
      </c>
      <c r="K369" s="52" t="inlineStr"/>
    </row>
    <row r="370" ht="23.25" customHeight="1" s="42">
      <c r="A370" s="52" t="inlineStr">
        <is>
          <t>BlackRock</t>
        </is>
      </c>
      <c r="B370" s="52" t="inlineStr">
        <is>
          <t>n_dei_removal</t>
        </is>
      </c>
      <c r="C370" s="52" t="inlineStr">
        <is>
          <t>Dropped workforce diversity targets and DEI language from filings/stewardship materials</t>
        </is>
      </c>
      <c r="D370" s="51" t="inlineStr">
        <is>
          <t>—</t>
        </is>
      </c>
      <c r="E370" s="51" t="inlineStr">
        <is>
          <t>Negative</t>
        </is>
      </c>
      <c r="F370" s="51" t="n">
        <v>-32</v>
      </c>
      <c r="G370" s="51" t="n">
        <v>2025</v>
      </c>
      <c r="H370" s="52" t="inlineStr">
        <is>
          <t>https://www.techtarget.com/whatis/feature/What-companies-are-rolling-back-DEI-policies</t>
        </is>
      </c>
      <c r="I370" s="52" t="inlineStr">
        <is>
          <t>News</t>
        </is>
      </c>
      <c r="J370" s="51" t="inlineStr">
        <is>
          <t>Yes</t>
        </is>
      </c>
      <c r="K370" s="52" t="inlineStr">
        <is>
          <t>Archived before-state: https://web.archive.org/web/2024/https://careers.blackrock.com/life-at-blackrock/inclusion-and-diversity/</t>
        </is>
      </c>
    </row>
    <row r="371" ht="23.25" customHeight="1" s="42">
      <c r="A371" s="52" t="inlineStr">
        <is>
          <t>U.S. Bancorp</t>
        </is>
      </c>
      <c r="B371" s="52" t="inlineStr">
        <is>
          <t>p_generic_post</t>
        </is>
      </c>
      <c r="C371" s="52" t="inlineStr">
        <is>
          <t>Pride posts and local sponsorship history</t>
        </is>
      </c>
      <c r="D371" s="51" t="inlineStr">
        <is>
          <t>Cosmetic</t>
        </is>
      </c>
      <c r="E371" s="51" t="inlineStr">
        <is>
          <t>Positive</t>
        </is>
      </c>
      <c r="F371" s="51" t="n">
        <v>2</v>
      </c>
      <c r="G371" s="51" t="n">
        <v>2024</v>
      </c>
      <c r="H371" s="52" t="inlineStr">
        <is>
          <t>https://web.archive.org/web/2024/https://www.usbank.com/about-us-bank/diversity-equity-inclusion.html</t>
        </is>
      </c>
      <c r="I371" s="52" t="inlineStr">
        <is>
          <t>Archive</t>
        </is>
      </c>
      <c r="J371" s="51" t="inlineStr">
        <is>
          <t>No</t>
        </is>
      </c>
      <c r="K371" s="52" t="inlineStr"/>
    </row>
    <row r="372" ht="23.25" customHeight="1" s="42">
      <c r="A372" s="52" t="inlineStr">
        <is>
          <t>U.S. Bancorp</t>
        </is>
      </c>
      <c r="B372" s="52" t="inlineStr">
        <is>
          <t>p_erg_support</t>
        </is>
      </c>
      <c r="C372" s="52" t="inlineStr">
        <is>
          <t>Funded LGBTQ+ business resource group</t>
        </is>
      </c>
      <c r="D372" s="51" t="inlineStr">
        <is>
          <t>Civic</t>
        </is>
      </c>
      <c r="E372" s="51" t="inlineStr">
        <is>
          <t>Positive</t>
        </is>
      </c>
      <c r="F372" s="51" t="n">
        <v>15</v>
      </c>
      <c r="G372" s="51" t="n">
        <v>2024</v>
      </c>
      <c r="H372" s="52" t="inlineStr">
        <is>
          <t>https://web.archive.org/web/2024/https://www.usbank.com/about-us-bank/diversity-equity-inclusion.html</t>
        </is>
      </c>
      <c r="I372" s="52" t="inlineStr">
        <is>
          <t>Archive</t>
        </is>
      </c>
      <c r="J372" s="51" t="inlineStr">
        <is>
          <t>No</t>
        </is>
      </c>
      <c r="K372" s="52" t="inlineStr"/>
    </row>
    <row r="373" ht="23.25" customHeight="1" s="42">
      <c r="A373" s="52" t="inlineStr">
        <is>
          <t>PNC Financial Services</t>
        </is>
      </c>
      <c r="B373" s="52" t="inlineStr">
        <is>
          <t>p_generic_post</t>
        </is>
      </c>
      <c r="C373" s="52" t="inlineStr">
        <is>
          <t>Occasional Pride posts</t>
        </is>
      </c>
      <c r="D373" s="51" t="inlineStr">
        <is>
          <t>Cosmetic</t>
        </is>
      </c>
      <c r="E373" s="51" t="inlineStr">
        <is>
          <t>Positive</t>
        </is>
      </c>
      <c r="F373" s="51" t="n">
        <v>2</v>
      </c>
      <c r="G373" s="51" t="n">
        <v>2024</v>
      </c>
      <c r="H373" s="52" t="inlineStr">
        <is>
          <t>https://web.archive.org/web/2024/https://www.pnc.com/en/about-pnc/company-profile/diversity-and-inclusion.html</t>
        </is>
      </c>
      <c r="I373" s="52" t="inlineStr">
        <is>
          <t>Archive</t>
        </is>
      </c>
      <c r="J373" s="51" t="inlineStr">
        <is>
          <t>No</t>
        </is>
      </c>
      <c r="K373" s="52" t="inlineStr"/>
    </row>
    <row r="374" ht="23.25" customHeight="1" s="42">
      <c r="A374" s="52" t="inlineStr">
        <is>
          <t>Capital One</t>
        </is>
      </c>
      <c r="B374" s="52" t="inlineStr">
        <is>
          <t>p_generic_post</t>
        </is>
      </c>
      <c r="C374" s="52" t="inlineStr">
        <is>
          <t>Pride posts and engagement</t>
        </is>
      </c>
      <c r="D374" s="51" t="inlineStr">
        <is>
          <t>Cosmetic</t>
        </is>
      </c>
      <c r="E374" s="51" t="inlineStr">
        <is>
          <t>Positive</t>
        </is>
      </c>
      <c r="F374" s="51" t="n">
        <v>2</v>
      </c>
      <c r="G374" s="51" t="n">
        <v>2024</v>
      </c>
      <c r="H374" s="52" t="inlineStr">
        <is>
          <t>https://web.archive.org/web/2024/https://www.capitalonecareers.com/diversity-inclusion-belonging</t>
        </is>
      </c>
      <c r="I374" s="52" t="inlineStr">
        <is>
          <t>Archive</t>
        </is>
      </c>
      <c r="J374" s="51" t="inlineStr">
        <is>
          <t>No</t>
        </is>
      </c>
      <c r="K374" s="52" t="inlineStr"/>
    </row>
    <row r="375" ht="23.25" customHeight="1" s="42">
      <c r="A375" s="52" t="inlineStr">
        <is>
          <t>Capital One</t>
        </is>
      </c>
      <c r="B375" s="52" t="inlineStr">
        <is>
          <t>p_erg_support</t>
        </is>
      </c>
      <c r="C375" s="52" t="inlineStr">
        <is>
          <t>Funded Out Front LGBTQ+ employee resource group</t>
        </is>
      </c>
      <c r="D375" s="51" t="inlineStr">
        <is>
          <t>Civic</t>
        </is>
      </c>
      <c r="E375" s="51" t="inlineStr">
        <is>
          <t>Positive</t>
        </is>
      </c>
      <c r="F375" s="51" t="n">
        <v>15</v>
      </c>
      <c r="G375" s="51" t="n">
        <v>2024</v>
      </c>
      <c r="H375" s="52" t="inlineStr">
        <is>
          <t>https://web.archive.org/web/2024/https://www.capitalonecareers.com/diversity-inclusion-belonging</t>
        </is>
      </c>
      <c r="I375" s="52" t="inlineStr">
        <is>
          <t>Archive</t>
        </is>
      </c>
      <c r="J375" s="51" t="inlineStr">
        <is>
          <t>No</t>
        </is>
      </c>
      <c r="K375" s="52" t="inlineStr"/>
    </row>
    <row r="376" ht="23.25" customHeight="1" s="42">
      <c r="A376" s="52" t="inlineStr">
        <is>
          <t>Discover Financial Services</t>
        </is>
      </c>
      <c r="B376" s="52" t="inlineStr">
        <is>
          <t>p_generic_post</t>
        </is>
      </c>
      <c r="C376" s="52" t="inlineStr">
        <is>
          <t>Occasional Pride posts</t>
        </is>
      </c>
      <c r="D376" s="51" t="inlineStr">
        <is>
          <t>Cosmetic</t>
        </is>
      </c>
      <c r="E376" s="51" t="inlineStr">
        <is>
          <t>Positive</t>
        </is>
      </c>
      <c r="F376" s="51" t="n">
        <v>2</v>
      </c>
      <c r="G376" s="51" t="n">
        <v>2024</v>
      </c>
      <c r="H376" s="52" t="inlineStr">
        <is>
          <t>https://web.archive.org/web/2024/https://www.discover.com/company/diversity/</t>
        </is>
      </c>
      <c r="I376" s="52" t="inlineStr">
        <is>
          <t>Archive</t>
        </is>
      </c>
      <c r="J376" s="51" t="inlineStr">
        <is>
          <t>No</t>
        </is>
      </c>
      <c r="K376" s="52" t="inlineStr"/>
    </row>
    <row r="377" ht="23.25" customHeight="1" s="42">
      <c r="A377" s="52" t="inlineStr">
        <is>
          <t>Progressive Corporation</t>
        </is>
      </c>
      <c r="B377" s="52" t="inlineStr">
        <is>
          <t>p_generic_post</t>
        </is>
      </c>
      <c r="C377" s="52" t="inlineStr">
        <is>
          <t>Pride posts and campaigns</t>
        </is>
      </c>
      <c r="D377" s="51" t="inlineStr">
        <is>
          <t>Cosmetic</t>
        </is>
      </c>
      <c r="E377" s="51" t="inlineStr">
        <is>
          <t>Positive</t>
        </is>
      </c>
      <c r="F377" s="51" t="n">
        <v>2</v>
      </c>
      <c r="G377" s="51" t="n">
        <v>2024</v>
      </c>
      <c r="H377" s="52" t="inlineStr">
        <is>
          <t>https://web.archive.org/web/2024/https://www.progressive.com/about/diversity-and-inclusion/</t>
        </is>
      </c>
      <c r="I377" s="52" t="inlineStr">
        <is>
          <t>Archive</t>
        </is>
      </c>
      <c r="J377" s="51" t="inlineStr">
        <is>
          <t>No</t>
        </is>
      </c>
      <c r="K377" s="52" t="inlineStr"/>
    </row>
    <row r="378" ht="23.25" customHeight="1" s="42">
      <c r="A378" s="52" t="inlineStr">
        <is>
          <t>Progressive Corporation</t>
        </is>
      </c>
      <c r="B378" s="52" t="inlineStr">
        <is>
          <t>p_collab</t>
        </is>
      </c>
      <c r="C378" s="52" t="inlineStr">
        <is>
          <t>Mainstream ad campaigns featuring LGBTQ+ couples/families, sustained through boycott calls</t>
        </is>
      </c>
      <c r="D378" s="51" t="inlineStr">
        <is>
          <t>Commercial</t>
        </is>
      </c>
      <c r="E378" s="51" t="inlineStr">
        <is>
          <t>Positive</t>
        </is>
      </c>
      <c r="F378" s="51" t="n">
        <v>8</v>
      </c>
      <c r="G378" s="51" t="n">
        <v>2024</v>
      </c>
      <c r="H378" s="52" t="inlineStr">
        <is>
          <t>https://web.archive.org/web/2024/https://www.progressive.com/about/diversity-and-inclusion/</t>
        </is>
      </c>
      <c r="I378" s="52" t="inlineStr">
        <is>
          <t>Archive</t>
        </is>
      </c>
      <c r="J378" s="51" t="inlineStr">
        <is>
          <t>No</t>
        </is>
      </c>
      <c r="K378" s="52" t="inlineStr"/>
    </row>
    <row r="379" ht="23.25" customHeight="1" s="42">
      <c r="A379" s="52" t="inlineStr">
        <is>
          <t>Progressive Corporation</t>
        </is>
      </c>
      <c r="B379" s="52" t="inlineStr">
        <is>
          <t>p_erg_support</t>
        </is>
      </c>
      <c r="C379" s="52" t="inlineStr">
        <is>
          <t>Funded LGBTQ+ employee resource group (Pride Network)</t>
        </is>
      </c>
      <c r="D379" s="51" t="inlineStr">
        <is>
          <t>Civic</t>
        </is>
      </c>
      <c r="E379" s="51" t="inlineStr">
        <is>
          <t>Positive</t>
        </is>
      </c>
      <c r="F379" s="51" t="n">
        <v>15</v>
      </c>
      <c r="G379" s="51" t="n">
        <v>2024</v>
      </c>
      <c r="H379" s="52" t="inlineStr">
        <is>
          <t>https://web.archive.org/web/2024/https://www.progressive.com/about/diversity-and-inclusion/</t>
        </is>
      </c>
      <c r="I379" s="52" t="inlineStr">
        <is>
          <t>Archive</t>
        </is>
      </c>
      <c r="J379" s="51" t="inlineStr">
        <is>
          <t>No</t>
        </is>
      </c>
      <c r="K379" s="52" t="inlineStr"/>
    </row>
    <row r="380" ht="23.25" customHeight="1" s="42">
      <c r="A380" s="52" t="inlineStr">
        <is>
          <t>Allstate</t>
        </is>
      </c>
      <c r="B380" s="52" t="inlineStr">
        <is>
          <t>p_generic_post</t>
        </is>
      </c>
      <c r="C380" s="52" t="inlineStr">
        <is>
          <t>Occasional Pride posts</t>
        </is>
      </c>
      <c r="D380" s="51" t="inlineStr">
        <is>
          <t>Cosmetic</t>
        </is>
      </c>
      <c r="E380" s="51" t="inlineStr">
        <is>
          <t>Positive</t>
        </is>
      </c>
      <c r="F380" s="51" t="n">
        <v>2</v>
      </c>
      <c r="G380" s="51" t="n">
        <v>2024</v>
      </c>
      <c r="H380" s="52" t="inlineStr">
        <is>
          <t>https://web.archive.org/web/2024/https://www.allstate.com/about/diversity-equity-inclusion</t>
        </is>
      </c>
      <c r="I380" s="52" t="inlineStr">
        <is>
          <t>Archive</t>
        </is>
      </c>
      <c r="J380" s="51" t="inlineStr">
        <is>
          <t>No</t>
        </is>
      </c>
      <c r="K380" s="52" t="inlineStr"/>
    </row>
    <row r="381" ht="23.25" customHeight="1" s="42">
      <c r="A381" s="52" t="inlineStr">
        <is>
          <t>MetLife</t>
        </is>
      </c>
      <c r="B381" s="52" t="inlineStr">
        <is>
          <t>p_generic_post</t>
        </is>
      </c>
      <c r="C381" s="52" t="inlineStr">
        <is>
          <t>Annual Pride posts</t>
        </is>
      </c>
      <c r="D381" s="51" t="inlineStr">
        <is>
          <t>Cosmetic</t>
        </is>
      </c>
      <c r="E381" s="51" t="inlineStr">
        <is>
          <t>Positive</t>
        </is>
      </c>
      <c r="F381" s="51" t="n">
        <v>2</v>
      </c>
      <c r="G381" s="51" t="n">
        <v>2024</v>
      </c>
      <c r="H381" s="52" t="inlineStr">
        <is>
          <t>https://web.archive.org/web/2024/https://www.metlife.com/about-us/corporate-responsibility/diversity-equity-inclusion/</t>
        </is>
      </c>
      <c r="I381" s="52" t="inlineStr">
        <is>
          <t>Archive</t>
        </is>
      </c>
      <c r="J381" s="51" t="inlineStr">
        <is>
          <t>No</t>
        </is>
      </c>
      <c r="K381" s="52" t="inlineStr"/>
    </row>
    <row r="382" ht="23.25" customHeight="1" s="42">
      <c r="A382" s="52" t="inlineStr">
        <is>
          <t>MetLife</t>
        </is>
      </c>
      <c r="B382" s="52" t="inlineStr">
        <is>
          <t>p_benefits</t>
        </is>
      </c>
      <c r="C382" s="52" t="inlineStr">
        <is>
          <t>Inclusive partner and gender-affirming benefits (CEI-verified)</t>
        </is>
      </c>
      <c r="D382" s="51" t="inlineStr">
        <is>
          <t>Structural</t>
        </is>
      </c>
      <c r="E382" s="51" t="inlineStr">
        <is>
          <t>Positive</t>
        </is>
      </c>
      <c r="F382" s="51" t="n">
        <v>22</v>
      </c>
      <c r="G382" s="51" t="n">
        <v>2024</v>
      </c>
      <c r="H382" s="52" t="inlineStr">
        <is>
          <t>https://reports.hrc.org/corporate-equality-index-2025</t>
        </is>
      </c>
      <c r="I382" s="52" t="inlineStr">
        <is>
          <t>HRC</t>
        </is>
      </c>
      <c r="J382" s="51" t="inlineStr">
        <is>
          <t>No</t>
        </is>
      </c>
      <c r="K382" s="52" t="inlineStr"/>
    </row>
    <row r="383" ht="23.25" customHeight="1" s="42">
      <c r="A383" s="52" t="inlineStr">
        <is>
          <t>Prudential Financial</t>
        </is>
      </c>
      <c r="B383" s="52" t="inlineStr">
        <is>
          <t>p_generic_post</t>
        </is>
      </c>
      <c r="C383" s="52" t="inlineStr">
        <is>
          <t>Pride posts and engagement</t>
        </is>
      </c>
      <c r="D383" s="51" t="inlineStr">
        <is>
          <t>Cosmetic</t>
        </is>
      </c>
      <c r="E383" s="51" t="inlineStr">
        <is>
          <t>Positive</t>
        </is>
      </c>
      <c r="F383" s="51" t="n">
        <v>2</v>
      </c>
      <c r="G383" s="51" t="n">
        <v>2024</v>
      </c>
      <c r="H383" s="52" t="inlineStr">
        <is>
          <t>https://web.archive.org/web/2024/https://www.prudential.com/links/about/diversity-equity-inclusion</t>
        </is>
      </c>
      <c r="I383" s="52" t="inlineStr">
        <is>
          <t>Archive</t>
        </is>
      </c>
      <c r="J383" s="51" t="inlineStr">
        <is>
          <t>No</t>
        </is>
      </c>
      <c r="K383" s="52" t="inlineStr"/>
    </row>
    <row r="384" ht="23.25" customHeight="1" s="42">
      <c r="A384" s="52" t="inlineStr">
        <is>
          <t>Prudential Financial</t>
        </is>
      </c>
      <c r="B384" s="52" t="inlineStr">
        <is>
          <t>p_benefits</t>
        </is>
      </c>
      <c r="C384" s="52" t="inlineStr">
        <is>
          <t>Inclusive partner and gender-affirming benefits (CEI-verified)</t>
        </is>
      </c>
      <c r="D384" s="51" t="inlineStr">
        <is>
          <t>Structural</t>
        </is>
      </c>
      <c r="E384" s="51" t="inlineStr">
        <is>
          <t>Positive</t>
        </is>
      </c>
      <c r="F384" s="51" t="n">
        <v>22</v>
      </c>
      <c r="G384" s="51" t="n">
        <v>2024</v>
      </c>
      <c r="H384" s="52" t="inlineStr">
        <is>
          <t>https://reports.hrc.org/corporate-equality-index-2025</t>
        </is>
      </c>
      <c r="I384" s="52" t="inlineStr">
        <is>
          <t>HRC</t>
        </is>
      </c>
      <c r="J384" s="51" t="inlineStr">
        <is>
          <t>No</t>
        </is>
      </c>
      <c r="K384" s="52" t="inlineStr"/>
    </row>
    <row r="385" ht="23.25" customHeight="1" s="42">
      <c r="A385" s="52" t="inlineStr">
        <is>
          <t>AIG</t>
        </is>
      </c>
      <c r="B385" s="52" t="inlineStr">
        <is>
          <t>p_generic_post</t>
        </is>
      </c>
      <c r="C385" s="52" t="inlineStr">
        <is>
          <t>Occasional Pride posts</t>
        </is>
      </c>
      <c r="D385" s="51" t="inlineStr">
        <is>
          <t>Cosmetic</t>
        </is>
      </c>
      <c r="E385" s="51" t="inlineStr">
        <is>
          <t>Positive</t>
        </is>
      </c>
      <c r="F385" s="51" t="n">
        <v>2</v>
      </c>
      <c r="G385" s="51" t="n">
        <v>2024</v>
      </c>
      <c r="H385" s="52" t="inlineStr">
        <is>
          <t>https://web.archive.org/web/2024/https://www.aig.com/about-us/diversity-equity-and-inclusion</t>
        </is>
      </c>
      <c r="I385" s="52" t="inlineStr">
        <is>
          <t>Archive</t>
        </is>
      </c>
      <c r="J385" s="51" t="inlineStr">
        <is>
          <t>No</t>
        </is>
      </c>
      <c r="K385" s="52" t="inlineStr"/>
    </row>
    <row r="386" ht="23.25" customHeight="1" s="42">
      <c r="A386" s="52" t="inlineStr">
        <is>
          <t>Travelers Companies</t>
        </is>
      </c>
      <c r="B386" s="52" t="inlineStr">
        <is>
          <t>p_generic_post</t>
        </is>
      </c>
      <c r="C386" s="52" t="inlineStr">
        <is>
          <t>Occasional Pride posts</t>
        </is>
      </c>
      <c r="D386" s="51" t="inlineStr">
        <is>
          <t>Cosmetic</t>
        </is>
      </c>
      <c r="E386" s="51" t="inlineStr">
        <is>
          <t>Positive</t>
        </is>
      </c>
      <c r="F386" s="51" t="n">
        <v>2</v>
      </c>
      <c r="G386" s="51" t="n">
        <v>2024</v>
      </c>
      <c r="H386" s="52" t="inlineStr">
        <is>
          <t>https://web.archive.org/web/2024/https://careers.travelers.com/life-at-travelers/diversity/</t>
        </is>
      </c>
      <c r="I386" s="52" t="inlineStr">
        <is>
          <t>Archive</t>
        </is>
      </c>
      <c r="J386" s="51" t="inlineStr">
        <is>
          <t>No</t>
        </is>
      </c>
      <c r="K386" s="52" t="inlineStr"/>
    </row>
    <row r="387" ht="23.25" customHeight="1" s="42">
      <c r="A387" s="52" t="inlineStr">
        <is>
          <t>Eli Lilly</t>
        </is>
      </c>
      <c r="B387" s="52" t="inlineStr">
        <is>
          <t>p_generic_post</t>
        </is>
      </c>
      <c r="C387" s="52" t="inlineStr">
        <is>
          <t>Pride posts and Indy Pride engagement</t>
        </is>
      </c>
      <c r="D387" s="51" t="inlineStr">
        <is>
          <t>Cosmetic</t>
        </is>
      </c>
      <c r="E387" s="51" t="inlineStr">
        <is>
          <t>Positive</t>
        </is>
      </c>
      <c r="F387" s="51" t="n">
        <v>2</v>
      </c>
      <c r="G387" s="51" t="n">
        <v>2024</v>
      </c>
      <c r="H387" s="52" t="inlineStr">
        <is>
          <t>https://web.archive.org/web/2024/https://www.lilly.com/about/diversity-equity-inclusion</t>
        </is>
      </c>
      <c r="I387" s="52" t="inlineStr">
        <is>
          <t>Archive</t>
        </is>
      </c>
      <c r="J387" s="51" t="inlineStr">
        <is>
          <t>No</t>
        </is>
      </c>
      <c r="K387" s="52" t="inlineStr"/>
    </row>
    <row r="388" ht="23.25" customHeight="1" s="42">
      <c r="A388" s="52" t="inlineStr">
        <is>
          <t>Eli Lilly</t>
        </is>
      </c>
      <c r="B388" s="52" t="inlineStr">
        <is>
          <t>p_benefits</t>
        </is>
      </c>
      <c r="C388" s="52" t="inlineStr">
        <is>
          <t>Inclusive partner and gender-affirming benefits (CEI-verified)</t>
        </is>
      </c>
      <c r="D388" s="51" t="inlineStr">
        <is>
          <t>Structural</t>
        </is>
      </c>
      <c r="E388" s="51" t="inlineStr">
        <is>
          <t>Positive</t>
        </is>
      </c>
      <c r="F388" s="51" t="n">
        <v>22</v>
      </c>
      <c r="G388" s="51" t="n">
        <v>2024</v>
      </c>
      <c r="H388" s="52" t="inlineStr">
        <is>
          <t>https://reports.hrc.org/corporate-equality-index-2025</t>
        </is>
      </c>
      <c r="I388" s="52" t="inlineStr">
        <is>
          <t>HRC</t>
        </is>
      </c>
      <c r="J388" s="51" t="inlineStr">
        <is>
          <t>No</t>
        </is>
      </c>
      <c r="K388" s="52" t="inlineStr"/>
    </row>
    <row r="389" ht="23.25" customHeight="1" s="42">
      <c r="A389" s="52" t="inlineStr">
        <is>
          <t>Merck &amp; Co.</t>
        </is>
      </c>
      <c r="B389" s="52" t="inlineStr">
        <is>
          <t>p_generic_post</t>
        </is>
      </c>
      <c r="C389" s="52" t="inlineStr">
        <is>
          <t>Pride posts and engagement</t>
        </is>
      </c>
      <c r="D389" s="51" t="inlineStr">
        <is>
          <t>Cosmetic</t>
        </is>
      </c>
      <c r="E389" s="51" t="inlineStr">
        <is>
          <t>Positive</t>
        </is>
      </c>
      <c r="F389" s="51" t="n">
        <v>2</v>
      </c>
      <c r="G389" s="51" t="n">
        <v>2024</v>
      </c>
      <c r="H389" s="52" t="inlineStr">
        <is>
          <t>https://web.archive.org/web/2024/https://www.merck.com/company-overview/culture-and-values/diversity-and-inclusion/</t>
        </is>
      </c>
      <c r="I389" s="52" t="inlineStr">
        <is>
          <t>Archive</t>
        </is>
      </c>
      <c r="J389" s="51" t="inlineStr">
        <is>
          <t>No</t>
        </is>
      </c>
      <c r="K389" s="52" t="inlineStr"/>
    </row>
    <row r="390" ht="23.25" customHeight="1" s="42">
      <c r="A390" s="52" t="inlineStr">
        <is>
          <t>Merck &amp; Co.</t>
        </is>
      </c>
      <c r="B390" s="52" t="inlineStr">
        <is>
          <t>p_benefits</t>
        </is>
      </c>
      <c r="C390" s="52" t="inlineStr">
        <is>
          <t>Inclusive partner and gender-affirming benefits (CEI-verified)</t>
        </is>
      </c>
      <c r="D390" s="51" t="inlineStr">
        <is>
          <t>Structural</t>
        </is>
      </c>
      <c r="E390" s="51" t="inlineStr">
        <is>
          <t>Positive</t>
        </is>
      </c>
      <c r="F390" s="51" t="n">
        <v>22</v>
      </c>
      <c r="G390" s="51" t="n">
        <v>2024</v>
      </c>
      <c r="H390" s="52" t="inlineStr">
        <is>
          <t>https://reports.hrc.org/corporate-equality-index-2025</t>
        </is>
      </c>
      <c r="I390" s="52" t="inlineStr">
        <is>
          <t>HRC</t>
        </is>
      </c>
      <c r="J390" s="51" t="inlineStr">
        <is>
          <t>No</t>
        </is>
      </c>
      <c r="K390" s="52" t="inlineStr"/>
    </row>
    <row r="391" ht="23.25" customHeight="1" s="42">
      <c r="A391" s="52" t="inlineStr">
        <is>
          <t>AbbVie</t>
        </is>
      </c>
      <c r="B391" s="52" t="inlineStr">
        <is>
          <t>p_generic_post</t>
        </is>
      </c>
      <c r="C391" s="52" t="inlineStr">
        <is>
          <t>Pride posts and engagement</t>
        </is>
      </c>
      <c r="D391" s="51" t="inlineStr">
        <is>
          <t>Cosmetic</t>
        </is>
      </c>
      <c r="E391" s="51" t="inlineStr">
        <is>
          <t>Positive</t>
        </is>
      </c>
      <c r="F391" s="51" t="n">
        <v>2</v>
      </c>
      <c r="G391" s="51" t="n">
        <v>2024</v>
      </c>
      <c r="H391" s="52" t="inlineStr">
        <is>
          <t>https://web.archive.org/web/2024/https://www.abbvie.com/who-we-are/diversity-equity-inclusion.html</t>
        </is>
      </c>
      <c r="I391" s="52" t="inlineStr">
        <is>
          <t>Archive</t>
        </is>
      </c>
      <c r="J391" s="51" t="inlineStr">
        <is>
          <t>No</t>
        </is>
      </c>
      <c r="K391" s="52" t="inlineStr"/>
    </row>
    <row r="392" ht="23.25" customHeight="1" s="42">
      <c r="A392" s="52" t="inlineStr">
        <is>
          <t>AbbVie</t>
        </is>
      </c>
      <c r="B392" s="52" t="inlineStr">
        <is>
          <t>p_benefits</t>
        </is>
      </c>
      <c r="C392" s="52" t="inlineStr">
        <is>
          <t>Inclusive partner and gender-affirming benefits (CEI-verified)</t>
        </is>
      </c>
      <c r="D392" s="51" t="inlineStr">
        <is>
          <t>Structural</t>
        </is>
      </c>
      <c r="E392" s="51" t="inlineStr">
        <is>
          <t>Positive</t>
        </is>
      </c>
      <c r="F392" s="51" t="n">
        <v>22</v>
      </c>
      <c r="G392" s="51" t="n">
        <v>2024</v>
      </c>
      <c r="H392" s="52" t="inlineStr">
        <is>
          <t>https://reports.hrc.org/corporate-equality-index-2025</t>
        </is>
      </c>
      <c r="I392" s="52" t="inlineStr">
        <is>
          <t>HRC</t>
        </is>
      </c>
      <c r="J392" s="51" t="inlineStr">
        <is>
          <t>No</t>
        </is>
      </c>
      <c r="K392" s="52" t="inlineStr"/>
    </row>
    <row r="393" ht="23.25" customHeight="1" s="42">
      <c r="A393" s="52" t="inlineStr">
        <is>
          <t>Bristol Myers Squibb</t>
        </is>
      </c>
      <c r="B393" s="52" t="inlineStr">
        <is>
          <t>p_generic_post</t>
        </is>
      </c>
      <c r="C393" s="52" t="inlineStr">
        <is>
          <t>Pride posts and engagement</t>
        </is>
      </c>
      <c r="D393" s="51" t="inlineStr">
        <is>
          <t>Cosmetic</t>
        </is>
      </c>
      <c r="E393" s="51" t="inlineStr">
        <is>
          <t>Positive</t>
        </is>
      </c>
      <c r="F393" s="51" t="n">
        <v>2</v>
      </c>
      <c r="G393" s="51" t="n">
        <v>2024</v>
      </c>
      <c r="H393" s="52" t="inlineStr">
        <is>
          <t>https://web.archive.org/web/2024/https://www.bms.com/about-us/responsibility/diversity-equity-and-inclusion.html</t>
        </is>
      </c>
      <c r="I393" s="52" t="inlineStr">
        <is>
          <t>Archive</t>
        </is>
      </c>
      <c r="J393" s="51" t="inlineStr">
        <is>
          <t>No</t>
        </is>
      </c>
      <c r="K393" s="52" t="inlineStr"/>
    </row>
    <row r="394" ht="23.25" customHeight="1" s="42">
      <c r="A394" s="52" t="inlineStr">
        <is>
          <t>Bristol Myers Squibb</t>
        </is>
      </c>
      <c r="B394" s="52" t="inlineStr">
        <is>
          <t>p_benefits</t>
        </is>
      </c>
      <c r="C394" s="52" t="inlineStr">
        <is>
          <t>Inclusive partner and gender-affirming benefits (CEI-verified)</t>
        </is>
      </c>
      <c r="D394" s="51" t="inlineStr">
        <is>
          <t>Structural</t>
        </is>
      </c>
      <c r="E394" s="51" t="inlineStr">
        <is>
          <t>Positive</t>
        </is>
      </c>
      <c r="F394" s="51" t="n">
        <v>22</v>
      </c>
      <c r="G394" s="51" t="n">
        <v>2024</v>
      </c>
      <c r="H394" s="52" t="inlineStr">
        <is>
          <t>https://reports.hrc.org/corporate-equality-index-2025</t>
        </is>
      </c>
      <c r="I394" s="52" t="inlineStr">
        <is>
          <t>HRC</t>
        </is>
      </c>
      <c r="J394" s="51" t="inlineStr">
        <is>
          <t>No</t>
        </is>
      </c>
      <c r="K394" s="52" t="inlineStr"/>
    </row>
    <row r="395" ht="23.25" customHeight="1" s="42">
      <c r="A395" s="52" t="inlineStr">
        <is>
          <t>Gilead Sciences</t>
        </is>
      </c>
      <c r="B395" s="52" t="inlineStr">
        <is>
          <t>p_generic_post</t>
        </is>
      </c>
      <c r="C395" s="52" t="inlineStr">
        <is>
          <t>Pride posts and engagement</t>
        </is>
      </c>
      <c r="D395" s="51" t="inlineStr">
        <is>
          <t>Cosmetic</t>
        </is>
      </c>
      <c r="E395" s="51" t="inlineStr">
        <is>
          <t>Positive</t>
        </is>
      </c>
      <c r="F395" s="51" t="n">
        <v>2</v>
      </c>
      <c r="G395" s="51" t="n">
        <v>2024</v>
      </c>
      <c r="H395" s="52" t="inlineStr">
        <is>
          <t>https://web.archive.org/web/2024/https://www.gilead.com/</t>
        </is>
      </c>
      <c r="I395" s="52" t="inlineStr">
        <is>
          <t>Archive</t>
        </is>
      </c>
      <c r="J395" s="51" t="inlineStr">
        <is>
          <t>No</t>
        </is>
      </c>
      <c r="K395" s="52" t="inlineStr"/>
    </row>
    <row r="396" ht="23.25" customHeight="1" s="42">
      <c r="A396" s="52" t="inlineStr">
        <is>
          <t>Gilead Sciences</t>
        </is>
      </c>
      <c r="B396" s="52" t="inlineStr">
        <is>
          <t>p_recurring</t>
        </is>
      </c>
      <c r="C396" s="52" t="inlineStr">
        <is>
          <t>COMPASS Initiative: $100M+/10-year commitment to HIV organizations in the US South (2017-ongoing)</t>
        </is>
      </c>
      <c r="D396" s="51" t="inlineStr">
        <is>
          <t>Financial</t>
        </is>
      </c>
      <c r="E396" s="51" t="inlineStr">
        <is>
          <t>Positive</t>
        </is>
      </c>
      <c r="F396" s="51" t="n">
        <v>25</v>
      </c>
      <c r="G396" s="51" t="n">
        <v>2017</v>
      </c>
      <c r="H396" s="52" t="inlineStr">
        <is>
          <t>https://www.gilead.com/purpose/giving/compass-initiative</t>
        </is>
      </c>
      <c r="I396" s="52" t="inlineStr">
        <is>
          <t>Company</t>
        </is>
      </c>
      <c r="J396" s="51" t="inlineStr">
        <is>
          <t>No</t>
        </is>
      </c>
      <c r="K396" s="52" t="inlineStr"/>
    </row>
    <row r="397" ht="23.25" customHeight="1" s="42">
      <c r="A397" s="52" t="inlineStr">
        <is>
          <t>Gilead Sciences</t>
        </is>
      </c>
      <c r="B397" s="52" t="inlineStr">
        <is>
          <t>p_donation_large</t>
        </is>
      </c>
      <c r="C397" s="52" t="inlineStr">
        <is>
          <t>Sustained multi-million-dollar grants to LGBTQ+/HIV organizations (TransAction trans health grants, Zeroing In program)</t>
        </is>
      </c>
      <c r="D397" s="51" t="inlineStr">
        <is>
          <t>Financial</t>
        </is>
      </c>
      <c r="E397" s="51" t="inlineStr">
        <is>
          <t>Positive</t>
        </is>
      </c>
      <c r="F397" s="51" t="n">
        <v>22</v>
      </c>
      <c r="G397" s="51" t="n">
        <v>2024</v>
      </c>
      <c r="H397" s="52" t="inlineStr">
        <is>
          <t>https://www.gilead.com/purpose/giving</t>
        </is>
      </c>
      <c r="I397" s="52" t="inlineStr">
        <is>
          <t>Company</t>
        </is>
      </c>
      <c r="J397" s="51" t="inlineStr">
        <is>
          <t>No</t>
        </is>
      </c>
      <c r="K397" s="52" t="inlineStr"/>
    </row>
    <row r="398" ht="23.25" customHeight="1" s="42">
      <c r="A398" s="52" t="inlineStr">
        <is>
          <t>Amgen</t>
        </is>
      </c>
      <c r="B398" s="52" t="inlineStr">
        <is>
          <t>p_generic_post</t>
        </is>
      </c>
      <c r="C398" s="52" t="inlineStr">
        <is>
          <t>Occasional Pride posts</t>
        </is>
      </c>
      <c r="D398" s="51" t="inlineStr">
        <is>
          <t>Cosmetic</t>
        </is>
      </c>
      <c r="E398" s="51" t="inlineStr">
        <is>
          <t>Positive</t>
        </is>
      </c>
      <c r="F398" s="51" t="n">
        <v>2</v>
      </c>
      <c r="G398" s="51" t="n">
        <v>2024</v>
      </c>
      <c r="H398" s="52" t="inlineStr">
        <is>
          <t>https://web.archive.org/web/2024/https://www.amgen.com/about/diversity-inclusion-and-belonging</t>
        </is>
      </c>
      <c r="I398" s="52" t="inlineStr">
        <is>
          <t>Archive</t>
        </is>
      </c>
      <c r="J398" s="51" t="inlineStr">
        <is>
          <t>No</t>
        </is>
      </c>
      <c r="K398" s="52" t="inlineStr"/>
    </row>
    <row r="399" ht="23.25" customHeight="1" s="42">
      <c r="A399" s="52" t="inlineStr">
        <is>
          <t>Moderna</t>
        </is>
      </c>
      <c r="B399" s="52" t="inlineStr">
        <is>
          <t>p_generic_post</t>
        </is>
      </c>
      <c r="C399" s="52" t="inlineStr">
        <is>
          <t>Occasional Pride posts</t>
        </is>
      </c>
      <c r="D399" s="51" t="inlineStr">
        <is>
          <t>Cosmetic</t>
        </is>
      </c>
      <c r="E399" s="51" t="inlineStr">
        <is>
          <t>Positive</t>
        </is>
      </c>
      <c r="F399" s="51" t="n">
        <v>2</v>
      </c>
      <c r="G399" s="51" t="n">
        <v>2024</v>
      </c>
      <c r="H399" s="52" t="inlineStr">
        <is>
          <t>https://web.archive.org/web/2024/https://www.modernatx.com/</t>
        </is>
      </c>
      <c r="I399" s="52" t="inlineStr">
        <is>
          <t>Archive</t>
        </is>
      </c>
      <c r="J399" s="51" t="inlineStr">
        <is>
          <t>No</t>
        </is>
      </c>
      <c r="K399" s="52" t="inlineStr"/>
    </row>
    <row r="400" ht="23.25" customHeight="1" s="42">
      <c r="A400" s="52" t="inlineStr">
        <is>
          <t>HCA Healthcare</t>
        </is>
      </c>
      <c r="B400" s="52" t="inlineStr">
        <is>
          <t>p_generic_post</t>
        </is>
      </c>
      <c r="C400" s="52" t="inlineStr">
        <is>
          <t>Occasional inclusion posts</t>
        </is>
      </c>
      <c r="D400" s="51" t="inlineStr">
        <is>
          <t>Cosmetic</t>
        </is>
      </c>
      <c r="E400" s="51" t="inlineStr">
        <is>
          <t>Positive</t>
        </is>
      </c>
      <c r="F400" s="51" t="n">
        <v>2</v>
      </c>
      <c r="G400" s="51" t="n">
        <v>2024</v>
      </c>
      <c r="H400" s="52" t="inlineStr">
        <is>
          <t>https://web.archive.org/web/2024/https://hcahealthcare.com/about/our-culture/diversity-equity-and-inclusion.dot</t>
        </is>
      </c>
      <c r="I400" s="52" t="inlineStr">
        <is>
          <t>Archive</t>
        </is>
      </c>
      <c r="J400" s="51" t="inlineStr">
        <is>
          <t>No</t>
        </is>
      </c>
      <c r="K400" s="52" t="inlineStr"/>
    </row>
    <row r="401" ht="23.25" customHeight="1" s="42">
      <c r="A401" s="52" t="inlineStr">
        <is>
          <t>Elevance Health</t>
        </is>
      </c>
      <c r="B401" s="52" t="inlineStr">
        <is>
          <t>p_generic_post</t>
        </is>
      </c>
      <c r="C401" s="52" t="inlineStr">
        <is>
          <t>Prior Pride engagement and DEI reporting</t>
        </is>
      </c>
      <c r="D401" s="51" t="inlineStr">
        <is>
          <t>Cosmetic</t>
        </is>
      </c>
      <c r="E401" s="51" t="inlineStr">
        <is>
          <t>Positive</t>
        </is>
      </c>
      <c r="F401" s="51" t="n">
        <v>2</v>
      </c>
      <c r="G401" s="51" t="n">
        <v>2024</v>
      </c>
      <c r="H401" s="52" t="inlineStr">
        <is>
          <t>https://web.archive.org/web/2024/https://www.elevancehealth.com/who-we-are/diversity-equity-inclusion</t>
        </is>
      </c>
      <c r="I401" s="52" t="inlineStr">
        <is>
          <t>Archive</t>
        </is>
      </c>
      <c r="J401" s="51" t="inlineStr">
        <is>
          <t>No</t>
        </is>
      </c>
      <c r="K401" s="52" t="inlineStr"/>
    </row>
    <row r="402" ht="23.25" customHeight="1" s="42">
      <c r="A402" s="52" t="inlineStr">
        <is>
          <t>Elevance Health</t>
        </is>
      </c>
      <c r="B402" s="52" t="inlineStr">
        <is>
          <t>p_benefits</t>
        </is>
      </c>
      <c r="C402" s="52" t="inlineStr">
        <is>
          <t>Inclusive partner and gender-affirming benefits (CEI-verified)</t>
        </is>
      </c>
      <c r="D402" s="51" t="inlineStr">
        <is>
          <t>Structural</t>
        </is>
      </c>
      <c r="E402" s="51" t="inlineStr">
        <is>
          <t>Positive</t>
        </is>
      </c>
      <c r="F402" s="51" t="n">
        <v>22</v>
      </c>
      <c r="G402" s="51" t="n">
        <v>2024</v>
      </c>
      <c r="H402" s="52" t="inlineStr">
        <is>
          <t>https://reports.hrc.org/corporate-equality-index-2025</t>
        </is>
      </c>
      <c r="I402" s="52" t="inlineStr">
        <is>
          <t>HRC</t>
        </is>
      </c>
      <c r="J402" s="51" t="inlineStr">
        <is>
          <t>No</t>
        </is>
      </c>
      <c r="K402" s="52" t="inlineStr"/>
    </row>
    <row r="403" ht="23.25" customHeight="1" s="42">
      <c r="A403" s="52" t="inlineStr">
        <is>
          <t>Elevance Health</t>
        </is>
      </c>
      <c r="B403" s="52" t="inlineStr">
        <is>
          <t>n_dei_removal</t>
        </is>
      </c>
      <c r="C403" s="52" t="inlineStr">
        <is>
          <t>Revised/softened DEI strategy language in 2025 annual report (insurer retreat pattern)</t>
        </is>
      </c>
      <c r="D403" s="51" t="inlineStr">
        <is>
          <t>—</t>
        </is>
      </c>
      <c r="E403" s="51" t="inlineStr">
        <is>
          <t>Negative</t>
        </is>
      </c>
      <c r="F403" s="51" t="n">
        <v>-32</v>
      </c>
      <c r="G403" s="51" t="n">
        <v>2025</v>
      </c>
      <c r="H403" s="52" t="inlineStr">
        <is>
          <t>https://www.modernhealthcare.com/insurance/unitedhealth-cigna-humana-elevance-dei/</t>
        </is>
      </c>
      <c r="I403" s="52" t="inlineStr">
        <is>
          <t>News</t>
        </is>
      </c>
      <c r="J403" s="51" t="inlineStr">
        <is>
          <t>Yes</t>
        </is>
      </c>
      <c r="K403" s="52" t="inlineStr"/>
    </row>
    <row r="404" ht="23.25" customHeight="1" s="42">
      <c r="A404" s="52" t="inlineStr">
        <is>
          <t>Duke Energy</t>
        </is>
      </c>
      <c r="B404" s="52" t="inlineStr">
        <is>
          <t>p_generic_post</t>
        </is>
      </c>
      <c r="C404" s="52" t="inlineStr">
        <is>
          <t>Occasional Pride posts/local engagement</t>
        </is>
      </c>
      <c r="D404" s="51" t="inlineStr">
        <is>
          <t>Cosmetic</t>
        </is>
      </c>
      <c r="E404" s="51" t="inlineStr">
        <is>
          <t>Positive</t>
        </is>
      </c>
      <c r="F404" s="51" t="n">
        <v>2</v>
      </c>
      <c r="G404" s="51" t="n">
        <v>2024</v>
      </c>
      <c r="H404" s="52" t="inlineStr">
        <is>
          <t>https://web.archive.org/web/2024/https://www.duke-energy.com/our-company/diversity</t>
        </is>
      </c>
      <c r="I404" s="52" t="inlineStr">
        <is>
          <t>Archive</t>
        </is>
      </c>
      <c r="J404" s="51" t="inlineStr">
        <is>
          <t>No</t>
        </is>
      </c>
      <c r="K404" s="52" t="inlineStr"/>
    </row>
    <row r="405" ht="23.25" customHeight="1" s="42">
      <c r="A405" s="52" t="inlineStr">
        <is>
          <t>Dominion Energy</t>
        </is>
      </c>
      <c r="B405" s="52" t="inlineStr">
        <is>
          <t>p_parade_sponsor</t>
        </is>
      </c>
      <c r="C405" s="52" t="inlineStr">
        <is>
          <t>Virginia Pride event sponsorship (prior years)</t>
        </is>
      </c>
      <c r="D405" s="51" t="inlineStr">
        <is>
          <t>Civic</t>
        </is>
      </c>
      <c r="E405" s="51" t="inlineStr">
        <is>
          <t>Positive</t>
        </is>
      </c>
      <c r="F405" s="51" t="n">
        <v>12</v>
      </c>
      <c r="G405" s="51" t="n">
        <v>2023</v>
      </c>
      <c r="H405" s="52" t="inlineStr">
        <is>
          <t>https://web.archive.org/web/2023/https://vapride.org/sponsors/</t>
        </is>
      </c>
      <c r="I405" s="52" t="inlineStr">
        <is>
          <t>Archive</t>
        </is>
      </c>
      <c r="J405" s="51" t="inlineStr">
        <is>
          <t>No</t>
        </is>
      </c>
      <c r="K405" s="52" t="inlineStr"/>
    </row>
    <row r="406" ht="23.25" customHeight="1" s="42">
      <c r="A406" s="52" t="inlineStr">
        <is>
          <t>Wyndham Hotels &amp; Resorts</t>
        </is>
      </c>
      <c r="B406" s="52" t="inlineStr">
        <is>
          <t>p_generic_post</t>
        </is>
      </c>
      <c r="C406" s="52" t="inlineStr">
        <is>
          <t>Occasional Pride posts and LGBTQ+ travel content</t>
        </is>
      </c>
      <c r="D406" s="51" t="inlineStr">
        <is>
          <t>Cosmetic</t>
        </is>
      </c>
      <c r="E406" s="51" t="inlineStr">
        <is>
          <t>Positive</t>
        </is>
      </c>
      <c r="F406" s="51" t="n">
        <v>2</v>
      </c>
      <c r="G406" s="51" t="n">
        <v>2024</v>
      </c>
      <c r="H406" s="52" t="inlineStr">
        <is>
          <t>https://web.archive.org/web/2024/https://corporate.wyndhamhotels.com/corporate-responsibility/diversity-equity-inclusion/</t>
        </is>
      </c>
      <c r="I406" s="52" t="inlineStr">
        <is>
          <t>Archive</t>
        </is>
      </c>
      <c r="J406" s="51" t="inlineStr">
        <is>
          <t>No</t>
        </is>
      </c>
      <c r="K406" s="52" t="inlineStr"/>
    </row>
    <row r="407" ht="23.25" customHeight="1" s="42">
      <c r="A407" s="52" t="inlineStr">
        <is>
          <t>Hyatt Hotels</t>
        </is>
      </c>
      <c r="B407" s="52" t="inlineStr">
        <is>
          <t>p_generic_post</t>
        </is>
      </c>
      <c r="C407" s="52" t="inlineStr">
        <is>
          <t>Annual Pride posts and campaigns</t>
        </is>
      </c>
      <c r="D407" s="51" t="inlineStr">
        <is>
          <t>Cosmetic</t>
        </is>
      </c>
      <c r="E407" s="51" t="inlineStr">
        <is>
          <t>Positive</t>
        </is>
      </c>
      <c r="F407" s="51" t="n">
        <v>2</v>
      </c>
      <c r="G407" s="51" t="n">
        <v>2025</v>
      </c>
      <c r="H407" s="52" t="inlineStr">
        <is>
          <t>https://web.archive.org/web/2025/https://www.hyatt.com/</t>
        </is>
      </c>
      <c r="I407" s="52" t="inlineStr">
        <is>
          <t>Archive</t>
        </is>
      </c>
      <c r="J407" s="51" t="inlineStr">
        <is>
          <t>Yes</t>
        </is>
      </c>
      <c r="K407" s="52" t="inlineStr"/>
    </row>
    <row r="408" ht="23.25" customHeight="1" s="42">
      <c r="A408" s="52" t="inlineStr">
        <is>
          <t>Hyatt Hotels</t>
        </is>
      </c>
      <c r="B408" s="52" t="inlineStr">
        <is>
          <t>p_parade_sponsor</t>
        </is>
      </c>
      <c r="C408" s="52" t="inlineStr">
        <is>
          <t>WorldPride 2025 (Washington DC) supporter</t>
        </is>
      </c>
      <c r="D408" s="51" t="inlineStr">
        <is>
          <t>Civic</t>
        </is>
      </c>
      <c r="E408" s="51" t="inlineStr">
        <is>
          <t>Positive</t>
        </is>
      </c>
      <c r="F408" s="51" t="n">
        <v>12</v>
      </c>
      <c r="G408" s="51" t="n">
        <v>2025</v>
      </c>
      <c r="H408" s="52" t="inlineStr">
        <is>
          <t>https://www.hrdive.com/news/employer-pride-2025/751092/</t>
        </is>
      </c>
      <c r="I408" s="52" t="inlineStr">
        <is>
          <t>News</t>
        </is>
      </c>
      <c r="J408" s="51" t="inlineStr">
        <is>
          <t>Yes</t>
        </is>
      </c>
      <c r="K408" s="52" t="inlineStr"/>
    </row>
    <row r="409" ht="23.25" customHeight="1" s="42">
      <c r="A409" s="52" t="inlineStr">
        <is>
          <t>Hyatt Hotels</t>
        </is>
      </c>
      <c r="B409" s="52" t="inlineStr">
        <is>
          <t>p_erg_support</t>
        </is>
      </c>
      <c r="C409" s="52" t="inlineStr">
        <is>
          <t>Funded LGBTQ+ employee resource group (HyPride)</t>
        </is>
      </c>
      <c r="D409" s="51" t="inlineStr">
        <is>
          <t>Civic</t>
        </is>
      </c>
      <c r="E409" s="51" t="inlineStr">
        <is>
          <t>Positive</t>
        </is>
      </c>
      <c r="F409" s="51" t="n">
        <v>15</v>
      </c>
      <c r="G409" s="51" t="n">
        <v>2024</v>
      </c>
      <c r="H409" s="52" t="inlineStr">
        <is>
          <t>https://web.archive.org/web/2024/https://about.hyatt.com/en/hyattdei.html</t>
        </is>
      </c>
      <c r="I409" s="52" t="inlineStr">
        <is>
          <t>Archive</t>
        </is>
      </c>
      <c r="J409" s="51" t="inlineStr">
        <is>
          <t>No</t>
        </is>
      </c>
      <c r="K409" s="52" t="inlineStr"/>
    </row>
    <row r="410" ht="23.25" customHeight="1" s="42">
      <c r="A410" s="52" t="inlineStr">
        <is>
          <t>Southwest Airlines</t>
        </is>
      </c>
      <c r="B410" s="52" t="inlineStr">
        <is>
          <t>p_generic_post</t>
        </is>
      </c>
      <c r="C410" s="52" t="inlineStr">
        <is>
          <t>Pride posts and engagement</t>
        </is>
      </c>
      <c r="D410" s="51" t="inlineStr">
        <is>
          <t>Cosmetic</t>
        </is>
      </c>
      <c r="E410" s="51" t="inlineStr">
        <is>
          <t>Positive</t>
        </is>
      </c>
      <c r="F410" s="51" t="n">
        <v>2</v>
      </c>
      <c r="G410" s="51" t="n">
        <v>2024</v>
      </c>
      <c r="H410" s="52" t="inlineStr">
        <is>
          <t>https://web.archive.org/web/2024/https://careers.southwestair.com/diversity-equity-inclusion</t>
        </is>
      </c>
      <c r="I410" s="52" t="inlineStr">
        <is>
          <t>Archive</t>
        </is>
      </c>
      <c r="J410" s="51" t="inlineStr">
        <is>
          <t>No</t>
        </is>
      </c>
      <c r="K410" s="52" t="inlineStr"/>
    </row>
    <row r="411" ht="23.25" customHeight="1" s="42">
      <c r="A411" s="52" t="inlineStr">
        <is>
          <t>Southwest Airlines</t>
        </is>
      </c>
      <c r="B411" s="52" t="inlineStr">
        <is>
          <t>p_erg_support</t>
        </is>
      </c>
      <c r="C411" s="52" t="inlineStr">
        <is>
          <t>Funded LGBTQ+ employee resource group</t>
        </is>
      </c>
      <c r="D411" s="51" t="inlineStr">
        <is>
          <t>Civic</t>
        </is>
      </c>
      <c r="E411" s="51" t="inlineStr">
        <is>
          <t>Positive</t>
        </is>
      </c>
      <c r="F411" s="51" t="n">
        <v>15</v>
      </c>
      <c r="G411" s="51" t="n">
        <v>2024</v>
      </c>
      <c r="H411" s="52" t="inlineStr">
        <is>
          <t>https://web.archive.org/web/2024/https://careers.southwestair.com/diversity-equity-inclusion</t>
        </is>
      </c>
      <c r="I411" s="52" t="inlineStr">
        <is>
          <t>Archive</t>
        </is>
      </c>
      <c r="J411" s="51" t="inlineStr">
        <is>
          <t>No</t>
        </is>
      </c>
      <c r="K411" s="52" t="inlineStr"/>
    </row>
    <row r="412" ht="23.25" customHeight="1" s="42">
      <c r="A412" s="52" t="inlineStr">
        <is>
          <t>JetBlue Airways</t>
        </is>
      </c>
      <c r="B412" s="52" t="inlineStr">
        <is>
          <t>p_generic_post</t>
        </is>
      </c>
      <c r="C412" s="52" t="inlineStr">
        <is>
          <t>Annual Pride posts and campaigns</t>
        </is>
      </c>
      <c r="D412" s="51" t="inlineStr">
        <is>
          <t>Cosmetic</t>
        </is>
      </c>
      <c r="E412" s="51" t="inlineStr">
        <is>
          <t>Positive</t>
        </is>
      </c>
      <c r="F412" s="51" t="n">
        <v>2</v>
      </c>
      <c r="G412" s="51" t="n">
        <v>2024</v>
      </c>
      <c r="H412" s="52" t="inlineStr">
        <is>
          <t>https://web.archive.org/web/2024/https://www.jetblue.com/our-company/diversity-equity-inclusion</t>
        </is>
      </c>
      <c r="I412" s="52" t="inlineStr">
        <is>
          <t>Archive</t>
        </is>
      </c>
      <c r="J412" s="51" t="inlineStr">
        <is>
          <t>No</t>
        </is>
      </c>
      <c r="K412" s="52" t="inlineStr"/>
    </row>
    <row r="413" ht="23.25" customHeight="1" s="42">
      <c r="A413" s="52" t="inlineStr">
        <is>
          <t>JetBlue Airways</t>
        </is>
      </c>
      <c r="B413" s="52" t="inlineStr">
        <is>
          <t>p_parade_sponsor</t>
        </is>
      </c>
      <c r="C413" s="52" t="inlineStr">
        <is>
          <t>NYC Pride sponsorship/participation history with Pride activations</t>
        </is>
      </c>
      <c r="D413" s="51" t="inlineStr">
        <is>
          <t>Civic</t>
        </is>
      </c>
      <c r="E413" s="51" t="inlineStr">
        <is>
          <t>Positive</t>
        </is>
      </c>
      <c r="F413" s="51" t="n">
        <v>12</v>
      </c>
      <c r="G413" s="51" t="n">
        <v>2024</v>
      </c>
      <c r="H413" s="52" t="inlineStr">
        <is>
          <t>https://web.archive.org/web/2024/https://www.jetblue.com/our-company/diversity-equity-inclusion</t>
        </is>
      </c>
      <c r="I413" s="52" t="inlineStr">
        <is>
          <t>Archive</t>
        </is>
      </c>
      <c r="J413" s="51" t="inlineStr">
        <is>
          <t>No</t>
        </is>
      </c>
      <c r="K413" s="52" t="inlineStr"/>
    </row>
    <row r="414" ht="23.25" customHeight="1" s="42">
      <c r="A414" s="52" t="inlineStr">
        <is>
          <t>JetBlue Airways</t>
        </is>
      </c>
      <c r="B414" s="52" t="inlineStr">
        <is>
          <t>p_erg_support</t>
        </is>
      </c>
      <c r="C414" s="52" t="inlineStr">
        <is>
          <t>Funded JetPride crewmember resource group</t>
        </is>
      </c>
      <c r="D414" s="51" t="inlineStr">
        <is>
          <t>Civic</t>
        </is>
      </c>
      <c r="E414" s="51" t="inlineStr">
        <is>
          <t>Positive</t>
        </is>
      </c>
      <c r="F414" s="51" t="n">
        <v>15</v>
      </c>
      <c r="G414" s="51" t="n">
        <v>2024</v>
      </c>
      <c r="H414" s="52" t="inlineStr">
        <is>
          <t>https://web.archive.org/web/2024/https://www.jetblue.com/our-company/diversity-equity-inclusion</t>
        </is>
      </c>
      <c r="I414" s="52" t="inlineStr">
        <is>
          <t>Archive</t>
        </is>
      </c>
      <c r="J414" s="51" t="inlineStr">
        <is>
          <t>No</t>
        </is>
      </c>
      <c r="K414" s="52" t="inlineStr"/>
    </row>
    <row r="415" ht="23.25" customHeight="1" s="42">
      <c r="A415" s="52" t="inlineStr">
        <is>
          <t>Royal Caribbean Group</t>
        </is>
      </c>
      <c r="B415" s="52" t="inlineStr">
        <is>
          <t>p_generic_post</t>
        </is>
      </c>
      <c r="C415" s="52" t="inlineStr">
        <is>
          <t>Pride posts and onboard Pride events marketing</t>
        </is>
      </c>
      <c r="D415" s="51" t="inlineStr">
        <is>
          <t>Cosmetic</t>
        </is>
      </c>
      <c r="E415" s="51" t="inlineStr">
        <is>
          <t>Positive</t>
        </is>
      </c>
      <c r="F415" s="51" t="n">
        <v>2</v>
      </c>
      <c r="G415" s="51" t="n">
        <v>2024</v>
      </c>
      <c r="H415" s="52" t="inlineStr">
        <is>
          <t>https://web.archive.org/web/2024/https://www.royalcaribbean.com/</t>
        </is>
      </c>
      <c r="I415" s="52" t="inlineStr">
        <is>
          <t>Archive</t>
        </is>
      </c>
      <c r="J415" s="51" t="inlineStr">
        <is>
          <t>No</t>
        </is>
      </c>
      <c r="K415" s="52" t="inlineStr"/>
    </row>
    <row r="416" ht="23.25" customHeight="1" s="42">
      <c r="A416" s="52" t="inlineStr">
        <is>
          <t>Carnival Corporation</t>
        </is>
      </c>
      <c r="B416" s="52" t="inlineStr">
        <is>
          <t>p_generic_post</t>
        </is>
      </c>
      <c r="C416" s="52" t="inlineStr">
        <is>
          <t>Pride posts and onboard Pride events marketing</t>
        </is>
      </c>
      <c r="D416" s="51" t="inlineStr">
        <is>
          <t>Cosmetic</t>
        </is>
      </c>
      <c r="E416" s="51" t="inlineStr">
        <is>
          <t>Positive</t>
        </is>
      </c>
      <c r="F416" s="51" t="n">
        <v>2</v>
      </c>
      <c r="G416" s="51" t="n">
        <v>2024</v>
      </c>
      <c r="H416" s="52" t="inlineStr">
        <is>
          <t>https://web.archive.org/web/2024/https://www.carnivalcorp.com/</t>
        </is>
      </c>
      <c r="I416" s="52" t="inlineStr">
        <is>
          <t>Archive</t>
        </is>
      </c>
      <c r="J416" s="51" t="inlineStr">
        <is>
          <t>No</t>
        </is>
      </c>
      <c r="K416" s="52" t="inlineStr"/>
    </row>
    <row r="417" ht="23.25" customHeight="1" s="42">
      <c r="A417" s="52" t="inlineStr">
        <is>
          <t>Kimberly-Clark</t>
        </is>
      </c>
      <c r="B417" s="52" t="inlineStr">
        <is>
          <t>p_generic_post</t>
        </is>
      </c>
      <c r="C417" s="52" t="inlineStr">
        <is>
          <t>Pride posts and engagement</t>
        </is>
      </c>
      <c r="D417" s="51" t="inlineStr">
        <is>
          <t>Cosmetic</t>
        </is>
      </c>
      <c r="E417" s="51" t="inlineStr">
        <is>
          <t>Positive</t>
        </is>
      </c>
      <c r="F417" s="51" t="n">
        <v>2</v>
      </c>
      <c r="G417" s="51" t="n">
        <v>2024</v>
      </c>
      <c r="H417" s="52" t="inlineStr">
        <is>
          <t>https://web.archive.org/web/2024/https://www.kimberly-clark.com/en-us/company/diversity-and-inclusion</t>
        </is>
      </c>
      <c r="I417" s="52" t="inlineStr">
        <is>
          <t>Archive</t>
        </is>
      </c>
      <c r="J417" s="51" t="inlineStr">
        <is>
          <t>No</t>
        </is>
      </c>
      <c r="K417" s="52" t="inlineStr"/>
    </row>
    <row r="418" ht="23.25" customHeight="1" s="42">
      <c r="A418" s="52" t="inlineStr">
        <is>
          <t>Kimberly-Clark</t>
        </is>
      </c>
      <c r="B418" s="52" t="inlineStr">
        <is>
          <t>p_benefits</t>
        </is>
      </c>
      <c r="C418" s="52" t="inlineStr">
        <is>
          <t>Inclusive partner and gender-affirming benefits (CEI-verified)</t>
        </is>
      </c>
      <c r="D418" s="51" t="inlineStr">
        <is>
          <t>Structural</t>
        </is>
      </c>
      <c r="E418" s="51" t="inlineStr">
        <is>
          <t>Positive</t>
        </is>
      </c>
      <c r="F418" s="51" t="n">
        <v>22</v>
      </c>
      <c r="G418" s="51" t="n">
        <v>2024</v>
      </c>
      <c r="H418" s="52" t="inlineStr">
        <is>
          <t>https://reports.hrc.org/corporate-equality-index-2025</t>
        </is>
      </c>
      <c r="I418" s="52" t="inlineStr">
        <is>
          <t>HRC</t>
        </is>
      </c>
      <c r="J418" s="51" t="inlineStr">
        <is>
          <t>No</t>
        </is>
      </c>
      <c r="K418" s="52" t="inlineStr"/>
    </row>
    <row r="419" ht="23.25" customHeight="1" s="42">
      <c r="A419" s="52" t="inlineStr">
        <is>
          <t>Estée Lauder</t>
        </is>
      </c>
      <c r="B419" s="52" t="inlineStr">
        <is>
          <t>p_logo_rainbow</t>
        </is>
      </c>
      <c r="C419" s="52" t="inlineStr">
        <is>
          <t>Pride campaigns across brands (MAC, Too Faced, etc.)</t>
        </is>
      </c>
      <c r="D419" s="51" t="inlineStr">
        <is>
          <t>Cosmetic</t>
        </is>
      </c>
      <c r="E419" s="51" t="inlineStr">
        <is>
          <t>Positive</t>
        </is>
      </c>
      <c r="F419" s="51" t="n">
        <v>3</v>
      </c>
      <c r="G419" s="51" t="n">
        <v>2024</v>
      </c>
      <c r="H419" s="52" t="inlineStr">
        <is>
          <t>https://web.archive.org/web/2024/https://www.maccosmetics.com/viva-glam</t>
        </is>
      </c>
      <c r="I419" s="52" t="inlineStr">
        <is>
          <t>Archive</t>
        </is>
      </c>
      <c r="J419" s="51" t="inlineStr">
        <is>
          <t>No</t>
        </is>
      </c>
      <c r="K419" s="52" t="inlineStr"/>
    </row>
    <row r="420" ht="23.25" customHeight="1" s="42">
      <c r="A420" s="52" t="inlineStr">
        <is>
          <t>Estée Lauder</t>
        </is>
      </c>
      <c r="B420" s="52" t="inlineStr">
        <is>
          <t>p_merch_proceeds</t>
        </is>
      </c>
      <c r="C420" s="52" t="inlineStr">
        <is>
          <t>MAC VIVA GLAM: 100% of selling price donated to HIV/AIDS and LGBTQ+ causes since 1994 ($500M+ raised)</t>
        </is>
      </c>
      <c r="D420" s="51" t="inlineStr">
        <is>
          <t>Commercial</t>
        </is>
      </c>
      <c r="E420" s="51" t="inlineStr">
        <is>
          <t>Positive</t>
        </is>
      </c>
      <c r="F420" s="51" t="n">
        <v>10</v>
      </c>
      <c r="G420" s="51" t="n">
        <v>2024</v>
      </c>
      <c r="H420" s="52" t="inlineStr">
        <is>
          <t>https://www.maccosmetics.com/viva-glam</t>
        </is>
      </c>
      <c r="I420" s="52" t="inlineStr">
        <is>
          <t>Company</t>
        </is>
      </c>
      <c r="J420" s="51" t="inlineStr">
        <is>
          <t>No</t>
        </is>
      </c>
      <c r="K420" s="52" t="inlineStr"/>
    </row>
    <row r="421" ht="23.25" customHeight="1" s="42">
      <c r="A421" s="52" t="inlineStr">
        <is>
          <t>Estée Lauder</t>
        </is>
      </c>
      <c r="B421" s="52" t="inlineStr">
        <is>
          <t>p_recurring</t>
        </is>
      </c>
      <c r="C421" s="52" t="inlineStr">
        <is>
          <t>MAC VIVA GLAM Fund — continuous 30+ year giving program with annual LGBTQ+/HIV grantmaking</t>
        </is>
      </c>
      <c r="D421" s="51" t="inlineStr">
        <is>
          <t>Financial</t>
        </is>
      </c>
      <c r="E421" s="51" t="inlineStr">
        <is>
          <t>Positive</t>
        </is>
      </c>
      <c r="F421" s="51" t="n">
        <v>25</v>
      </c>
      <c r="G421" s="51" t="n">
        <v>2024</v>
      </c>
      <c r="H421" s="52" t="inlineStr">
        <is>
          <t>https://www.maccosmetics.com/viva-glam</t>
        </is>
      </c>
      <c r="I421" s="52" t="inlineStr">
        <is>
          <t>Company</t>
        </is>
      </c>
      <c r="J421" s="51" t="inlineStr">
        <is>
          <t>No</t>
        </is>
      </c>
      <c r="K421" s="52" t="inlineStr"/>
    </row>
    <row r="422" ht="23.25" customHeight="1" s="42">
      <c r="A422" s="52" t="inlineStr">
        <is>
          <t>Estée Lauder</t>
        </is>
      </c>
      <c r="B422" s="52" t="inlineStr">
        <is>
          <t>p_consistent_history</t>
        </is>
      </c>
      <c r="C422" s="52" t="inlineStr">
        <is>
          <t>30+ years of uninterrupted community investment with queer and drag icons as campaign faces since RuPaul (1994)</t>
        </is>
      </c>
      <c r="D422" s="51" t="inlineStr">
        <is>
          <t>Structural</t>
        </is>
      </c>
      <c r="E422" s="51" t="inlineStr">
        <is>
          <t>Positive</t>
        </is>
      </c>
      <c r="F422" s="51" t="n">
        <v>28</v>
      </c>
      <c r="G422" s="51" t="n">
        <v>2024</v>
      </c>
      <c r="H422" s="52" t="inlineStr">
        <is>
          <t>https://en.wikipedia.org/wiki/Viva_Glam</t>
        </is>
      </c>
      <c r="I422" s="52" t="inlineStr">
        <is>
          <t>News</t>
        </is>
      </c>
      <c r="J422" s="51" t="inlineStr">
        <is>
          <t>No</t>
        </is>
      </c>
      <c r="K422" s="52" t="inlineStr"/>
    </row>
    <row r="423" ht="23.25" customHeight="1" s="42">
      <c r="A423" s="52" t="inlineStr">
        <is>
          <t>Clorox</t>
        </is>
      </c>
      <c r="B423" s="52" t="inlineStr">
        <is>
          <t>p_generic_post</t>
        </is>
      </c>
      <c r="C423" s="52" t="inlineStr">
        <is>
          <t>Pride posts and engagement</t>
        </is>
      </c>
      <c r="D423" s="51" t="inlineStr">
        <is>
          <t>Cosmetic</t>
        </is>
      </c>
      <c r="E423" s="51" t="inlineStr">
        <is>
          <t>Positive</t>
        </is>
      </c>
      <c r="F423" s="51" t="n">
        <v>2</v>
      </c>
      <c r="G423" s="51" t="n">
        <v>2024</v>
      </c>
      <c r="H423" s="52" t="inlineStr">
        <is>
          <t>https://web.archive.org/web/2024/https://www.thecloroxcompany.com/who-we-are/inclusion-diversity/</t>
        </is>
      </c>
      <c r="I423" s="52" t="inlineStr">
        <is>
          <t>Archive</t>
        </is>
      </c>
      <c r="J423" s="51" t="inlineStr">
        <is>
          <t>No</t>
        </is>
      </c>
      <c r="K423" s="52" t="inlineStr"/>
    </row>
    <row r="424" ht="23.25" customHeight="1" s="42">
      <c r="A424" s="52" t="inlineStr">
        <is>
          <t>Clorox</t>
        </is>
      </c>
      <c r="B424" s="52" t="inlineStr">
        <is>
          <t>p_benefits</t>
        </is>
      </c>
      <c r="C424" s="52" t="inlineStr">
        <is>
          <t>Inclusive partner and gender-affirming benefits (CEI-verified)</t>
        </is>
      </c>
      <c r="D424" s="51" t="inlineStr">
        <is>
          <t>Structural</t>
        </is>
      </c>
      <c r="E424" s="51" t="inlineStr">
        <is>
          <t>Positive</t>
        </is>
      </c>
      <c r="F424" s="51" t="n">
        <v>22</v>
      </c>
      <c r="G424" s="51" t="n">
        <v>2024</v>
      </c>
      <c r="H424" s="52" t="inlineStr">
        <is>
          <t>https://reports.hrc.org/corporate-equality-index-2025</t>
        </is>
      </c>
      <c r="I424" s="52" t="inlineStr">
        <is>
          <t>HRC</t>
        </is>
      </c>
      <c r="J424" s="51" t="inlineStr">
        <is>
          <t>No</t>
        </is>
      </c>
      <c r="K424" s="52" t="inlineStr"/>
    </row>
    <row r="425" ht="23.25" customHeight="1" s="42">
      <c r="A425" s="52" t="inlineStr">
        <is>
          <t>Northrop Grumman</t>
        </is>
      </c>
      <c r="B425" s="52" t="inlineStr">
        <is>
          <t>p_generic_post</t>
        </is>
      </c>
      <c r="C425" s="52" t="inlineStr">
        <is>
          <t>Pride posts and engagement (through 2024)</t>
        </is>
      </c>
      <c r="D425" s="51" t="inlineStr">
        <is>
          <t>Cosmetic</t>
        </is>
      </c>
      <c r="E425" s="51" t="inlineStr">
        <is>
          <t>Positive</t>
        </is>
      </c>
      <c r="F425" s="51" t="n">
        <v>2</v>
      </c>
      <c r="G425" s="51" t="n">
        <v>2024</v>
      </c>
      <c r="H425" s="52" t="inlineStr">
        <is>
          <t>https://web.archive.org/web/2024/https://www.northropgrumman.com/who-we-are/diversity-equity-and-inclusion</t>
        </is>
      </c>
      <c r="I425" s="52" t="inlineStr">
        <is>
          <t>Archive</t>
        </is>
      </c>
      <c r="J425" s="51" t="inlineStr">
        <is>
          <t>No</t>
        </is>
      </c>
      <c r="K425" s="52" t="inlineStr"/>
    </row>
    <row r="426" ht="23.25" customHeight="1" s="42">
      <c r="A426" s="52" t="inlineStr">
        <is>
          <t>Northrop Grumman</t>
        </is>
      </c>
      <c r="B426" s="52" t="inlineStr">
        <is>
          <t>p_erg_support</t>
        </is>
      </c>
      <c r="C426" s="52" t="inlineStr">
        <is>
          <t>Funded LGBTQ+ employee resource group</t>
        </is>
      </c>
      <c r="D426" s="51" t="inlineStr">
        <is>
          <t>Civic</t>
        </is>
      </c>
      <c r="E426" s="51" t="inlineStr">
        <is>
          <t>Positive</t>
        </is>
      </c>
      <c r="F426" s="51" t="n">
        <v>15</v>
      </c>
      <c r="G426" s="51" t="n">
        <v>2024</v>
      </c>
      <c r="H426" s="52" t="inlineStr">
        <is>
          <t>https://web.archive.org/web/2024/https://www.northropgrumman.com/who-we-are/diversity-equity-and-inclusion</t>
        </is>
      </c>
      <c r="I426" s="52" t="inlineStr">
        <is>
          <t>Archive</t>
        </is>
      </c>
      <c r="J426" s="51" t="inlineStr">
        <is>
          <t>No</t>
        </is>
      </c>
      <c r="K426" s="52" t="inlineStr"/>
    </row>
    <row r="427" ht="23.25" customHeight="1" s="42">
      <c r="A427" s="52" t="inlineStr">
        <is>
          <t>Northrop Grumman</t>
        </is>
      </c>
      <c r="B427" s="52" t="inlineStr">
        <is>
          <t>n_dei_removal</t>
        </is>
      </c>
      <c r="C427" s="52" t="inlineStr">
        <is>
          <t>Removed DEI webpages (dead links) in early-2025 defense-sector scrub</t>
        </is>
      </c>
      <c r="D427" s="51" t="inlineStr">
        <is>
          <t>—</t>
        </is>
      </c>
      <c r="E427" s="51" t="inlineStr">
        <is>
          <t>Negative</t>
        </is>
      </c>
      <c r="F427" s="51" t="n">
        <v>-32</v>
      </c>
      <c r="G427" s="51" t="n">
        <v>2025</v>
      </c>
      <c r="H427" s="52" t="inlineStr">
        <is>
          <t>https://breakingdefense.com/2025/02/dei-doa-how-the-defense-industry-is-racing-to-bury-its-diversity-efforts/</t>
        </is>
      </c>
      <c r="I427" s="52" t="inlineStr">
        <is>
          <t>News</t>
        </is>
      </c>
      <c r="J427" s="51" t="inlineStr">
        <is>
          <t>Yes</t>
        </is>
      </c>
      <c r="K427" s="52" t="inlineStr">
        <is>
          <t>Archived before-state: https://web.archive.org/web/2024/https://www.northropgrumman.com/who-we-are/diversity-equity-and-inclusion</t>
        </is>
      </c>
    </row>
    <row r="428" ht="23.25" customHeight="1" s="42">
      <c r="A428" s="52" t="inlineStr">
        <is>
          <t>General Dynamics</t>
        </is>
      </c>
      <c r="B428" s="52" t="inlineStr">
        <is>
          <t>p_generic_post</t>
        </is>
      </c>
      <c r="C428" s="52" t="inlineStr">
        <is>
          <t>Pride posts and engagement (through 2024)</t>
        </is>
      </c>
      <c r="D428" s="51" t="inlineStr">
        <is>
          <t>Cosmetic</t>
        </is>
      </c>
      <c r="E428" s="51" t="inlineStr">
        <is>
          <t>Positive</t>
        </is>
      </c>
      <c r="F428" s="51" t="n">
        <v>2</v>
      </c>
      <c r="G428" s="51" t="n">
        <v>2024</v>
      </c>
      <c r="H428" s="52" t="inlineStr">
        <is>
          <t>https://web.archive.org/web/2024/https://www.gd.com/</t>
        </is>
      </c>
      <c r="I428" s="52" t="inlineStr">
        <is>
          <t>Archive</t>
        </is>
      </c>
      <c r="J428" s="51" t="inlineStr">
        <is>
          <t>No</t>
        </is>
      </c>
      <c r="K428" s="52" t="inlineStr"/>
    </row>
    <row r="429" ht="23.25" customHeight="1" s="42">
      <c r="A429" s="52" t="inlineStr">
        <is>
          <t>General Dynamics</t>
        </is>
      </c>
      <c r="B429" s="52" t="inlineStr">
        <is>
          <t>p_erg_support</t>
        </is>
      </c>
      <c r="C429" s="52" t="inlineStr">
        <is>
          <t>Funded LGBTQ+ employee resource group</t>
        </is>
      </c>
      <c r="D429" s="51" t="inlineStr">
        <is>
          <t>Civic</t>
        </is>
      </c>
      <c r="E429" s="51" t="inlineStr">
        <is>
          <t>Positive</t>
        </is>
      </c>
      <c r="F429" s="51" t="n">
        <v>15</v>
      </c>
      <c r="G429" s="51" t="n">
        <v>2024</v>
      </c>
      <c r="H429" s="52" t="inlineStr">
        <is>
          <t>https://web.archive.org/web/2024/https://www.gd.com/careers/culture</t>
        </is>
      </c>
      <c r="I429" s="52" t="inlineStr">
        <is>
          <t>Archive</t>
        </is>
      </c>
      <c r="J429" s="51" t="inlineStr">
        <is>
          <t>No</t>
        </is>
      </c>
      <c r="K429" s="52" t="inlineStr"/>
    </row>
    <row r="430" ht="23.25" customHeight="1" s="42">
      <c r="A430" s="52" t="inlineStr">
        <is>
          <t>General Dynamics</t>
        </is>
      </c>
      <c r="B430" s="52" t="inlineStr">
        <is>
          <t>n_dei_removal</t>
        </is>
      </c>
      <c r="C430" s="52" t="inlineStr">
        <is>
          <t>Removed DEI webpages (dead links) in early-2025 defense-sector scrub</t>
        </is>
      </c>
      <c r="D430" s="51" t="inlineStr">
        <is>
          <t>—</t>
        </is>
      </c>
      <c r="E430" s="51" t="inlineStr">
        <is>
          <t>Negative</t>
        </is>
      </c>
      <c r="F430" s="51" t="n">
        <v>-32</v>
      </c>
      <c r="G430" s="51" t="n">
        <v>2025</v>
      </c>
      <c r="H430" s="52" t="inlineStr">
        <is>
          <t>https://breakingdefense.com/2025/02/dei-doa-how-the-defense-industry-is-racing-to-bury-its-diversity-efforts/</t>
        </is>
      </c>
      <c r="I430" s="52" t="inlineStr">
        <is>
          <t>News</t>
        </is>
      </c>
      <c r="J430" s="51" t="inlineStr">
        <is>
          <t>Yes</t>
        </is>
      </c>
      <c r="K430" s="52" t="inlineStr"/>
    </row>
    <row r="431" ht="23.25" customHeight="1" s="42">
      <c r="A431" s="52" t="inlineStr">
        <is>
          <t>L3Harris Technologies</t>
        </is>
      </c>
      <c r="B431" s="52" t="inlineStr">
        <is>
          <t>p_generic_post</t>
        </is>
      </c>
      <c r="C431" s="52" t="inlineStr">
        <is>
          <t>Pride posts and engagement (through 2024)</t>
        </is>
      </c>
      <c r="D431" s="51" t="inlineStr">
        <is>
          <t>Cosmetic</t>
        </is>
      </c>
      <c r="E431" s="51" t="inlineStr">
        <is>
          <t>Positive</t>
        </is>
      </c>
      <c r="F431" s="51" t="n">
        <v>2</v>
      </c>
      <c r="G431" s="51" t="n">
        <v>2024</v>
      </c>
      <c r="H431" s="52" t="inlineStr">
        <is>
          <t>https://web.archive.org/web/2024/https://www.l3harris.com/</t>
        </is>
      </c>
      <c r="I431" s="52" t="inlineStr">
        <is>
          <t>Archive</t>
        </is>
      </c>
      <c r="J431" s="51" t="inlineStr">
        <is>
          <t>No</t>
        </is>
      </c>
      <c r="K431" s="52" t="inlineStr"/>
    </row>
    <row r="432" ht="23.25" customHeight="1" s="42">
      <c r="A432" s="52" t="inlineStr">
        <is>
          <t>L3Harris Technologies</t>
        </is>
      </c>
      <c r="B432" s="52" t="inlineStr">
        <is>
          <t>p_erg_support</t>
        </is>
      </c>
      <c r="C432" s="52" t="inlineStr">
        <is>
          <t>Funded LGBTQ+ employee resource group</t>
        </is>
      </c>
      <c r="D432" s="51" t="inlineStr">
        <is>
          <t>Civic</t>
        </is>
      </c>
      <c r="E432" s="51" t="inlineStr">
        <is>
          <t>Positive</t>
        </is>
      </c>
      <c r="F432" s="51" t="n">
        <v>15</v>
      </c>
      <c r="G432" s="51" t="n">
        <v>2024</v>
      </c>
      <c r="H432" s="52" t="inlineStr">
        <is>
          <t>https://web.archive.org/web/2024/https://careers.l3harris.com/diversity-equity-inclusion</t>
        </is>
      </c>
      <c r="I432" s="52" t="inlineStr">
        <is>
          <t>Archive</t>
        </is>
      </c>
      <c r="J432" s="51" t="inlineStr">
        <is>
          <t>No</t>
        </is>
      </c>
      <c r="K432" s="52" t="inlineStr"/>
    </row>
    <row r="433" ht="23.25" customHeight="1" s="42">
      <c r="A433" s="52" t="inlineStr">
        <is>
          <t>L3Harris Technologies</t>
        </is>
      </c>
      <c r="B433" s="52" t="inlineStr">
        <is>
          <t>n_dei_removal</t>
        </is>
      </c>
      <c r="C433" s="52" t="inlineStr">
        <is>
          <t>Removed DEI webpages (dead links) in early-2025 defense-sector scrub</t>
        </is>
      </c>
      <c r="D433" s="51" t="inlineStr">
        <is>
          <t>—</t>
        </is>
      </c>
      <c r="E433" s="51" t="inlineStr">
        <is>
          <t>Negative</t>
        </is>
      </c>
      <c r="F433" s="51" t="n">
        <v>-32</v>
      </c>
      <c r="G433" s="51" t="n">
        <v>2025</v>
      </c>
      <c r="H433" s="52" t="inlineStr">
        <is>
          <t>https://breakingdefense.com/2025/02/dei-doa-how-the-defense-industry-is-racing-to-bury-its-diversity-efforts/</t>
        </is>
      </c>
      <c r="I433" s="52" t="inlineStr">
        <is>
          <t>News</t>
        </is>
      </c>
      <c r="J433" s="51" t="inlineStr">
        <is>
          <t>Yes</t>
        </is>
      </c>
      <c r="K433" s="52" t="inlineStr"/>
    </row>
    <row r="434" ht="23.25" customHeight="1" s="42">
      <c r="A434" s="52" t="inlineStr">
        <is>
          <t>3M</t>
        </is>
      </c>
      <c r="B434" s="52" t="inlineStr">
        <is>
          <t>p_generic_post</t>
        </is>
      </c>
      <c r="C434" s="52" t="inlineStr">
        <is>
          <t>Pride posts and Twin Cities engagement (prior years)</t>
        </is>
      </c>
      <c r="D434" s="51" t="inlineStr">
        <is>
          <t>Cosmetic</t>
        </is>
      </c>
      <c r="E434" s="51" t="inlineStr">
        <is>
          <t>Positive</t>
        </is>
      </c>
      <c r="F434" s="51" t="n">
        <v>2</v>
      </c>
      <c r="G434" s="51" t="n">
        <v>2024</v>
      </c>
      <c r="H434" s="52" t="inlineStr">
        <is>
          <t>https://web.archive.org/web/2024/https://www.3m.com/3M/en_US/careers-us/working-at-3m/diversity-and-inclusion/</t>
        </is>
      </c>
      <c r="I434" s="52" t="inlineStr">
        <is>
          <t>Archive</t>
        </is>
      </c>
      <c r="J434" s="51" t="inlineStr">
        <is>
          <t>No</t>
        </is>
      </c>
      <c r="K434" s="52" t="inlineStr"/>
    </row>
    <row r="435" ht="23.25" customHeight="1" s="42">
      <c r="A435" s="52" t="inlineStr">
        <is>
          <t>3M</t>
        </is>
      </c>
      <c r="B435" s="52" t="inlineStr">
        <is>
          <t>p_erg_support</t>
        </is>
      </c>
      <c r="C435" s="52" t="inlineStr">
        <is>
          <t>Funded 3M Pride employee resource group</t>
        </is>
      </c>
      <c r="D435" s="51" t="inlineStr">
        <is>
          <t>Civic</t>
        </is>
      </c>
      <c r="E435" s="51" t="inlineStr">
        <is>
          <t>Positive</t>
        </is>
      </c>
      <c r="F435" s="51" t="n">
        <v>15</v>
      </c>
      <c r="G435" s="51" t="n">
        <v>2024</v>
      </c>
      <c r="H435" s="52" t="inlineStr">
        <is>
          <t>https://web.archive.org/web/2024/https://www.3m.com/3M/en_US/careers-us/working-at-3m/diversity-and-inclusion/</t>
        </is>
      </c>
      <c r="I435" s="52" t="inlineStr">
        <is>
          <t>Archive</t>
        </is>
      </c>
      <c r="J435" s="51" t="inlineStr">
        <is>
          <t>No</t>
        </is>
      </c>
      <c r="K435" s="52" t="inlineStr"/>
    </row>
    <row r="436" ht="23.25" customHeight="1" s="42">
      <c r="A436" s="52" t="inlineStr">
        <is>
          <t>3M</t>
        </is>
      </c>
      <c r="B436" s="52" t="inlineStr">
        <is>
          <t>n_dei_removal</t>
        </is>
      </c>
      <c r="C436" s="52" t="inlineStr">
        <is>
          <t>Retired diversity representation goals; softened DEI language in 2025 materials</t>
        </is>
      </c>
      <c r="D436" s="51" t="inlineStr">
        <is>
          <t>—</t>
        </is>
      </c>
      <c r="E436" s="51" t="inlineStr">
        <is>
          <t>Negative</t>
        </is>
      </c>
      <c r="F436" s="51" t="n">
        <v>-32</v>
      </c>
      <c r="G436" s="51" t="n">
        <v>2025</v>
      </c>
      <c r="H436" s="52" t="inlineStr">
        <is>
          <t>https://blog.ongig.com/diversity-and-inclusion/dei-rollbacks/</t>
        </is>
      </c>
      <c r="I436" s="52" t="inlineStr">
        <is>
          <t>News</t>
        </is>
      </c>
      <c r="J436" s="51" t="inlineStr">
        <is>
          <t>Yes</t>
        </is>
      </c>
      <c r="K436" s="52" t="inlineStr"/>
    </row>
    <row r="437" ht="23.25" customHeight="1" s="42">
      <c r="A437" s="52" t="inlineStr">
        <is>
          <t>Honeywell</t>
        </is>
      </c>
      <c r="B437" s="52" t="inlineStr">
        <is>
          <t>p_generic_post</t>
        </is>
      </c>
      <c r="C437" s="52" t="inlineStr">
        <is>
          <t>Occasional Pride posts</t>
        </is>
      </c>
      <c r="D437" s="51" t="inlineStr">
        <is>
          <t>Cosmetic</t>
        </is>
      </c>
      <c r="E437" s="51" t="inlineStr">
        <is>
          <t>Positive</t>
        </is>
      </c>
      <c r="F437" s="51" t="n">
        <v>2</v>
      </c>
      <c r="G437" s="51" t="n">
        <v>2024</v>
      </c>
      <c r="H437" s="52" t="inlineStr">
        <is>
          <t>https://web.archive.org/web/2024/https://www.honeywell.com/us/en/company/inclusion-and-diversity</t>
        </is>
      </c>
      <c r="I437" s="52" t="inlineStr">
        <is>
          <t>Archive</t>
        </is>
      </c>
      <c r="J437" s="51" t="inlineStr">
        <is>
          <t>No</t>
        </is>
      </c>
      <c r="K437" s="52" t="inlineStr"/>
    </row>
    <row r="438" ht="23.25" customHeight="1" s="42">
      <c r="A438" s="52" t="inlineStr">
        <is>
          <t>General Electric (GE Aerospace)</t>
        </is>
      </c>
      <c r="B438" s="52" t="inlineStr">
        <is>
          <t>p_generic_post</t>
        </is>
      </c>
      <c r="C438" s="52" t="inlineStr">
        <is>
          <t>Occasional Pride posts; ERG legacy</t>
        </is>
      </c>
      <c r="D438" s="51" t="inlineStr">
        <is>
          <t>Cosmetic</t>
        </is>
      </c>
      <c r="E438" s="51" t="inlineStr">
        <is>
          <t>Positive</t>
        </is>
      </c>
      <c r="F438" s="51" t="n">
        <v>2</v>
      </c>
      <c r="G438" s="51" t="n">
        <v>2024</v>
      </c>
      <c r="H438" s="52" t="inlineStr">
        <is>
          <t>https://web.archive.org/web/2024/https://www.geaerospace.com/company/inclusion-diversity</t>
        </is>
      </c>
      <c r="I438" s="52" t="inlineStr">
        <is>
          <t>Archive</t>
        </is>
      </c>
      <c r="J438" s="51" t="inlineStr">
        <is>
          <t>No</t>
        </is>
      </c>
      <c r="K438" s="52" t="inlineStr"/>
    </row>
    <row r="439" ht="23.25" customHeight="1" s="42">
      <c r="A439" s="52" t="inlineStr">
        <is>
          <t>Caterpillar</t>
        </is>
      </c>
      <c r="B439" s="52" t="inlineStr">
        <is>
          <t>p_generic_post</t>
        </is>
      </c>
      <c r="C439" s="52" t="inlineStr">
        <is>
          <t>Pride posts and engagement (through 2024)</t>
        </is>
      </c>
      <c r="D439" s="51" t="inlineStr">
        <is>
          <t>Cosmetic</t>
        </is>
      </c>
      <c r="E439" s="51" t="inlineStr">
        <is>
          <t>Positive</t>
        </is>
      </c>
      <c r="F439" s="51" t="n">
        <v>2</v>
      </c>
      <c r="G439" s="51" t="n">
        <v>2024</v>
      </c>
      <c r="H439" s="52" t="inlineStr">
        <is>
          <t>https://web.archive.org/web/2024/https://www.caterpillar.com/en/careers/culture/diversity-inclusion.html</t>
        </is>
      </c>
      <c r="I439" s="52" t="inlineStr">
        <is>
          <t>Archive</t>
        </is>
      </c>
      <c r="J439" s="51" t="inlineStr">
        <is>
          <t>No</t>
        </is>
      </c>
      <c r="K439" s="52" t="inlineStr"/>
    </row>
    <row r="440" ht="23.25" customHeight="1" s="42">
      <c r="A440" s="52" t="inlineStr">
        <is>
          <t>Caterpillar</t>
        </is>
      </c>
      <c r="B440" s="52" t="inlineStr">
        <is>
          <t>p_erg_support</t>
        </is>
      </c>
      <c r="C440" s="52" t="inlineStr">
        <is>
          <t>Funded LGBTQ+ employee resource group</t>
        </is>
      </c>
      <c r="D440" s="51" t="inlineStr">
        <is>
          <t>Civic</t>
        </is>
      </c>
      <c r="E440" s="51" t="inlineStr">
        <is>
          <t>Positive</t>
        </is>
      </c>
      <c r="F440" s="51" t="n">
        <v>15</v>
      </c>
      <c r="G440" s="51" t="n">
        <v>2024</v>
      </c>
      <c r="H440" s="52" t="inlineStr">
        <is>
          <t>https://web.archive.org/web/2024/https://www.caterpillar.com/en/careers/culture/diversity-inclusion.html</t>
        </is>
      </c>
      <c r="I440" s="52" t="inlineStr">
        <is>
          <t>Archive</t>
        </is>
      </c>
      <c r="J440" s="51" t="inlineStr">
        <is>
          <t>No</t>
        </is>
      </c>
      <c r="K440" s="52" t="inlineStr"/>
    </row>
    <row r="441" ht="23.25" customHeight="1" s="42">
      <c r="A441" s="52" t="inlineStr">
        <is>
          <t>Caterpillar</t>
        </is>
      </c>
      <c r="B441" s="52" t="inlineStr">
        <is>
          <t>n_dei_removal</t>
        </is>
      </c>
      <c r="C441" s="52" t="inlineStr">
        <is>
          <t>Restricted DEI training and required senior approval for external surveys/awards after activist pressure</t>
        </is>
      </c>
      <c r="D441" s="51" t="inlineStr">
        <is>
          <t>—</t>
        </is>
      </c>
      <c r="E441" s="51" t="inlineStr">
        <is>
          <t>Negative</t>
        </is>
      </c>
      <c r="F441" s="51" t="n">
        <v>-32</v>
      </c>
      <c r="G441" s="51" t="n">
        <v>2024</v>
      </c>
      <c r="H441" s="52" t="inlineStr">
        <is>
          <t>https://www.wglt.org/illinois/2024-09-20/caterpillar-pulls-back-on-some-dei-policies-after-conservative-activist-sets-sights-on-company</t>
        </is>
      </c>
      <c r="I441" s="52" t="inlineStr">
        <is>
          <t>News</t>
        </is>
      </c>
      <c r="J441" s="51" t="inlineStr">
        <is>
          <t>No</t>
        </is>
      </c>
      <c r="K441" s="52" t="inlineStr"/>
    </row>
    <row r="442" ht="23.25" customHeight="1" s="42">
      <c r="A442" s="52" t="inlineStr">
        <is>
          <t>Deere &amp; Company</t>
        </is>
      </c>
      <c r="B442" s="52" t="inlineStr">
        <is>
          <t>p_generic_post</t>
        </is>
      </c>
      <c r="C442" s="52" t="inlineStr">
        <is>
          <t>Pride posts and engagement (through 2024)</t>
        </is>
      </c>
      <c r="D442" s="51" t="inlineStr">
        <is>
          <t>Cosmetic</t>
        </is>
      </c>
      <c r="E442" s="51" t="inlineStr">
        <is>
          <t>Positive</t>
        </is>
      </c>
      <c r="F442" s="51" t="n">
        <v>2</v>
      </c>
      <c r="G442" s="51" t="n">
        <v>2024</v>
      </c>
      <c r="H442" s="52" t="inlineStr">
        <is>
          <t>https://web.archive.org/web/2024/https://www.deere.com/en/our-company/inclusion/</t>
        </is>
      </c>
      <c r="I442" s="52" t="inlineStr">
        <is>
          <t>Archive</t>
        </is>
      </c>
      <c r="J442" s="51" t="inlineStr">
        <is>
          <t>No</t>
        </is>
      </c>
      <c r="K442" s="52" t="inlineStr"/>
    </row>
    <row r="443" ht="23.25" customHeight="1" s="42">
      <c r="A443" s="52" t="inlineStr">
        <is>
          <t>Deere &amp; Company</t>
        </is>
      </c>
      <c r="B443" s="52" t="inlineStr">
        <is>
          <t>p_erg_support</t>
        </is>
      </c>
      <c r="C443" s="52" t="inlineStr">
        <is>
          <t>Funded LGBTQ+ employee resource group</t>
        </is>
      </c>
      <c r="D443" s="51" t="inlineStr">
        <is>
          <t>Civic</t>
        </is>
      </c>
      <c r="E443" s="51" t="inlineStr">
        <is>
          <t>Positive</t>
        </is>
      </c>
      <c r="F443" s="51" t="n">
        <v>15</v>
      </c>
      <c r="G443" s="51" t="n">
        <v>2024</v>
      </c>
      <c r="H443" s="52" t="inlineStr">
        <is>
          <t>https://web.archive.org/web/2024/https://www.deere.com/en/our-company/inclusion/</t>
        </is>
      </c>
      <c r="I443" s="52" t="inlineStr">
        <is>
          <t>Archive</t>
        </is>
      </c>
      <c r="J443" s="51" t="inlineStr">
        <is>
          <t>No</t>
        </is>
      </c>
      <c r="K443" s="52" t="inlineStr"/>
    </row>
    <row r="444" ht="23.25" customHeight="1" s="42">
      <c r="A444" s="52" t="inlineStr">
        <is>
          <t>Deere &amp; Company</t>
        </is>
      </c>
      <c r="B444" s="52" t="inlineStr">
        <is>
          <t>p_parade_sponsor</t>
        </is>
      </c>
      <c r="C444" s="52" t="inlineStr">
        <is>
          <t>Pride/cultural event sponsorships (ended Jul 2024)</t>
        </is>
      </c>
      <c r="D444" s="51" t="inlineStr">
        <is>
          <t>Civic</t>
        </is>
      </c>
      <c r="E444" s="51" t="inlineStr">
        <is>
          <t>Positive</t>
        </is>
      </c>
      <c r="F444" s="51" t="n">
        <v>12</v>
      </c>
      <c r="G444" s="51" t="n">
        <v>2024</v>
      </c>
      <c r="H444" s="52" t="inlineStr">
        <is>
          <t>https://www.hrc.org/press-releases/hrc-foundation-announces-record-participation-in-upcoming-2025-corporate-equality-index-docks-scores-of-seven-companies-in-current-ranking-following-their-pullback-from-workplace-inclusion</t>
        </is>
      </c>
      <c r="I444" s="52" t="inlineStr">
        <is>
          <t>HRC</t>
        </is>
      </c>
      <c r="J444" s="51" t="inlineStr">
        <is>
          <t>No</t>
        </is>
      </c>
      <c r="K444" s="52" t="inlineStr"/>
    </row>
    <row r="445" ht="23.25" customHeight="1" s="42">
      <c r="A445" s="52" t="inlineStr">
        <is>
          <t>Deere &amp; Company</t>
        </is>
      </c>
      <c r="B445" s="52" t="inlineStr">
        <is>
          <t>n_dei_removal</t>
        </is>
      </c>
      <c r="C445" s="52" t="inlineStr">
        <is>
          <t>Audited training, ended external survey participation; HRC docked CEI score -25</t>
        </is>
      </c>
      <c r="D445" s="51" t="inlineStr">
        <is>
          <t>—</t>
        </is>
      </c>
      <c r="E445" s="51" t="inlineStr">
        <is>
          <t>Negative</t>
        </is>
      </c>
      <c r="F445" s="51" t="n">
        <v>-32</v>
      </c>
      <c r="G445" s="51" t="n">
        <v>2024</v>
      </c>
      <c r="H445" s="52" t="inlineStr">
        <is>
          <t>https://www.hrc.org/press-releases/hrc-foundation-announces-record-participation-in-upcoming-2025-corporate-equality-index-docks-scores-of-seven-companies-in-current-ranking-following-their-pullback-from-workplace-inclusion</t>
        </is>
      </c>
      <c r="I445" s="52" t="inlineStr">
        <is>
          <t>HRC</t>
        </is>
      </c>
      <c r="J445" s="51" t="inlineStr">
        <is>
          <t>No</t>
        </is>
      </c>
      <c r="K445" s="52" t="inlineStr">
        <is>
          <t>One of 7 docked companies</t>
        </is>
      </c>
    </row>
    <row r="446" ht="23.25" customHeight="1" s="42">
      <c r="A446" s="52" t="inlineStr">
        <is>
          <t>Deere &amp; Company</t>
        </is>
      </c>
      <c r="B446" s="52" t="inlineStr">
        <is>
          <t>n_pride_retreat</t>
        </is>
      </c>
      <c r="C446" s="52" t="inlineStr">
        <is>
          <t>Ended sponsorship of 'social or cultural awareness' events including Pride</t>
        </is>
      </c>
      <c r="D446" s="51" t="inlineStr">
        <is>
          <t>—</t>
        </is>
      </c>
      <c r="E446" s="51" t="inlineStr">
        <is>
          <t>Negative</t>
        </is>
      </c>
      <c r="F446" s="51" t="n">
        <v>-22</v>
      </c>
      <c r="G446" s="51" t="n">
        <v>2024</v>
      </c>
      <c r="H446" s="52" t="inlineStr">
        <is>
          <t>https://fortune.com/2025/02/28/costco-apple-john-deere-anti-dei-shareholder-proposals-voted-down-trend/</t>
        </is>
      </c>
      <c r="I446" s="52" t="inlineStr">
        <is>
          <t>News</t>
        </is>
      </c>
      <c r="J446" s="51" t="inlineStr">
        <is>
          <t>No</t>
        </is>
      </c>
      <c r="K446" s="52" t="inlineStr">
        <is>
          <t>Shareholders later rejected anti-DEI proposal 98.7%</t>
        </is>
      </c>
    </row>
    <row r="447" ht="23.25" customHeight="1" s="42">
      <c r="A447" s="52" t="inlineStr">
        <is>
          <t>UPS</t>
        </is>
      </c>
      <c r="B447" s="52" t="inlineStr">
        <is>
          <t>p_generic_post</t>
        </is>
      </c>
      <c r="C447" s="52" t="inlineStr">
        <is>
          <t>Pride posts and engagement (through 2023)</t>
        </is>
      </c>
      <c r="D447" s="51" t="inlineStr">
        <is>
          <t>Cosmetic</t>
        </is>
      </c>
      <c r="E447" s="51" t="inlineStr">
        <is>
          <t>Positive</t>
        </is>
      </c>
      <c r="F447" s="51" t="n">
        <v>2</v>
      </c>
      <c r="G447" s="51" t="n">
        <v>2023</v>
      </c>
      <c r="H447" s="52" t="inlineStr">
        <is>
          <t>https://web.archive.org/web/2023/https://about.ups.com/us/en/social-impact/diversity-equity-and-inclusion.html</t>
        </is>
      </c>
      <c r="I447" s="52" t="inlineStr">
        <is>
          <t>Archive</t>
        </is>
      </c>
      <c r="J447" s="51" t="inlineStr">
        <is>
          <t>No</t>
        </is>
      </c>
      <c r="K447" s="52" t="inlineStr"/>
    </row>
    <row r="448" ht="23.25" customHeight="1" s="42">
      <c r="A448" s="52" t="inlineStr">
        <is>
          <t>UPS</t>
        </is>
      </c>
      <c r="B448" s="52" t="inlineStr">
        <is>
          <t>p_erg_support</t>
        </is>
      </c>
      <c r="C448" s="52" t="inlineStr">
        <is>
          <t>Funded LGBTQ+ business resource group</t>
        </is>
      </c>
      <c r="D448" s="51" t="inlineStr">
        <is>
          <t>Civic</t>
        </is>
      </c>
      <c r="E448" s="51" t="inlineStr">
        <is>
          <t>Positive</t>
        </is>
      </c>
      <c r="F448" s="51" t="n">
        <v>15</v>
      </c>
      <c r="G448" s="51" t="n">
        <v>2023</v>
      </c>
      <c r="H448" s="52" t="inlineStr">
        <is>
          <t>https://web.archive.org/web/2023/https://about.ups.com/us/en/social-impact/diversity-equity-and-inclusion.html</t>
        </is>
      </c>
      <c r="I448" s="52" t="inlineStr">
        <is>
          <t>Archive</t>
        </is>
      </c>
      <c r="J448" s="51" t="inlineStr">
        <is>
          <t>No</t>
        </is>
      </c>
      <c r="K448" s="52" t="inlineStr"/>
    </row>
    <row r="449" ht="23.25" customHeight="1" s="42">
      <c r="A449" s="52" t="inlineStr">
        <is>
          <t>UPS</t>
        </is>
      </c>
      <c r="B449" s="52" t="inlineStr">
        <is>
          <t>n_dei_removal</t>
        </is>
      </c>
      <c r="C449" s="52" t="inlineStr">
        <is>
          <t>Eliminated its DEI function entirely (April 2024), incl. supplier diversity goals — confirmed by company statement</t>
        </is>
      </c>
      <c r="D449" s="51" t="inlineStr">
        <is>
          <t>—</t>
        </is>
      </c>
      <c r="E449" s="51" t="inlineStr">
        <is>
          <t>Negative</t>
        </is>
      </c>
      <c r="F449" s="51" t="n">
        <v>-32</v>
      </c>
      <c r="G449" s="51" t="n">
        <v>2024</v>
      </c>
      <c r="H449" s="52" t="inlineStr">
        <is>
          <t>https://www.livenowfox.com/news/companies-roll-back-dei-policies</t>
        </is>
      </c>
      <c r="I449" s="52" t="inlineStr">
        <is>
          <t>News</t>
        </is>
      </c>
      <c r="J449" s="51" t="inlineStr">
        <is>
          <t>No</t>
        </is>
      </c>
      <c r="K449" s="52" t="inlineStr">
        <is>
          <t>Archived before-state: https://web.archive.org/web/2023/https://about.ups.com/us/en/social-impact/diversity-equity-and-inclusion.html</t>
        </is>
      </c>
    </row>
    <row r="450" ht="23.25" customHeight="1" s="42">
      <c r="A450" s="52" t="inlineStr">
        <is>
          <t>FedEx</t>
        </is>
      </c>
      <c r="B450" s="52" t="inlineStr">
        <is>
          <t>p_generic_post</t>
        </is>
      </c>
      <c r="C450" s="52" t="inlineStr">
        <is>
          <t>Pride posts and engagement</t>
        </is>
      </c>
      <c r="D450" s="51" t="inlineStr">
        <is>
          <t>Cosmetic</t>
        </is>
      </c>
      <c r="E450" s="51" t="inlineStr">
        <is>
          <t>Positive</t>
        </is>
      </c>
      <c r="F450" s="51" t="n">
        <v>2</v>
      </c>
      <c r="G450" s="51" t="n">
        <v>2024</v>
      </c>
      <c r="H450" s="52" t="inlineStr">
        <is>
          <t>https://web.archive.org/web/2024/https://careers.fedex.com/fedex/diversity</t>
        </is>
      </c>
      <c r="I450" s="52" t="inlineStr">
        <is>
          <t>Archive</t>
        </is>
      </c>
      <c r="J450" s="51" t="inlineStr">
        <is>
          <t>No</t>
        </is>
      </c>
      <c r="K450" s="52" t="inlineStr"/>
    </row>
    <row r="451" ht="23.25" customHeight="1" s="42">
      <c r="A451" s="52" t="inlineStr">
        <is>
          <t>FedEx</t>
        </is>
      </c>
      <c r="B451" s="52" t="inlineStr">
        <is>
          <t>p_erg_support</t>
        </is>
      </c>
      <c r="C451" s="52" t="inlineStr">
        <is>
          <t>Funded LGBTQ+ employee resource group</t>
        </is>
      </c>
      <c r="D451" s="51" t="inlineStr">
        <is>
          <t>Civic</t>
        </is>
      </c>
      <c r="E451" s="51" t="inlineStr">
        <is>
          <t>Positive</t>
        </is>
      </c>
      <c r="F451" s="51" t="n">
        <v>15</v>
      </c>
      <c r="G451" s="51" t="n">
        <v>2024</v>
      </c>
      <c r="H451" s="52" t="inlineStr">
        <is>
          <t>https://web.archive.org/web/2024/https://careers.fedex.com/fedex/diversity</t>
        </is>
      </c>
      <c r="I451" s="52" t="inlineStr">
        <is>
          <t>Archive</t>
        </is>
      </c>
      <c r="J451" s="51" t="inlineStr">
        <is>
          <t>No</t>
        </is>
      </c>
      <c r="K451" s="52" t="inlineStr"/>
    </row>
    <row r="452" ht="23.25" customHeight="1" s="42">
      <c r="A452" s="52" t="inlineStr">
        <is>
          <t>Sirius XM</t>
        </is>
      </c>
      <c r="B452" s="52" t="inlineStr">
        <is>
          <t>p_collab</t>
        </is>
      </c>
      <c r="C452" s="52" t="inlineStr">
        <is>
          <t>LGBTQ+ programming and hosts (Radio Andy; OutQ channel legacy)</t>
        </is>
      </c>
      <c r="D452" s="51" t="inlineStr">
        <is>
          <t>Commercial</t>
        </is>
      </c>
      <c r="E452" s="51" t="inlineStr">
        <is>
          <t>Positive</t>
        </is>
      </c>
      <c r="F452" s="51" t="n">
        <v>8</v>
      </c>
      <c r="G452" s="51" t="n">
        <v>2024</v>
      </c>
      <c r="H452" s="52" t="inlineStr">
        <is>
          <t>https://web.archive.org/web/2024/https://www.siriusxm.com/channels/radio-andy</t>
        </is>
      </c>
      <c r="I452" s="52" t="inlineStr">
        <is>
          <t>Archive</t>
        </is>
      </c>
      <c r="J452" s="51" t="inlineStr">
        <is>
          <t>No</t>
        </is>
      </c>
      <c r="K452" s="52" t="inlineStr"/>
    </row>
    <row r="453" ht="23.25" customHeight="1" s="42">
      <c r="A453" s="52" t="inlineStr">
        <is>
          <t>Fox Corporation</t>
        </is>
      </c>
      <c r="B453" s="52" t="inlineStr">
        <is>
          <t>p_erg_support</t>
        </is>
      </c>
      <c r="C453" s="52" t="inlineStr">
        <is>
          <t>Funded internal LGBTQ+ employee resource group; high CEI scores historically</t>
        </is>
      </c>
      <c r="D453" s="51" t="inlineStr">
        <is>
          <t>Civic</t>
        </is>
      </c>
      <c r="E453" s="51" t="inlineStr">
        <is>
          <t>Positive</t>
        </is>
      </c>
      <c r="F453" s="51" t="n">
        <v>15</v>
      </c>
      <c r="G453" s="51" t="n">
        <v>2022</v>
      </c>
      <c r="H453" s="52" t="inlineStr">
        <is>
          <t>https://web.archive.org/web/2022/https://www.foxcorporation.com/</t>
        </is>
      </c>
      <c r="I453" s="52" t="inlineStr">
        <is>
          <t>Archive</t>
        </is>
      </c>
      <c r="J453" s="51" t="inlineStr">
        <is>
          <t>No</t>
        </is>
      </c>
      <c r="K453" s="52" t="inlineStr"/>
    </row>
    <row r="454" ht="23.25" customHeight="1" s="42">
      <c r="A454" s="52" t="inlineStr">
        <is>
          <t>Fox Corporation</t>
        </is>
      </c>
      <c r="B454" s="52" t="inlineStr">
        <is>
          <t>n_selective</t>
        </is>
      </c>
      <c r="C454" s="52" t="inlineStr">
        <is>
          <t>Fox News programming extensively documented targeting transgender people (hundreds of segments tracked)</t>
        </is>
      </c>
      <c r="D454" s="51" t="inlineStr">
        <is>
          <t>—</t>
        </is>
      </c>
      <c r="E454" s="51" t="inlineStr">
        <is>
          <t>Negative</t>
        </is>
      </c>
      <c r="F454" s="51" t="n">
        <v>-10</v>
      </c>
      <c r="G454" s="51" t="n">
        <v>2024</v>
      </c>
      <c r="H454" s="52" t="inlineStr">
        <is>
          <t>https://www.mediamatters.org/fox-news</t>
        </is>
      </c>
      <c r="I454" s="52" t="inlineStr">
        <is>
          <t>News</t>
        </is>
      </c>
      <c r="J454" s="51" t="inlineStr">
        <is>
          <t>No</t>
        </is>
      </c>
      <c r="K454" s="52" t="inlineStr"/>
    </row>
    <row r="455" ht="23.25" customHeight="1" s="42">
      <c r="A455" s="52" t="inlineStr">
        <is>
          <t>Fox Corporation</t>
        </is>
      </c>
      <c r="B455" s="52" t="inlineStr">
        <is>
          <t>n_greenwashing</t>
        </is>
      </c>
      <c r="C455" s="52" t="inlineStr">
        <is>
          <t>Internal inclusion branding/CEI participation while flagship programming attacks the community</t>
        </is>
      </c>
      <c r="D455" s="51" t="inlineStr">
        <is>
          <t>—</t>
        </is>
      </c>
      <c r="E455" s="51" t="inlineStr">
        <is>
          <t>Negative</t>
        </is>
      </c>
      <c r="F455" s="51" t="n">
        <v>-8</v>
      </c>
      <c r="G455" s="51" t="n">
        <v>2024</v>
      </c>
      <c r="H455" s="52" t="inlineStr">
        <is>
          <t>https://www.mediamatters.org/fox-news</t>
        </is>
      </c>
      <c r="I455" s="52" t="inlineStr">
        <is>
          <t>News</t>
        </is>
      </c>
      <c r="J455" s="51" t="inlineStr">
        <is>
          <t>No</t>
        </is>
      </c>
      <c r="K455" s="52" t="inlineStr"/>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49"/>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41" min="1" max="1"/>
    <col width="14" customWidth="1" style="41" min="2" max="2"/>
    <col width="12" customWidth="1" style="41" min="3" max="3"/>
    <col width="48" customWidth="1" style="41" min="4" max="4"/>
    <col width="42" customWidth="1" style="41" min="5" max="5"/>
    <col width="16" customWidth="1" style="41" min="6" max="6"/>
    <col width="12" customWidth="1" style="41" min="7" max="7"/>
    <col width="30" customWidth="1" style="41" min="8" max="8"/>
  </cols>
  <sheetData>
    <row r="1" ht="23.25" customHeight="1" s="42">
      <c r="A1" s="49" t="inlineStr">
        <is>
          <t>Company</t>
        </is>
      </c>
      <c r="B1" s="49" t="inlineStr">
        <is>
          <t>Platform</t>
        </is>
      </c>
      <c r="C1" s="49" t="inlineStr">
        <is>
          <t>Post Date</t>
        </is>
      </c>
      <c r="D1" s="49" t="inlineStr">
        <is>
          <t>Description</t>
        </is>
      </c>
      <c r="E1" s="49" t="inlineStr">
        <is>
          <t>Post URL / Archive</t>
        </is>
      </c>
      <c r="F1" s="49" t="inlineStr">
        <is>
          <t>Engagement (if noted)</t>
        </is>
      </c>
      <c r="G1" s="49" t="inlineStr">
        <is>
          <t>Later Deleted?</t>
        </is>
      </c>
      <c r="H1" s="49" t="inlineStr">
        <is>
          <t>Notes</t>
        </is>
      </c>
    </row>
    <row r="2" ht="23.25" customHeight="1" s="42">
      <c r="A2" s="52" t="inlineStr">
        <is>
          <t>Verizon</t>
        </is>
      </c>
      <c r="B2" s="51" t="inlineStr">
        <is>
          <t>Twitter/X</t>
        </is>
      </c>
      <c r="C2" s="51" t="inlineStr">
        <is>
          <t>2024-06-01</t>
        </is>
      </c>
      <c r="D2" s="52" t="inlineStr">
        <is>
          <t>Rainbow Verizon logo + Pride Month welcome post</t>
        </is>
      </c>
      <c r="E2" s="52" t="inlineStr">
        <is>
          <t>https://web.archive.org/web/2024/https://twitter.com/Verizon</t>
        </is>
      </c>
      <c r="F2" s="51" t="inlineStr"/>
      <c r="G2" s="51" t="inlineStr">
        <is>
          <t>Yes</t>
        </is>
      </c>
      <c r="H2" s="52" t="inlineStr">
        <is>
          <t>Pride branding absent after 2025 reversal</t>
        </is>
      </c>
    </row>
    <row r="3" ht="23.25" customHeight="1" s="42">
      <c r="A3" s="52" t="inlineStr">
        <is>
          <t>Apple</t>
        </is>
      </c>
      <c r="B3" s="51" t="inlineStr">
        <is>
          <t>Instagram</t>
        </is>
      </c>
      <c r="C3" s="51" t="inlineStr">
        <is>
          <t>2025-06-01</t>
        </is>
      </c>
      <c r="D3" s="52" t="inlineStr">
        <is>
          <t>Apple Pride 2025 campaign featuring Pride Edition band</t>
        </is>
      </c>
      <c r="E3" s="52" t="inlineStr">
        <is>
          <t>https://www.apple.com/newsroom/</t>
        </is>
      </c>
      <c r="F3" s="51" t="inlineStr"/>
      <c r="G3" s="51" t="inlineStr">
        <is>
          <t>No</t>
        </is>
      </c>
      <c r="H3" s="52" t="inlineStr"/>
    </row>
    <row r="4" ht="23.25" customHeight="1" s="42">
      <c r="A4" s="52" t="inlineStr">
        <is>
          <t>Target</t>
        </is>
      </c>
      <c r="B4" s="51" t="inlineStr">
        <is>
          <t>Instagram</t>
        </is>
      </c>
      <c r="C4" s="51" t="inlineStr">
        <is>
          <t>2023-05-01</t>
        </is>
      </c>
      <c r="D4" s="52" t="inlineStr">
        <is>
          <t>Target Pride 2023 collection launch posts</t>
        </is>
      </c>
      <c r="E4" s="52" t="inlineStr">
        <is>
          <t>https://web.archive.org/web/2023/https://www.instagram.com/target/</t>
        </is>
      </c>
      <c r="F4" s="51" t="inlineStr"/>
      <c r="G4" s="51" t="inlineStr">
        <is>
          <t>Yes</t>
        </is>
      </c>
      <c r="H4" s="52" t="inlineStr">
        <is>
          <t>Collection partially pulled weeks later under threats</t>
        </is>
      </c>
    </row>
    <row r="5" ht="23.25" customHeight="1" s="42">
      <c r="A5" s="52" t="inlineStr">
        <is>
          <t>Anheuser-Busch InBev</t>
        </is>
      </c>
      <c r="B5" s="51" t="inlineStr">
        <is>
          <t>Instagram</t>
        </is>
      </c>
      <c r="C5" s="51" t="inlineStr">
        <is>
          <t>2023-04-01</t>
        </is>
      </c>
      <c r="D5" s="52" t="inlineStr">
        <is>
          <t>Dylan Mulvaney Bud Light March Madness promo post</t>
        </is>
      </c>
      <c r="E5" s="52" t="inlineStr">
        <is>
          <t>https://en.wikipedia.org/wiki/Bud_Light_boycott</t>
        </is>
      </c>
      <c r="F5" s="51" t="inlineStr">
        <is>
          <t>Massive; triggered national boycott</t>
        </is>
      </c>
      <c r="G5" s="51" t="inlineStr">
        <is>
          <t>No</t>
        </is>
      </c>
      <c r="H5" s="52" t="inlineStr">
        <is>
          <t>Company distanced itself rather than defending the partnership</t>
        </is>
      </c>
    </row>
    <row r="6" ht="15" customHeight="1" s="42">
      <c r="A6" s="52" t="n"/>
      <c r="B6" s="51" t="n"/>
      <c r="C6" s="51" t="n"/>
      <c r="D6" s="52" t="n"/>
      <c r="E6" s="52" t="n"/>
      <c r="F6" s="51" t="n"/>
      <c r="G6" s="51" t="n"/>
      <c r="H6" s="52" t="n"/>
    </row>
    <row r="7" ht="15" customHeight="1" s="42">
      <c r="A7" s="59" t="n"/>
      <c r="B7" s="58" t="n"/>
      <c r="C7" s="58" t="n"/>
      <c r="D7" s="59" t="n"/>
      <c r="E7" s="59" t="n"/>
      <c r="F7" s="58" t="n"/>
      <c r="G7" s="58" t="n"/>
      <c r="H7" s="59" t="n"/>
    </row>
    <row r="8" ht="15" customHeight="1" s="42">
      <c r="A8" s="52" t="n"/>
      <c r="B8" s="51" t="n"/>
      <c r="C8" s="51" t="n"/>
      <c r="D8" s="52" t="n"/>
      <c r="E8" s="52" t="n"/>
      <c r="F8" s="51" t="n"/>
      <c r="G8" s="51" t="n"/>
      <c r="H8" s="52" t="n"/>
    </row>
    <row r="9" ht="15" customHeight="1" s="42">
      <c r="A9" s="59" t="n"/>
      <c r="B9" s="58" t="n"/>
      <c r="C9" s="58" t="n"/>
      <c r="D9" s="59" t="n"/>
      <c r="E9" s="59" t="n"/>
      <c r="F9" s="58" t="n"/>
      <c r="G9" s="58" t="n"/>
      <c r="H9" s="59" t="n"/>
    </row>
    <row r="10" ht="15" customHeight="1" s="42">
      <c r="A10" s="52" t="n"/>
      <c r="B10" s="51" t="n"/>
      <c r="C10" s="51" t="n"/>
      <c r="D10" s="52" t="n"/>
      <c r="E10" s="52" t="n"/>
      <c r="F10" s="51" t="n"/>
      <c r="G10" s="51" t="n"/>
      <c r="H10" s="52" t="n"/>
    </row>
    <row r="11" ht="15" customHeight="1" s="42">
      <c r="A11" s="59" t="n"/>
      <c r="B11" s="58" t="n"/>
      <c r="C11" s="58" t="n"/>
      <c r="D11" s="59" t="n"/>
      <c r="E11" s="59" t="n"/>
      <c r="F11" s="58" t="n"/>
      <c r="G11" s="58" t="n"/>
      <c r="H11" s="59" t="n"/>
    </row>
    <row r="12" ht="15" customHeight="1" s="42">
      <c r="A12" s="52" t="n"/>
      <c r="B12" s="51" t="n"/>
      <c r="C12" s="51" t="n"/>
      <c r="D12" s="52" t="n"/>
      <c r="E12" s="52" t="n"/>
      <c r="F12" s="51" t="n"/>
      <c r="G12" s="51" t="n"/>
      <c r="H12" s="52" t="n"/>
    </row>
    <row r="13" ht="15" customHeight="1" s="42">
      <c r="A13" s="59" t="n"/>
      <c r="B13" s="58" t="n"/>
      <c r="C13" s="58" t="n"/>
      <c r="D13" s="59" t="n"/>
      <c r="E13" s="59" t="n"/>
      <c r="F13" s="58" t="n"/>
      <c r="G13" s="58" t="n"/>
      <c r="H13" s="59" t="n"/>
    </row>
    <row r="14" ht="15" customHeight="1" s="42">
      <c r="A14" s="52" t="n"/>
      <c r="B14" s="51" t="n"/>
      <c r="C14" s="51" t="n"/>
      <c r="D14" s="52" t="n"/>
      <c r="E14" s="52" t="n"/>
      <c r="F14" s="51" t="n"/>
      <c r="G14" s="51" t="n"/>
      <c r="H14" s="52" t="n"/>
    </row>
    <row r="15" ht="15" customHeight="1" s="42">
      <c r="A15" s="59" t="n"/>
      <c r="B15" s="58" t="n"/>
      <c r="C15" s="58" t="n"/>
      <c r="D15" s="59" t="n"/>
      <c r="E15" s="59" t="n"/>
      <c r="F15" s="58" t="n"/>
      <c r="G15" s="58" t="n"/>
      <c r="H15" s="59" t="n"/>
    </row>
    <row r="16" ht="15" customHeight="1" s="42">
      <c r="A16" s="52" t="n"/>
      <c r="B16" s="51" t="n"/>
      <c r="C16" s="51" t="n"/>
      <c r="D16" s="52" t="n"/>
      <c r="E16" s="52" t="n"/>
      <c r="F16" s="51" t="n"/>
      <c r="G16" s="51" t="n"/>
      <c r="H16" s="52" t="n"/>
    </row>
    <row r="17" ht="15" customHeight="1" s="42">
      <c r="A17" s="59" t="n"/>
      <c r="B17" s="58" t="n"/>
      <c r="C17" s="58" t="n"/>
      <c r="D17" s="59" t="n"/>
      <c r="E17" s="59" t="n"/>
      <c r="F17" s="58" t="n"/>
      <c r="G17" s="58" t="n"/>
      <c r="H17" s="59" t="n"/>
    </row>
    <row r="18" ht="15" customHeight="1" s="42">
      <c r="A18" s="52" t="n"/>
      <c r="B18" s="51" t="n"/>
      <c r="C18" s="51" t="n"/>
      <c r="D18" s="52" t="n"/>
      <c r="E18" s="52" t="n"/>
      <c r="F18" s="51" t="n"/>
      <c r="G18" s="51" t="n"/>
      <c r="H18" s="52" t="n"/>
    </row>
    <row r="19" ht="15" customHeight="1" s="42">
      <c r="A19" s="59" t="n"/>
      <c r="B19" s="58" t="n"/>
      <c r="C19" s="58" t="n"/>
      <c r="D19" s="59" t="n"/>
      <c r="E19" s="59" t="n"/>
      <c r="F19" s="58" t="n"/>
      <c r="G19" s="58" t="n"/>
      <c r="H19" s="59" t="n"/>
    </row>
    <row r="20" ht="15" customHeight="1" s="42">
      <c r="A20" s="52" t="n"/>
      <c r="B20" s="51" t="n"/>
      <c r="C20" s="51" t="n"/>
      <c r="D20" s="52" t="n"/>
      <c r="E20" s="52" t="n"/>
      <c r="F20" s="51" t="n"/>
      <c r="G20" s="51" t="n"/>
      <c r="H20" s="52" t="n"/>
    </row>
    <row r="21" ht="15" customHeight="1" s="42">
      <c r="A21" s="59" t="n"/>
      <c r="B21" s="58" t="n"/>
      <c r="C21" s="58" t="n"/>
      <c r="D21" s="59" t="n"/>
      <c r="E21" s="59" t="n"/>
      <c r="F21" s="58" t="n"/>
      <c r="G21" s="58" t="n"/>
      <c r="H21" s="59" t="n"/>
    </row>
    <row r="22" ht="15" customHeight="1" s="42">
      <c r="A22" s="52" t="n"/>
      <c r="B22" s="51" t="n"/>
      <c r="C22" s="51" t="n"/>
      <c r="D22" s="52" t="n"/>
      <c r="E22" s="52" t="n"/>
      <c r="F22" s="51" t="n"/>
      <c r="G22" s="51" t="n"/>
      <c r="H22" s="52" t="n"/>
    </row>
    <row r="23" ht="15" customHeight="1" s="42">
      <c r="A23" s="59" t="n"/>
      <c r="B23" s="58" t="n"/>
      <c r="C23" s="58" t="n"/>
      <c r="D23" s="59" t="n"/>
      <c r="E23" s="59" t="n"/>
      <c r="F23" s="58" t="n"/>
      <c r="G23" s="58" t="n"/>
      <c r="H23" s="59" t="n"/>
    </row>
    <row r="24" ht="15" customHeight="1" s="42">
      <c r="A24" s="52" t="n"/>
      <c r="B24" s="51" t="n"/>
      <c r="C24" s="51" t="n"/>
      <c r="D24" s="52" t="n"/>
      <c r="E24" s="52" t="n"/>
      <c r="F24" s="51" t="n"/>
      <c r="G24" s="51" t="n"/>
      <c r="H24" s="52" t="n"/>
    </row>
    <row r="25" ht="15" customHeight="1" s="42">
      <c r="A25" s="59" t="n"/>
      <c r="B25" s="58" t="n"/>
      <c r="C25" s="58" t="n"/>
      <c r="D25" s="59" t="n"/>
      <c r="E25" s="59" t="n"/>
      <c r="F25" s="58" t="n"/>
      <c r="G25" s="58" t="n"/>
      <c r="H25" s="59" t="n"/>
    </row>
    <row r="26" ht="15" customHeight="1" s="42">
      <c r="A26" s="52" t="n"/>
      <c r="B26" s="51" t="n"/>
      <c r="C26" s="51" t="n"/>
      <c r="D26" s="52" t="n"/>
      <c r="E26" s="52" t="n"/>
      <c r="F26" s="51" t="n"/>
      <c r="G26" s="51" t="n"/>
      <c r="H26" s="52" t="n"/>
    </row>
    <row r="27" ht="15" customHeight="1" s="42">
      <c r="A27" s="59" t="n"/>
      <c r="B27" s="58" t="n"/>
      <c r="C27" s="58" t="n"/>
      <c r="D27" s="59" t="n"/>
      <c r="E27" s="59" t="n"/>
      <c r="F27" s="58" t="n"/>
      <c r="G27" s="58" t="n"/>
      <c r="H27" s="59" t="n"/>
    </row>
    <row r="28" ht="15" customHeight="1" s="42">
      <c r="A28" s="52" t="n"/>
      <c r="B28" s="51" t="n"/>
      <c r="C28" s="51" t="n"/>
      <c r="D28" s="52" t="n"/>
      <c r="E28" s="52" t="n"/>
      <c r="F28" s="51" t="n"/>
      <c r="G28" s="51" t="n"/>
      <c r="H28" s="52" t="n"/>
    </row>
    <row r="29" ht="15" customHeight="1" s="42">
      <c r="A29" s="59" t="n"/>
      <c r="B29" s="58" t="n"/>
      <c r="C29" s="58" t="n"/>
      <c r="D29" s="59" t="n"/>
      <c r="E29" s="59" t="n"/>
      <c r="F29" s="58" t="n"/>
      <c r="G29" s="58" t="n"/>
      <c r="H29" s="59" t="n"/>
    </row>
    <row r="30" ht="15" customHeight="1" s="42">
      <c r="A30" s="52" t="n"/>
      <c r="B30" s="51" t="n"/>
      <c r="C30" s="51" t="n"/>
      <c r="D30" s="52" t="n"/>
      <c r="E30" s="52" t="n"/>
      <c r="F30" s="51" t="n"/>
      <c r="G30" s="51" t="n"/>
      <c r="H30" s="52" t="n"/>
    </row>
    <row r="31" ht="15" customHeight="1" s="42">
      <c r="A31" s="59" t="n"/>
      <c r="B31" s="58" t="n"/>
      <c r="C31" s="58" t="n"/>
      <c r="D31" s="59" t="n"/>
      <c r="E31" s="59" t="n"/>
      <c r="F31" s="58" t="n"/>
      <c r="G31" s="58" t="n"/>
      <c r="H31" s="59" t="n"/>
    </row>
    <row r="32" ht="15" customHeight="1" s="42">
      <c r="A32" s="52" t="n"/>
      <c r="B32" s="51" t="n"/>
      <c r="C32" s="51" t="n"/>
      <c r="D32" s="52" t="n"/>
      <c r="E32" s="52" t="n"/>
      <c r="F32" s="51" t="n"/>
      <c r="G32" s="51" t="n"/>
      <c r="H32" s="52" t="n"/>
    </row>
    <row r="33" ht="15" customHeight="1" s="42">
      <c r="A33" s="59" t="n"/>
      <c r="B33" s="58" t="n"/>
      <c r="C33" s="58" t="n"/>
      <c r="D33" s="59" t="n"/>
      <c r="E33" s="59" t="n"/>
      <c r="F33" s="58" t="n"/>
      <c r="G33" s="58" t="n"/>
      <c r="H33" s="59" t="n"/>
    </row>
    <row r="34" ht="15" customHeight="1" s="42">
      <c r="A34" s="52" t="n"/>
      <c r="B34" s="51" t="n"/>
      <c r="C34" s="51" t="n"/>
      <c r="D34" s="52" t="n"/>
      <c r="E34" s="52" t="n"/>
      <c r="F34" s="51" t="n"/>
      <c r="G34" s="51" t="n"/>
      <c r="H34" s="52" t="n"/>
    </row>
    <row r="35" ht="15" customHeight="1" s="42">
      <c r="A35" s="59" t="n"/>
      <c r="B35" s="58" t="n"/>
      <c r="C35" s="58" t="n"/>
      <c r="D35" s="59" t="n"/>
      <c r="E35" s="59" t="n"/>
      <c r="F35" s="58" t="n"/>
      <c r="G35" s="58" t="n"/>
      <c r="H35" s="59" t="n"/>
    </row>
    <row r="36" ht="15" customHeight="1" s="42">
      <c r="A36" s="52" t="n"/>
      <c r="B36" s="51" t="n"/>
      <c r="C36" s="51" t="n"/>
      <c r="D36" s="52" t="n"/>
      <c r="E36" s="52" t="n"/>
      <c r="F36" s="51" t="n"/>
      <c r="G36" s="51" t="n"/>
      <c r="H36" s="52" t="n"/>
    </row>
    <row r="37" ht="15" customHeight="1" s="42">
      <c r="A37" s="59" t="n"/>
      <c r="B37" s="58" t="n"/>
      <c r="C37" s="58" t="n"/>
      <c r="D37" s="59" t="n"/>
      <c r="E37" s="59" t="n"/>
      <c r="F37" s="58" t="n"/>
      <c r="G37" s="58" t="n"/>
      <c r="H37" s="59" t="n"/>
    </row>
    <row r="38" ht="15" customHeight="1" s="42">
      <c r="A38" s="52" t="n"/>
      <c r="B38" s="51" t="n"/>
      <c r="C38" s="51" t="n"/>
      <c r="D38" s="52" t="n"/>
      <c r="E38" s="52" t="n"/>
      <c r="F38" s="51" t="n"/>
      <c r="G38" s="51" t="n"/>
      <c r="H38" s="52" t="n"/>
    </row>
    <row r="39" ht="15" customHeight="1" s="42">
      <c r="A39" s="59" t="n"/>
      <c r="B39" s="58" t="n"/>
      <c r="C39" s="58" t="n"/>
      <c r="D39" s="59" t="n"/>
      <c r="E39" s="59" t="n"/>
      <c r="F39" s="58" t="n"/>
      <c r="G39" s="58" t="n"/>
      <c r="H39" s="59" t="n"/>
    </row>
    <row r="40" ht="15" customHeight="1" s="42">
      <c r="A40" s="52" t="n"/>
      <c r="B40" s="51" t="n"/>
      <c r="C40" s="51" t="n"/>
      <c r="D40" s="52" t="n"/>
      <c r="E40" s="52" t="n"/>
      <c r="F40" s="51" t="n"/>
      <c r="G40" s="51" t="n"/>
      <c r="H40" s="52" t="n"/>
    </row>
    <row r="41" ht="15" customHeight="1" s="42">
      <c r="A41" s="59" t="n"/>
      <c r="B41" s="58" t="n"/>
      <c r="C41" s="58" t="n"/>
      <c r="D41" s="59" t="n"/>
      <c r="E41" s="59" t="n"/>
      <c r="F41" s="58" t="n"/>
      <c r="G41" s="58" t="n"/>
      <c r="H41" s="59" t="n"/>
    </row>
    <row r="42" ht="15" customHeight="1" s="42">
      <c r="A42" s="52" t="n"/>
      <c r="B42" s="51" t="n"/>
      <c r="C42" s="51" t="n"/>
      <c r="D42" s="52" t="n"/>
      <c r="E42" s="52" t="n"/>
      <c r="F42" s="51" t="n"/>
      <c r="G42" s="51" t="n"/>
      <c r="H42" s="52" t="n"/>
    </row>
    <row r="43" ht="15" customHeight="1" s="42">
      <c r="A43" s="59" t="n"/>
      <c r="B43" s="58" t="n"/>
      <c r="C43" s="58" t="n"/>
      <c r="D43" s="59" t="n"/>
      <c r="E43" s="59" t="n"/>
      <c r="F43" s="58" t="n"/>
      <c r="G43" s="58" t="n"/>
      <c r="H43" s="59" t="n"/>
    </row>
    <row r="44" ht="15" customHeight="1" s="42">
      <c r="A44" s="52" t="n"/>
      <c r="B44" s="51" t="n"/>
      <c r="C44" s="51" t="n"/>
      <c r="D44" s="52" t="n"/>
      <c r="E44" s="52" t="n"/>
      <c r="F44" s="51" t="n"/>
      <c r="G44" s="51" t="n"/>
      <c r="H44" s="52" t="n"/>
    </row>
    <row r="45" ht="15" customHeight="1" s="42">
      <c r="A45" s="59" t="n"/>
      <c r="B45" s="58" t="n"/>
      <c r="C45" s="58" t="n"/>
      <c r="D45" s="59" t="n"/>
      <c r="E45" s="59" t="n"/>
      <c r="F45" s="58" t="n"/>
      <c r="G45" s="58" t="n"/>
      <c r="H45" s="59" t="n"/>
    </row>
    <row r="46" ht="15" customHeight="1" s="42">
      <c r="A46" s="52" t="n"/>
      <c r="B46" s="51" t="n"/>
      <c r="C46" s="51" t="n"/>
      <c r="D46" s="52" t="n"/>
      <c r="E46" s="52" t="n"/>
      <c r="F46" s="51" t="n"/>
      <c r="G46" s="51" t="n"/>
      <c r="H46" s="52" t="n"/>
    </row>
    <row r="47" ht="15" customHeight="1" s="42">
      <c r="A47" s="59" t="n"/>
      <c r="B47" s="58" t="n"/>
      <c r="C47" s="58" t="n"/>
      <c r="D47" s="59" t="n"/>
      <c r="E47" s="59" t="n"/>
      <c r="F47" s="58" t="n"/>
      <c r="G47" s="58" t="n"/>
      <c r="H47" s="59" t="n"/>
    </row>
    <row r="48" ht="15" customHeight="1" s="42">
      <c r="A48" s="52" t="n"/>
      <c r="B48" s="51" t="n"/>
      <c r="C48" s="51" t="n"/>
      <c r="D48" s="52" t="n"/>
      <c r="E48" s="52" t="n"/>
      <c r="F48" s="51" t="n"/>
      <c r="G48" s="51" t="n"/>
      <c r="H48" s="52" t="n"/>
    </row>
    <row r="49" ht="15" customHeight="1" s="42">
      <c r="A49" s="59" t="n"/>
      <c r="B49" s="58" t="n"/>
      <c r="C49" s="58" t="n"/>
      <c r="D49" s="59" t="n"/>
      <c r="E49" s="59" t="n"/>
      <c r="F49" s="58" t="n"/>
      <c r="G49" s="58" t="n"/>
      <c r="H49" s="59"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G49"/>
  <sheetViews>
    <sheetView showFormulas="0" showGridLines="0" showRowColHeaders="1" showZeros="1" rightToLeft="0" tabSelected="0" showOutlineSymbols="1" defaultGridColor="1"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41" min="1" max="1"/>
    <col width="18" customWidth="1" style="41" min="2" max="2"/>
    <col width="12" customWidth="1" style="41" min="3" max="3"/>
    <col width="36" customWidth="1" style="41" min="4" max="4"/>
    <col width="55" customWidth="1" style="41" min="5" max="5"/>
    <col width="20" customWidth="1" style="41" min="6" max="6"/>
    <col width="42" customWidth="1" style="41" min="7" max="7"/>
  </cols>
  <sheetData>
    <row r="1" ht="15" customHeight="1" s="42">
      <c r="A1" s="49" t="inlineStr">
        <is>
          <t>Company</t>
        </is>
      </c>
      <c r="B1" s="49" t="inlineStr">
        <is>
          <t>Record Type</t>
        </is>
      </c>
      <c r="C1" s="49" t="inlineStr">
        <is>
          <t>Date</t>
        </is>
      </c>
      <c r="D1" s="49" t="inlineStr">
        <is>
          <t>Title / Context</t>
        </is>
      </c>
      <c r="E1" s="49" t="inlineStr">
        <is>
          <t>Excerpt / Summary</t>
        </is>
      </c>
      <c r="F1" s="49" t="inlineStr">
        <is>
          <t>Speaker / Author</t>
        </is>
      </c>
      <c r="G1" s="49" t="inlineStr">
        <is>
          <t>Source URL</t>
        </is>
      </c>
    </row>
    <row r="2" ht="53.25" customHeight="1" s="42">
      <c r="A2" s="67" t="inlineStr">
        <is>
          <t>(Record Type options:)</t>
        </is>
      </c>
      <c r="B2" s="64" t="inlineStr">
        <is>
          <t>DEI Policy / Press Release / Exec Quote / ESG Report / Mission Statement / Legal Filing</t>
        </is>
      </c>
      <c r="C2" s="68" t="n"/>
      <c r="D2" s="68" t="n"/>
      <c r="E2" s="68" t="n"/>
      <c r="F2" s="68" t="n"/>
      <c r="G2" s="68" t="n"/>
    </row>
    <row r="3" ht="23.25" customHeight="1" s="42">
      <c r="A3" s="59" t="inlineStr">
        <is>
          <t>Verizon</t>
        </is>
      </c>
      <c r="B3" s="59" t="inlineStr">
        <is>
          <t>Exec Quote</t>
        </is>
      </c>
      <c r="C3" s="58" t="inlineStr">
        <is>
          <t>2020-06-06</t>
        </is>
      </c>
      <c r="D3" s="59" t="inlineStr">
        <is>
          <t>CEO statement on diversity (later deleted)</t>
        </is>
      </c>
      <c r="E3" s="59" t="inlineStr">
        <is>
          <t>"Verizon is fiercely committed to diversity and inclusion across all spectrums because it makes us and the world better." — removed from verizon.com after May 2025</t>
        </is>
      </c>
      <c r="F3" s="59" t="inlineStr">
        <is>
          <t>Hans Vestberg, CEO</t>
        </is>
      </c>
      <c r="G3" s="59" t="inlineStr">
        <is>
          <t>https://popular.info/p/verizon-said-it-was-fiercely-committed</t>
        </is>
      </c>
    </row>
    <row r="4" ht="23.25" customHeight="1" s="42">
      <c r="A4" s="59" t="inlineStr">
        <is>
          <t>Verizon</t>
        </is>
      </c>
      <c r="B4" s="59" t="inlineStr">
        <is>
          <t>Legal Filing</t>
        </is>
      </c>
      <c r="C4" s="58" t="inlineStr">
        <is>
          <t>2025-05-15</t>
        </is>
      </c>
      <c r="D4" s="59" t="inlineStr">
        <is>
          <t>Letter to FCC ending DEI policies</t>
        </is>
      </c>
      <c r="E4" s="59" t="inlineStr">
        <is>
          <t>Verizon committed to ending DEI-related policies, removing 'diversity, equity and inclusion' references from training and public messaging, and ending certain sponsorships; FCC approved the Frontier acquisition the following day.</t>
        </is>
      </c>
      <c r="F4" s="59" t="inlineStr">
        <is>
          <t>Verizon Chief Legal Officer</t>
        </is>
      </c>
      <c r="G4" s="59" t="inlineStr">
        <is>
          <t>https://www.npr.org/2025/05/19/nx-s1-5402863/verizon-fcc-frontier-dei-trump</t>
        </is>
      </c>
    </row>
    <row r="5" ht="23.25" customHeight="1" s="42">
      <c r="A5" s="59" t="inlineStr">
        <is>
          <t>AT&amp;T</t>
        </is>
      </c>
      <c r="B5" s="59" t="inlineStr">
        <is>
          <t>Legal Filing</t>
        </is>
      </c>
      <c r="C5" s="58" t="inlineStr">
        <is>
          <t>2025-12-01</t>
        </is>
      </c>
      <c r="D5" s="59" t="inlineStr">
        <is>
          <t>AT&amp;T letter to FCC</t>
        </is>
      </c>
      <c r="E5" s="59" t="inlineStr">
        <is>
          <t>AT&amp;T 'will not pursue DEI programs' and frames hiring/advancement as merit-based, in a letter submitted while seeking FCC approval of its UScellular spectrum acquisition.</t>
        </is>
      </c>
      <c r="F5" s="59" t="inlineStr">
        <is>
          <t>AT&amp;T</t>
        </is>
      </c>
      <c r="G5" s="59" t="inlineStr">
        <is>
          <t>https://www.hr-brew.com/stories/2025/12/04/at-and-t-promised-it-will-not-pursue-dei-programs-in-a-new-letter-to-the-fcc</t>
        </is>
      </c>
    </row>
    <row r="6" ht="23.25" customHeight="1" s="42">
      <c r="A6" s="59" t="inlineStr">
        <is>
          <t>T-Mobile</t>
        </is>
      </c>
      <c r="B6" s="59" t="inlineStr">
        <is>
          <t>Legal Filing</t>
        </is>
      </c>
      <c r="C6" s="58" t="inlineStr">
        <is>
          <t>2025-07</t>
        </is>
      </c>
      <c r="D6" s="59" t="inlineStr">
        <is>
          <t>T-Mobile letter to FCC</t>
        </is>
      </c>
      <c r="E6" s="59" t="inlineStr">
        <is>
          <t>T-Mobile is 'ending its DEI programs, not just in name, but in substance' — submitted while seeking approval of UScellular and Metronet transactions.</t>
        </is>
      </c>
      <c r="F6" s="59" t="inlineStr">
        <is>
          <t>T-Mobile</t>
        </is>
      </c>
      <c r="G6" s="59" t="inlineStr">
        <is>
          <t>https://deadline.com/2025/07/t-mobile-dei-fcc-brendan-carr-1236453389/</t>
        </is>
      </c>
    </row>
    <row r="7" ht="23.25" customHeight="1" s="42">
      <c r="A7" s="59" t="inlineStr">
        <is>
          <t>Charter / Spectrum</t>
        </is>
      </c>
      <c r="B7" s="59" t="inlineStr">
        <is>
          <t>DEI Policy</t>
        </is>
      </c>
      <c r="C7" s="58" t="inlineStr">
        <is>
          <t>2024</t>
        </is>
      </c>
      <c r="D7" s="59" t="inlineStr">
        <is>
          <t>Careers EEO language</t>
        </is>
      </c>
      <c r="E7" s="59" t="inlineStr">
        <is>
          <t>Charter's employment policy includes sexual orientation and gender identity — standard compliance language with no broader public LGBTQ+ program attached.</t>
        </is>
      </c>
      <c r="F7" s="59" t="inlineStr">
        <is>
          <t>Charter Communications</t>
        </is>
      </c>
      <c r="G7" s="59" t="inlineStr">
        <is>
          <t>https://web.archive.org/web/2024/https://jobs.spectrum.com/diversity-and-inclusion</t>
        </is>
      </c>
    </row>
    <row r="8" ht="23.25" customHeight="1" s="42">
      <c r="A8" s="59" t="inlineStr">
        <is>
          <t>Apple</t>
        </is>
      </c>
      <c r="B8" s="59" t="inlineStr">
        <is>
          <t>Press Release</t>
        </is>
      </c>
      <c r="C8" s="58" t="inlineStr">
        <is>
          <t>2025-02-25</t>
        </is>
      </c>
      <c r="D8" s="59" t="inlineStr">
        <is>
          <t>Shareholder meeting result</t>
        </is>
      </c>
      <c r="E8" s="59" t="inlineStr">
        <is>
          <t>Apple shareholders rejected a proposal to end DEI policies by 97.3%, with the board recommending against it.</t>
        </is>
      </c>
      <c r="F8" s="59" t="inlineStr">
        <is>
          <t>Apple Inc.</t>
        </is>
      </c>
      <c r="G8" s="59" t="inlineStr">
        <is>
          <t>https://www.reuters.com/technology/apple-investors-reject-proposal-against-dei-policies-2025-02-25/</t>
        </is>
      </c>
    </row>
    <row r="9" ht="23.25" customHeight="1" s="42">
      <c r="A9" s="59" t="inlineStr">
        <is>
          <t>Google / Alphabet</t>
        </is>
      </c>
      <c r="B9" s="59" t="inlineStr">
        <is>
          <t>Press Release</t>
        </is>
      </c>
      <c r="C9" s="58" t="inlineStr">
        <is>
          <t>2025-02</t>
        </is>
      </c>
      <c r="D9" s="59" t="inlineStr">
        <is>
          <t>Google statement on calendar changes</t>
        </is>
      </c>
      <c r="E9" s="59" t="inlineStr">
        <is>
          <t>Google said maintaining 'hundreds of moments manually and consistently globally wasn't scalable or sustainable' — explanation widely criticized as cover for DEI retreat.</t>
        </is>
      </c>
      <c r="F9" s="59" t="inlineStr">
        <is>
          <t>Google spokesperson</t>
        </is>
      </c>
      <c r="G9" s="59" t="inlineStr">
        <is>
          <t>https://www.axios.com/2025/02/12/google-calendar-holidays-heritage-months-remove-diversity</t>
        </is>
      </c>
    </row>
    <row r="10" ht="23.25" customHeight="1" s="42">
      <c r="A10" s="59" t="inlineStr">
        <is>
          <t>Meta</t>
        </is>
      </c>
      <c r="B10" s="59" t="inlineStr">
        <is>
          <t>DEI Policy</t>
        </is>
      </c>
      <c r="C10" s="58" t="inlineStr">
        <is>
          <t>2025-01-07</t>
        </is>
      </c>
      <c r="D10" s="59" t="inlineStr">
        <is>
          <t>Revised Hateful Conduct policy</t>
        </is>
      </c>
      <c r="E10" s="59" t="inlineStr">
        <is>
          <t>Policy now permits 'allegations of mental illness or abnormality when based on gender or sexual orientation, given political and religious discourse about transgenderism and homosexuality.'</t>
        </is>
      </c>
      <c r="F10" s="59" t="inlineStr">
        <is>
          <t>Meta</t>
        </is>
      </c>
      <c r="G10" s="59" t="inlineStr">
        <is>
          <t>https://web.archive.org/web/2025/https://transparency.meta.com/policies/community-standards/hateful-conduct/</t>
        </is>
      </c>
    </row>
    <row r="11" ht="23.25" customHeight="1" s="42">
      <c r="A11" s="59" t="inlineStr">
        <is>
          <t>Microsoft</t>
        </is>
      </c>
      <c r="B11" s="59" t="inlineStr">
        <is>
          <t>ESG Report</t>
        </is>
      </c>
      <c r="C11" s="58" t="inlineStr">
        <is>
          <t>2024-10-23</t>
        </is>
      </c>
      <c r="D11" s="59" t="inlineStr">
        <is>
          <t>2024 Global Diversity &amp; Inclusion Report</t>
        </is>
      </c>
      <c r="E11" s="59" t="inlineStr">
        <is>
          <t>CEO Satya Nadella reiterated the importance of a diverse workforce in Microsoft's most transparent global report to date — published amid industry-wide retreat.</t>
        </is>
      </c>
      <c r="F11" s="59" t="inlineStr">
        <is>
          <t>Satya Nadella, CEO</t>
        </is>
      </c>
      <c r="G11" s="59" t="inlineStr">
        <is>
          <t>https://blogs.microsoft.com/blog/2024/10/23/microsofts-2024-global-diversity-inclusion-report-our-most-global-transparent-report-yet/</t>
        </is>
      </c>
    </row>
    <row r="12" ht="23.25" customHeight="1" s="42">
      <c r="A12" s="59" t="inlineStr">
        <is>
          <t>Microsoft</t>
        </is>
      </c>
      <c r="B12" s="59" t="inlineStr">
        <is>
          <t>Press Release</t>
        </is>
      </c>
      <c r="C12" s="58" t="inlineStr">
        <is>
          <t>2024-07</t>
        </is>
      </c>
      <c r="D12" s="59" t="inlineStr">
        <is>
          <t>Internal DEI team layoff</t>
        </is>
      </c>
      <c r="E12" s="59" t="inlineStr">
        <is>
          <t>Microsoft laid off its internal DEI team citing 'changing business needs' per a memo leaked to Business Insider; public commitments continued.</t>
        </is>
      </c>
      <c r="F12" s="59" t="inlineStr">
        <is>
          <t>Microsoft</t>
        </is>
      </c>
      <c r="G12" s="59" t="inlineStr">
        <is>
          <t>https://www.businessinsider.com/microsoft-layoffs-dei-leader-email-2024-7</t>
        </is>
      </c>
    </row>
    <row r="13" ht="23.25" customHeight="1" s="42">
      <c r="A13" s="59" t="inlineStr">
        <is>
          <t>Amazon</t>
        </is>
      </c>
      <c r="B13" s="59" t="inlineStr">
        <is>
          <t>Mission Statement</t>
        </is>
      </c>
      <c r="C13" s="58" t="inlineStr">
        <is>
          <t>2025-01</t>
        </is>
      </c>
      <c r="D13" s="59" t="inlineStr">
        <is>
          <t>Positions page edits</t>
        </is>
      </c>
      <c r="E13" s="59" t="inlineStr">
        <is>
          <t>Removed: pledge of commitment to 'LGBTQ+ rights,' description of gender-affirming care benefits per WPATH standards, and support for trans anti-discrimination legislation. Before-state preserved at the Wayback Machine.</t>
        </is>
      </c>
      <c r="F13" s="59" t="inlineStr">
        <is>
          <t>Amazon</t>
        </is>
      </c>
      <c r="G13" s="59" t="inlineStr">
        <is>
          <t>https://www.metroweekly.com/2025/01/amazon-erases-lgbtq-rights-support-from-website/</t>
        </is>
      </c>
    </row>
    <row r="14" ht="23.25" customHeight="1" s="42">
      <c r="A14" s="59" t="inlineStr">
        <is>
          <t>Walmart</t>
        </is>
      </c>
      <c r="B14" s="59" t="inlineStr">
        <is>
          <t>Press Release</t>
        </is>
      </c>
      <c r="C14" s="58" t="inlineStr">
        <is>
          <t>2025-05-28</t>
        </is>
      </c>
      <c r="D14" s="59" t="inlineStr">
        <is>
          <t>Spokesperson on Columbus Pride withdrawal</t>
        </is>
      </c>
      <c r="E14" s="59" t="inlineStr">
        <is>
          <t>Walmart said it is focused on 'creating an environment where our associates and customers feel they belong' while ending its Pride sponsorship.</t>
        </is>
      </c>
      <c r="F14" s="59" t="inlineStr">
        <is>
          <t>Jimmy Carter, Walmart spokesperson</t>
        </is>
      </c>
      <c r="G14" s="59" t="inlineStr">
        <is>
          <t>https://www.dispatch.com/story/news/local/2025/05/28/stonewall-columbus-pride-corporate-sponsors-anheuser-busch-lowes-nissan-walmart-back-out/83898020007/</t>
        </is>
      </c>
    </row>
    <row r="15" ht="23.25" customHeight="1" s="42">
      <c r="A15" s="59" t="inlineStr">
        <is>
          <t>Target</t>
        </is>
      </c>
      <c r="B15" s="59" t="inlineStr">
        <is>
          <t>Press Release</t>
        </is>
      </c>
      <c r="C15" s="58" t="inlineStr">
        <is>
          <t>2025-01-24</t>
        </is>
      </c>
      <c r="D15" s="59" t="inlineStr">
        <is>
          <t>'Belonging at the Bullseye' memo ending DEI goals</t>
        </is>
      </c>
      <c r="E15" s="59" t="inlineStr">
        <is>
          <t>Target cited an 'evolving external landscape' in ending its DEI goals and external survey reporting, including HRC's CEI.</t>
        </is>
      </c>
      <c r="F15" s="59" t="inlineStr">
        <is>
          <t>Kiera Fernandez, Chief Community Impact Officer</t>
        </is>
      </c>
      <c r="G15" s="59" t="inlineStr">
        <is>
          <t>https://www.pbs.org/newshour/politics/target-says-it-is-ending-its-dei-goals-and-programs-citing-an-evolving-external-landscape</t>
        </is>
      </c>
    </row>
    <row r="16" ht="23.25" customHeight="1" s="42">
      <c r="A16" s="59" t="inlineStr">
        <is>
          <t>Costco</t>
        </is>
      </c>
      <c r="B16" s="59" t="inlineStr">
        <is>
          <t>Press Release</t>
        </is>
      </c>
      <c r="C16" s="58" t="inlineStr">
        <is>
          <t>2025-01-23</t>
        </is>
      </c>
      <c r="D16" s="59" t="inlineStr">
        <is>
          <t>Board statement opposing anti-DEI proposal</t>
        </is>
      </c>
      <c r="E16" s="59" t="inlineStr">
        <is>
          <t>Costco's board unanimously recommended shareholders vote against the proposal, stating its diversity efforts are integral to its business and culture.</t>
        </is>
      </c>
      <c r="F16" s="59" t="inlineStr">
        <is>
          <t>Costco Board of Directors</t>
        </is>
      </c>
      <c r="G16" s="59" t="inlineStr">
        <is>
          <t>https://www.cbsnews.com/news/costco-dei-policy-board-statement-shareholder-meeting-vote/</t>
        </is>
      </c>
    </row>
    <row r="17" ht="23.25" customHeight="1" s="42">
      <c r="A17" s="59" t="inlineStr">
        <is>
          <t>Home Depot</t>
        </is>
      </c>
      <c r="B17" s="59" t="inlineStr">
        <is>
          <t>DEI Policy</t>
        </is>
      </c>
      <c r="C17" s="58" t="inlineStr">
        <is>
          <t>2024</t>
        </is>
      </c>
      <c r="D17" s="59" t="inlineStr">
        <is>
          <t>Careers EEO language</t>
        </is>
      </c>
      <c r="E17" s="59" t="inlineStr">
        <is>
          <t>Home Depot's employment policy includes sexual orientation and gender identity — standard compliance language with no broader public LGBTQ+ program attached.</t>
        </is>
      </c>
      <c r="F17" s="59" t="inlineStr">
        <is>
          <t>Home Depot</t>
        </is>
      </c>
      <c r="G17" s="59" t="inlineStr">
        <is>
          <t>https://web.archive.org/web/2024/https://careers.homedepot.com/diversity-equity-inclusion/</t>
        </is>
      </c>
    </row>
    <row r="18" ht="23.25" customHeight="1" s="42">
      <c r="A18" s="59" t="inlineStr">
        <is>
          <t>Best Buy</t>
        </is>
      </c>
      <c r="B18" s="59" t="inlineStr">
        <is>
          <t>ESG Report</t>
        </is>
      </c>
      <c r="C18" s="58" t="inlineStr">
        <is>
          <t>2024</t>
        </is>
      </c>
      <c r="D18" s="59" t="inlineStr">
        <is>
          <t>2024 corporate report drops measurable DEI goals</t>
        </is>
      </c>
      <c r="E18" s="59" t="inlineStr">
        <is>
          <t>Measurable diversity hiring targets present in the 2023 report (e.g., 37% BIPOC for new salaried corporate roles) are absent from the 2024 report.</t>
        </is>
      </c>
      <c r="F18" s="59" t="inlineStr">
        <is>
          <t>Best Buy</t>
        </is>
      </c>
      <c r="G18" s="59" t="inlineStr">
        <is>
          <t>https://buildremote.co/dei/best-buy/</t>
        </is>
      </c>
    </row>
    <row r="19" ht="23.25" customHeight="1" s="42">
      <c r="A19" s="59" t="inlineStr">
        <is>
          <t>Vineyard Vines</t>
        </is>
      </c>
      <c r="B19" s="59" t="inlineStr">
        <is>
          <t>Press Release</t>
        </is>
      </c>
      <c r="C19" s="58" t="inlineStr">
        <is>
          <t>2026-06</t>
        </is>
      </c>
      <c r="D19" s="59" t="inlineStr">
        <is>
          <t>Research note</t>
        </is>
      </c>
      <c r="E19" s="59" t="inlineStr">
        <is>
          <t>No Pride collections, LGBTQ+ donations, sponsorships, CEI participation, or reversals located in news archives, HRC records, or company materials as of June 2026.</t>
        </is>
      </c>
      <c r="F19" s="59" t="inlineStr">
        <is>
          <t>Index research</t>
        </is>
      </c>
      <c r="G19" s="59" t="inlineStr">
        <is>
          <t>https://www.hrc.org/resources/corporate-equality-index</t>
        </is>
      </c>
    </row>
    <row r="20" ht="23.25" customHeight="1" s="42">
      <c r="A20" s="59" t="inlineStr">
        <is>
          <t>Levi Strauss &amp; Co.</t>
        </is>
      </c>
      <c r="B20" s="59" t="inlineStr">
        <is>
          <t>Press Release</t>
        </is>
      </c>
      <c r="C20" s="58" t="inlineStr">
        <is>
          <t>2025-05</t>
        </is>
      </c>
      <c r="D20" s="59" t="inlineStr">
        <is>
          <t>Shareholder vote</t>
        </is>
      </c>
      <c r="E20" s="59" t="inlineStr">
        <is>
          <t>Levi Strauss shareholders overwhelmingly rejected a proposal targeting the company's DEI programs.</t>
        </is>
      </c>
      <c r="F20" s="59" t="inlineStr">
        <is>
          <t>Levi Strauss &amp; Co.</t>
        </is>
      </c>
      <c r="G20" s="59" t="inlineStr">
        <is>
          <t>https://www.cnn.com/2025/05/02/business/costco-apple-levi-shareholders-dei</t>
        </is>
      </c>
    </row>
    <row r="21" ht="23.25" customHeight="1" s="42">
      <c r="A21" s="59" t="inlineStr">
        <is>
          <t>Starbucks</t>
        </is>
      </c>
      <c r="B21" s="59" t="inlineStr">
        <is>
          <t>Press Release</t>
        </is>
      </c>
      <c r="C21" s="58" t="inlineStr">
        <is>
          <t>2025-03-13</t>
        </is>
      </c>
      <c r="D21" s="59" t="inlineStr">
        <is>
          <t>Executive pay restructuring</t>
        </is>
      </c>
      <c r="E21" s="59" t="inlineStr">
        <is>
          <t>Shareholders approved dropping the 7.5% executive bonus tied to DEI goals, replaced with a general workforce metric; company affirmed its 30%/40% diversity goals remain in place.</t>
        </is>
      </c>
      <c r="F21" s="59" t="inlineStr">
        <is>
          <t>Starbucks</t>
        </is>
      </c>
      <c r="G21" s="59" t="inlineStr">
        <is>
          <t>https://www.seattletimes.com/business/starbucks/starbucks-drops-executive-pay-package-tied-to-dei-amid-conservative-pressure/</t>
        </is>
      </c>
    </row>
    <row r="22" ht="23.25" customHeight="1" s="42">
      <c r="A22" s="59" t="inlineStr">
        <is>
          <t>Chick-fil-A</t>
        </is>
      </c>
      <c r="B22" s="59" t="inlineStr">
        <is>
          <t>Exec Quote</t>
        </is>
      </c>
      <c r="C22" s="58" t="inlineStr">
        <is>
          <t>2012-07</t>
        </is>
      </c>
      <c r="D22" s="59" t="inlineStr">
        <is>
          <t>Dan Cathy on marriage equality</t>
        </is>
      </c>
      <c r="E22" s="59" t="inlineStr">
        <is>
          <t>'We are very much supportive of the family — the biblical definition of the family unit... I think we are inviting God's judgment on our nation when we shake our fist at Him and say, we know better than you.'</t>
        </is>
      </c>
      <c r="F22" s="59" t="inlineStr">
        <is>
          <t>Dan Cathy, CEO</t>
        </is>
      </c>
      <c r="G22" s="59" t="inlineStr">
        <is>
          <t>https://en.wikipedia.org/wiki/Chick-fil-A_and_LGBT_people</t>
        </is>
      </c>
    </row>
    <row r="23" ht="23.25" customHeight="1" s="42">
      <c r="A23" s="59" t="inlineStr">
        <is>
          <t>Subway</t>
        </is>
      </c>
      <c r="B23" s="59" t="inlineStr">
        <is>
          <t>Press Release</t>
        </is>
      </c>
      <c r="C23" s="58" t="inlineStr">
        <is>
          <t>2026-06</t>
        </is>
      </c>
      <c r="D23" s="59" t="inlineStr">
        <is>
          <t>Research note</t>
        </is>
      </c>
      <c r="E23" s="59" t="inlineStr">
        <is>
          <t>No Pride campaigns, LGBTQ+ donations, sponsorships, CEI participation, or reversals located in news archives or company materials as of June 2026.</t>
        </is>
      </c>
      <c r="F23" s="59" t="inlineStr">
        <is>
          <t>Index research</t>
        </is>
      </c>
      <c r="G23" s="59" t="inlineStr">
        <is>
          <t>https://www.hrc.org/resources/corporate-equality-index</t>
        </is>
      </c>
    </row>
    <row r="24" ht="23.25" customHeight="1" s="42">
      <c r="A24" s="59" t="inlineStr">
        <is>
          <t>Anheuser-Busch InBev</t>
        </is>
      </c>
      <c r="B24" s="59" t="inlineStr">
        <is>
          <t>Press Release</t>
        </is>
      </c>
      <c r="C24" s="58" t="inlineStr">
        <is>
          <t>2023-04-14</t>
        </is>
      </c>
      <c r="D24" s="59" t="inlineStr">
        <is>
          <t>CEO statement amid boycott</t>
        </is>
      </c>
      <c r="E24" s="59" t="inlineStr">
        <is>
          <t>Brendan Whitworth's 'We never intended to be part of a discussion that divides people' statement — widely read as an apology to boycotters rather than a defense of the trans community.</t>
        </is>
      </c>
      <c r="F24" s="59" t="inlineStr">
        <is>
          <t>Brendan Whitworth, CEO Anheuser-Busch</t>
        </is>
      </c>
      <c r="G24" s="59" t="inlineStr">
        <is>
          <t>https://en.wikipedia.org/wiki/Bud_Light_boycott</t>
        </is>
      </c>
    </row>
    <row r="25" ht="23.25" customHeight="1" s="42">
      <c r="A25" s="59" t="inlineStr">
        <is>
          <t>Tyson Foods</t>
        </is>
      </c>
      <c r="B25" s="59" t="inlineStr">
        <is>
          <t>Press Release</t>
        </is>
      </c>
      <c r="C25" s="58" t="inlineStr">
        <is>
          <t>2026-06</t>
        </is>
      </c>
      <c r="D25" s="59" t="inlineStr">
        <is>
          <t>Research note</t>
        </is>
      </c>
      <c r="E25" s="59" t="inlineStr">
        <is>
          <t>No Pride campaigns, LGBTQ+ donations, sponsorships, CEI participation, or reversals located in news archives or company materials as of June 2026.</t>
        </is>
      </c>
      <c r="F25" s="59" t="inlineStr">
        <is>
          <t>Index research</t>
        </is>
      </c>
      <c r="G25" s="59" t="inlineStr">
        <is>
          <t>https://www.hrc.org/resources/corporate-equality-index</t>
        </is>
      </c>
    </row>
    <row r="26" ht="23.25" customHeight="1" s="42">
      <c r="A26" s="59" t="inlineStr">
        <is>
          <t>JPMorgan Chase</t>
        </is>
      </c>
      <c r="B26" s="59" t="inlineStr">
        <is>
          <t>Press Release</t>
        </is>
      </c>
      <c r="C26" s="58" t="inlineStr">
        <is>
          <t>2025-03</t>
        </is>
      </c>
      <c r="D26" s="59" t="inlineStr">
        <is>
          <t>DEI renamed 'Diversity, Opportunity &amp; Inclusion'</t>
        </is>
      </c>
      <c r="E26" s="59" t="inlineStr">
        <is>
          <t>JPMorgan renamed its DEI program to 'Diversity, Opportunity &amp; Inclusion,' dropping 'equity,' and folded some programs into other units — a symbolic concession while programs continued.</t>
        </is>
      </c>
      <c r="F26" s="59" t="inlineStr">
        <is>
          <t>JPMorgan Chase</t>
        </is>
      </c>
      <c r="G26" s="59" t="inlineStr">
        <is>
          <t>https://www.bankingdive.com/news/goldman-dei-diversity-equity-inclusion-solomon-gnodde-moynihan-fraser-dimon/741251/</t>
        </is>
      </c>
    </row>
    <row r="27" ht="23.25" customHeight="1" s="42">
      <c r="A27" s="59" t="inlineStr">
        <is>
          <t>Walt Disney Co.</t>
        </is>
      </c>
      <c r="B27" s="59" t="inlineStr">
        <is>
          <t>Press Release</t>
        </is>
      </c>
      <c r="C27" s="58" t="inlineStr">
        <is>
          <t>2025-03-28</t>
        </is>
      </c>
      <c r="D27" s="59" t="inlineStr">
        <is>
          <t>FCC investigation notice</t>
        </is>
      </c>
      <c r="E27" s="59" t="inlineStr">
        <is>
          <t>FCC chairman Brendan Carr opened an investigation into Disney/ABC DEI practices despite the company's February rollback.</t>
        </is>
      </c>
      <c r="F27" s="59" t="inlineStr">
        <is>
          <t>FCC / news coverage</t>
        </is>
      </c>
      <c r="G27" s="59" t="inlineStr">
        <is>
          <t>https://www.cnbc.com/2025/03/28/dei-disney-abc-fcc-investigation-notice.html</t>
        </is>
      </c>
    </row>
    <row r="28" ht="23.25" customHeight="1" s="42">
      <c r="A28" s="59" t="inlineStr">
        <is>
          <t>NBCUniversal</t>
        </is>
      </c>
      <c r="B28" s="59" t="inlineStr">
        <is>
          <t>Press Release</t>
        </is>
      </c>
      <c r="C28" s="58" t="inlineStr">
        <is>
          <t>2025-02</t>
        </is>
      </c>
      <c r="D28" s="59" t="inlineStr">
        <is>
          <t>FCC probe of parent Comcast/NBCU</t>
        </is>
      </c>
      <c r="E28" s="59" t="inlineStr">
        <is>
          <t>FCC chairman Brendan Carr opened an investigation into Comcast and NBCUniversal DEI practices in early February 2025.</t>
        </is>
      </c>
      <c r="F28" s="59" t="inlineStr">
        <is>
          <t>News coverage</t>
        </is>
      </c>
      <c r="G28" s="59" t="inlineStr">
        <is>
          <t>https://www.cnbc.com/2025/03/28/dei-disney-abc-fcc-investigation-notice.html</t>
        </is>
      </c>
    </row>
    <row r="29" ht="23.25" customHeight="1" s="42">
      <c r="A29" s="59" t="inlineStr">
        <is>
          <t>Tesla</t>
        </is>
      </c>
      <c r="B29" s="59" t="inlineStr">
        <is>
          <t>Exec Quote</t>
        </is>
      </c>
      <c r="C29" s="58" t="inlineStr">
        <is>
          <t>2023-06</t>
        </is>
      </c>
      <c r="D29" s="59" t="inlineStr">
        <is>
          <t>Musk on X re: 'cisgender'</t>
        </is>
      </c>
      <c r="E29" s="59" t="inlineStr">
        <is>
          <t>Musk declared 'cis'/'cisgender' slurs subject to suspension on X and has repeatedly amplified anti-trans content — leadership rhetoric inseparable from the brand.</t>
        </is>
      </c>
      <c r="F29" s="59" t="inlineStr">
        <is>
          <t>Elon Musk, CEO</t>
        </is>
      </c>
      <c r="G29" s="59" t="inlineStr">
        <is>
          <t>https://en.wikipedia.org/wiki/Views_of_Elon_Musk</t>
        </is>
      </c>
    </row>
    <row r="30" ht="23.25" customHeight="1" s="42">
      <c r="A30" s="59" t="inlineStr">
        <is>
          <t>NextEra Energy</t>
        </is>
      </c>
      <c r="B30" s="59" t="inlineStr">
        <is>
          <t>Press Release</t>
        </is>
      </c>
      <c r="C30" s="58" t="inlineStr">
        <is>
          <t>2026-06</t>
        </is>
      </c>
      <c r="D30" s="59" t="inlineStr">
        <is>
          <t>Research note</t>
        </is>
      </c>
      <c r="E30" s="59" t="inlineStr">
        <is>
          <t>No Pride campaigns, LGBTQ+ donations, sponsorships, CEI participation, or reversals located in news archives or company materials as of June 2026.</t>
        </is>
      </c>
      <c r="F30" s="59" t="inlineStr">
        <is>
          <t>Index research</t>
        </is>
      </c>
      <c r="G30" s="59" t="inlineStr">
        <is>
          <t>https://www.hrc.org/resources/corporate-equality-index</t>
        </is>
      </c>
    </row>
    <row r="31" ht="23.25" customHeight="1" s="42">
      <c r="A31" s="59" t="inlineStr">
        <is>
          <t>Southern Company</t>
        </is>
      </c>
      <c r="B31" s="59" t="inlineStr">
        <is>
          <t>Press Release</t>
        </is>
      </c>
      <c r="C31" s="58" t="inlineStr">
        <is>
          <t>2026-06</t>
        </is>
      </c>
      <c r="D31" s="59" t="inlineStr">
        <is>
          <t>Research note</t>
        </is>
      </c>
      <c r="E31" s="59" t="inlineStr">
        <is>
          <t>No Pride campaigns, LGBTQ+ donations, sponsorships, CEI participation, or reversals located in news archives or company materials as of June 2026.</t>
        </is>
      </c>
      <c r="F31" s="59" t="inlineStr">
        <is>
          <t>Index research</t>
        </is>
      </c>
      <c r="G31" s="59" t="inlineStr">
        <is>
          <t>https://www.hrc.org/resources/corporate-equality-index</t>
        </is>
      </c>
    </row>
    <row r="32" ht="23.25" customHeight="1" s="42">
      <c r="A32" s="59" t="inlineStr">
        <is>
          <t>Palantir Technologies</t>
        </is>
      </c>
      <c r="B32" s="59" t="inlineStr">
        <is>
          <t>Exec Quote</t>
        </is>
      </c>
      <c r="C32" s="58" t="inlineStr">
        <is>
          <t>2025-11-03</t>
        </is>
      </c>
      <c r="D32" s="59" t="inlineStr">
        <is>
          <t>Q3 2025 earnings call</t>
        </is>
      </c>
      <c r="E32" s="59" t="inlineStr">
        <is>
          <t>CEO Alex Karp: Palantir 'was really the first company to be completely anti-woke,' having previously called wokeness a 'central risk' to the company and country.</t>
        </is>
      </c>
      <c r="F32" s="59" t="inlineStr">
        <is>
          <t>Alex Karp, CEO</t>
        </is>
      </c>
      <c r="G32" s="59" t="inlineStr">
        <is>
          <t>https://fortune.com/2025/11/04/palantir-ceo-anti-woke-investment-trump-government-technology-ai-worker-rich/</t>
        </is>
      </c>
    </row>
    <row r="33" ht="23.25" customHeight="1" s="42">
      <c r="A33" s="59" t="inlineStr">
        <is>
          <t>Block (Square)</t>
        </is>
      </c>
      <c r="B33" s="59" t="inlineStr">
        <is>
          <t>Press Release</t>
        </is>
      </c>
      <c r="C33" s="58" t="inlineStr">
        <is>
          <t>2026-06</t>
        </is>
      </c>
      <c r="D33" s="59" t="inlineStr">
        <is>
          <t>Research note</t>
        </is>
      </c>
      <c r="E33" s="59" t="inlineStr">
        <is>
          <t>No Pride campaigns, LGBTQ+ donations, sponsorships, recent CEI participation, or reversals located as of June 2026.</t>
        </is>
      </c>
      <c r="F33" s="59" t="inlineStr">
        <is>
          <t>Index research</t>
        </is>
      </c>
      <c r="G33" s="59" t="inlineStr">
        <is>
          <t>https://www.hrc.org/resources/corporate-equality-index</t>
        </is>
      </c>
    </row>
    <row r="34" ht="23.25" customHeight="1" s="42">
      <c r="A34" s="59" t="inlineStr">
        <is>
          <t>Dollar General</t>
        </is>
      </c>
      <c r="B34" s="59" t="inlineStr">
        <is>
          <t>Press Release</t>
        </is>
      </c>
      <c r="C34" s="58" t="inlineStr">
        <is>
          <t>2026-06</t>
        </is>
      </c>
      <c r="D34" s="59" t="inlineStr">
        <is>
          <t>Research note</t>
        </is>
      </c>
      <c r="E34" s="59" t="inlineStr">
        <is>
          <t>No Pride campaigns, LGBTQ+ donations, sponsorships, CEI participation, or reversals located as of June 2026.</t>
        </is>
      </c>
      <c r="F34" s="59" t="inlineStr">
        <is>
          <t>Index research</t>
        </is>
      </c>
      <c r="G34" s="59" t="inlineStr">
        <is>
          <t>https://www.hrc.org/resources/corporate-equality-index</t>
        </is>
      </c>
    </row>
    <row r="35" ht="23.25" customHeight="1" s="42">
      <c r="A35" s="59" t="inlineStr">
        <is>
          <t>Dollar Tree</t>
        </is>
      </c>
      <c r="B35" s="59" t="inlineStr">
        <is>
          <t>Press Release</t>
        </is>
      </c>
      <c r="C35" s="58" t="inlineStr">
        <is>
          <t>2026-06</t>
        </is>
      </c>
      <c r="D35" s="59" t="inlineStr">
        <is>
          <t>Research note</t>
        </is>
      </c>
      <c r="E35" s="59" t="inlineStr">
        <is>
          <t>No Pride campaigns, LGBTQ+ donations, sponsorships, CEI participation, or reversals located as of June 2026.</t>
        </is>
      </c>
      <c r="F35" s="59" t="inlineStr">
        <is>
          <t>Index research</t>
        </is>
      </c>
      <c r="G35" s="59" t="inlineStr">
        <is>
          <t>https://www.hrc.org/resources/corporate-equality-index</t>
        </is>
      </c>
    </row>
    <row r="36" ht="23.25" customHeight="1" s="42">
      <c r="A36" s="59" t="inlineStr">
        <is>
          <t>Domino's Pizza</t>
        </is>
      </c>
      <c r="B36" s="59" t="inlineStr">
        <is>
          <t>Press Release</t>
        </is>
      </c>
      <c r="C36" s="58" t="inlineStr">
        <is>
          <t>2026-06</t>
        </is>
      </c>
      <c r="D36" s="59" t="inlineStr">
        <is>
          <t>Research note</t>
        </is>
      </c>
      <c r="E36" s="59" t="inlineStr">
        <is>
          <t>No Pride campaigns, LGBTQ+ donations, sponsorships, CEI participation, or reversals located as of June 2026.</t>
        </is>
      </c>
      <c r="F36" s="59" t="inlineStr">
        <is>
          <t>Index research</t>
        </is>
      </c>
      <c r="G36" s="59" t="inlineStr">
        <is>
          <t>https://www.hrc.org/resources/corporate-equality-index</t>
        </is>
      </c>
    </row>
    <row r="37" ht="23.25" customHeight="1" s="42">
      <c r="A37" s="59" t="inlineStr">
        <is>
          <t>ConocoPhillips</t>
        </is>
      </c>
      <c r="B37" s="59" t="inlineStr">
        <is>
          <t>Press Release</t>
        </is>
      </c>
      <c r="C37" s="58" t="inlineStr">
        <is>
          <t>2026-06</t>
        </is>
      </c>
      <c r="D37" s="59" t="inlineStr">
        <is>
          <t>Research note</t>
        </is>
      </c>
      <c r="E37" s="59" t="inlineStr">
        <is>
          <t>No Pride campaigns, LGBTQ+ donations, sponsorships, CEI participation, or reversals located as of June 2026.</t>
        </is>
      </c>
      <c r="F37" s="59" t="inlineStr">
        <is>
          <t>Index research</t>
        </is>
      </c>
      <c r="G37" s="59" t="inlineStr">
        <is>
          <t>https://www.hrc.org/resources/corporate-equality-index</t>
        </is>
      </c>
    </row>
    <row r="38" ht="23.25" customHeight="1" s="42">
      <c r="A38" s="59" t="inlineStr">
        <is>
          <t>Phillips 66</t>
        </is>
      </c>
      <c r="B38" s="59" t="inlineStr">
        <is>
          <t>Press Release</t>
        </is>
      </c>
      <c r="C38" s="58" t="inlineStr">
        <is>
          <t>2026-06</t>
        </is>
      </c>
      <c r="D38" s="59" t="inlineStr">
        <is>
          <t>Research note</t>
        </is>
      </c>
      <c r="E38" s="59" t="inlineStr">
        <is>
          <t>No Pride campaigns, LGBTQ+ donations, sponsorships, CEI participation, or reversals located as of June 2026.</t>
        </is>
      </c>
      <c r="F38" s="59" t="inlineStr">
        <is>
          <t>Index research</t>
        </is>
      </c>
      <c r="G38" s="59" t="inlineStr">
        <is>
          <t>https://www.hrc.org/resources/corporate-equality-index</t>
        </is>
      </c>
    </row>
    <row r="39" ht="23.25" customHeight="1" s="42">
      <c r="A39" s="59" t="inlineStr">
        <is>
          <t>Marathon Petroleum</t>
        </is>
      </c>
      <c r="B39" s="59" t="inlineStr">
        <is>
          <t>Press Release</t>
        </is>
      </c>
      <c r="C39" s="58" t="inlineStr">
        <is>
          <t>2026-06</t>
        </is>
      </c>
      <c r="D39" s="59" t="inlineStr">
        <is>
          <t>Research note</t>
        </is>
      </c>
      <c r="E39" s="59" t="inlineStr">
        <is>
          <t>No Pride campaigns, LGBTQ+ donations, sponsorships, CEI participation, or reversals located as of June 2026.</t>
        </is>
      </c>
      <c r="F39" s="59" t="inlineStr">
        <is>
          <t>Index research</t>
        </is>
      </c>
      <c r="G39" s="59" t="inlineStr">
        <is>
          <t>https://www.hrc.org/resources/corporate-equality-index</t>
        </is>
      </c>
    </row>
    <row r="40" ht="23.25" customHeight="1" s="42">
      <c r="A40" s="59" t="inlineStr">
        <is>
          <t>Rivian</t>
        </is>
      </c>
      <c r="B40" s="59" t="inlineStr">
        <is>
          <t>Press Release</t>
        </is>
      </c>
      <c r="C40" s="58" t="inlineStr">
        <is>
          <t>2026-06</t>
        </is>
      </c>
      <c r="D40" s="59" t="inlineStr">
        <is>
          <t>Research note</t>
        </is>
      </c>
      <c r="E40" s="59" t="inlineStr">
        <is>
          <t>No Pride campaigns, LGBTQ+ donations, sponsorships, CEI participation, or reversals located as of June 2026.</t>
        </is>
      </c>
      <c r="F40" s="59" t="inlineStr">
        <is>
          <t>Index research</t>
        </is>
      </c>
      <c r="G40" s="59" t="inlineStr">
        <is>
          <t>https://www.hrc.org/resources/corporate-equality-index</t>
        </is>
      </c>
    </row>
    <row r="41" ht="23.25" customHeight="1" s="42">
      <c r="A41" s="59" t="inlineStr">
        <is>
          <t>Lucid Group</t>
        </is>
      </c>
      <c r="B41" s="59" t="inlineStr">
        <is>
          <t>Press Release</t>
        </is>
      </c>
      <c r="C41" s="58" t="inlineStr">
        <is>
          <t>2026-06</t>
        </is>
      </c>
      <c r="D41" s="59" t="inlineStr">
        <is>
          <t>Research note</t>
        </is>
      </c>
      <c r="E41" s="59" t="inlineStr">
        <is>
          <t>No Pride campaigns, LGBTQ+ donations, sponsorships, CEI participation, or reversals located as of June 2026. Majority shareholder is Saudi Arabia's Public Investment Fund.</t>
        </is>
      </c>
      <c r="F41" s="59" t="inlineStr">
        <is>
          <t>Index research</t>
        </is>
      </c>
      <c r="G41" s="59" t="inlineStr">
        <is>
          <t>https://www.hrc.org/resources/corporate-equality-index</t>
        </is>
      </c>
    </row>
    <row r="42" ht="15" customHeight="1" s="42">
      <c r="A42" s="52" t="n"/>
      <c r="B42" s="52" t="n"/>
      <c r="C42" s="51" t="n"/>
      <c r="D42" s="52" t="n"/>
      <c r="E42" s="52" t="n"/>
      <c r="F42" s="52" t="n"/>
      <c r="G42" s="52" t="n"/>
    </row>
    <row r="43" ht="15" customHeight="1" s="42">
      <c r="A43" s="59" t="n"/>
      <c r="B43" s="59" t="n"/>
      <c r="C43" s="58" t="n"/>
      <c r="D43" s="59" t="n"/>
      <c r="E43" s="59" t="n"/>
      <c r="F43" s="59" t="n"/>
      <c r="G43" s="59" t="n"/>
    </row>
    <row r="44" ht="15" customHeight="1" s="42">
      <c r="A44" s="52" t="n"/>
      <c r="B44" s="52" t="n"/>
      <c r="C44" s="51" t="n"/>
      <c r="D44" s="52" t="n"/>
      <c r="E44" s="52" t="n"/>
      <c r="F44" s="52" t="n"/>
      <c r="G44" s="52" t="n"/>
    </row>
    <row r="45" ht="15" customHeight="1" s="42">
      <c r="A45" s="59" t="n"/>
      <c r="B45" s="59" t="n"/>
      <c r="C45" s="58" t="n"/>
      <c r="D45" s="59" t="n"/>
      <c r="E45" s="59" t="n"/>
      <c r="F45" s="59" t="n"/>
      <c r="G45" s="59" t="n"/>
    </row>
    <row r="46" ht="15" customHeight="1" s="42">
      <c r="A46" s="52" t="n"/>
      <c r="B46" s="52" t="n"/>
      <c r="C46" s="51" t="n"/>
      <c r="D46" s="52" t="n"/>
      <c r="E46" s="52" t="n"/>
      <c r="F46" s="52" t="n"/>
      <c r="G46" s="52" t="n"/>
    </row>
    <row r="47" ht="15" customHeight="1" s="42">
      <c r="A47" s="59" t="n"/>
      <c r="B47" s="59" t="n"/>
      <c r="C47" s="58" t="n"/>
      <c r="D47" s="59" t="n"/>
      <c r="E47" s="59" t="n"/>
      <c r="F47" s="59" t="n"/>
      <c r="G47" s="59" t="n"/>
    </row>
    <row r="48" ht="15" customHeight="1" s="42">
      <c r="A48" s="52" t="n"/>
      <c r="B48" s="52" t="n"/>
      <c r="C48" s="51" t="n"/>
      <c r="D48" s="52" t="n"/>
      <c r="E48" s="52" t="n"/>
      <c r="F48" s="52" t="n"/>
      <c r="G48" s="52" t="n"/>
    </row>
    <row r="49" ht="15" customHeight="1" s="42">
      <c r="A49" s="59" t="n"/>
      <c r="B49" s="59" t="n"/>
      <c r="C49" s="58" t="n"/>
      <c r="D49" s="59" t="n"/>
      <c r="E49" s="59" t="n"/>
      <c r="F49" s="59" t="n"/>
      <c r="G49" s="59"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E29"/>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41" min="1" max="1"/>
    <col width="16" customWidth="1" style="41" min="2" max="2"/>
    <col width="12" customWidth="1" style="41" min="3" max="3"/>
    <col width="9" customWidth="1" style="41" min="4" max="4"/>
    <col width="50" customWidth="1" style="41" min="5" max="5"/>
  </cols>
  <sheetData>
    <row r="1" ht="15" customHeight="1" s="42">
      <c r="A1" s="49" t="inlineStr">
        <is>
          <t>Action ID</t>
        </is>
      </c>
      <c r="B1" s="49" t="inlineStr">
        <is>
          <t>Tier / Category</t>
        </is>
      </c>
      <c r="C1" s="49" t="inlineStr">
        <is>
          <t>Polarity</t>
        </is>
      </c>
      <c r="D1" s="49" t="inlineStr">
        <is>
          <t>Points</t>
        </is>
      </c>
      <c r="E1" s="49" t="inlineStr">
        <is>
          <t>Description</t>
        </is>
      </c>
    </row>
    <row r="2" ht="15" customHeight="1" s="42">
      <c r="A2" s="69" t="inlineStr">
        <is>
          <t>p_logo_rainbow</t>
        </is>
      </c>
      <c r="B2" s="69" t="inlineStr">
        <is>
          <t>Cosmetic</t>
        </is>
      </c>
      <c r="C2" s="70" t="inlineStr">
        <is>
          <t>Positive</t>
        </is>
      </c>
      <c r="D2" s="71" t="n">
        <v>3</v>
      </c>
      <c r="E2" s="52" t="inlineStr">
        <is>
          <t>Rainbow logo / social profile filter</t>
        </is>
      </c>
    </row>
    <row r="3" ht="15" customHeight="1" s="42">
      <c r="A3" s="72" t="inlineStr">
        <is>
          <t>p_generic_post</t>
        </is>
      </c>
      <c r="B3" s="72" t="inlineStr">
        <is>
          <t>Cosmetic</t>
        </is>
      </c>
      <c r="C3" s="73" t="inlineStr">
        <is>
          <t>Positive</t>
        </is>
      </c>
      <c r="D3" s="74" t="n">
        <v>2</v>
      </c>
      <c r="E3" s="59" t="inlineStr">
        <is>
          <t>Generic 'we support Pride' post</t>
        </is>
      </c>
    </row>
    <row r="4" ht="15" customHeight="1" s="42">
      <c r="A4" s="69" t="inlineStr">
        <is>
          <t>p_flag_display</t>
        </is>
      </c>
      <c r="B4" s="69" t="inlineStr">
        <is>
          <t>Cosmetic</t>
        </is>
      </c>
      <c r="C4" s="70" t="inlineStr">
        <is>
          <t>Positive</t>
        </is>
      </c>
      <c r="D4" s="71" t="n">
        <v>4</v>
      </c>
      <c r="E4" s="52" t="inlineStr">
        <is>
          <t>Pride flag at offices / HQ</t>
        </is>
      </c>
    </row>
    <row r="5" ht="15" customHeight="1" s="42">
      <c r="A5" s="72" t="inlineStr">
        <is>
          <t>p_merch_collection</t>
        </is>
      </c>
      <c r="B5" s="72" t="inlineStr">
        <is>
          <t>Commercial</t>
        </is>
      </c>
      <c r="C5" s="73" t="inlineStr">
        <is>
          <t>Positive</t>
        </is>
      </c>
      <c r="D5" s="74" t="n">
        <v>6</v>
      </c>
      <c r="E5" s="59" t="inlineStr">
        <is>
          <t>Pride merchandise collection</t>
        </is>
      </c>
    </row>
    <row r="6" ht="15" customHeight="1" s="42">
      <c r="A6" s="69" t="inlineStr">
        <is>
          <t>p_merch_proceeds</t>
        </is>
      </c>
      <c r="B6" s="69" t="inlineStr">
        <is>
          <t>Commercial</t>
        </is>
      </c>
      <c r="C6" s="70" t="inlineStr">
        <is>
          <t>Positive</t>
        </is>
      </c>
      <c r="D6" s="71" t="n">
        <v>10</v>
      </c>
      <c r="E6" s="52" t="inlineStr">
        <is>
          <t>Merch proceeds donated to LGBTQ+ orgs</t>
        </is>
      </c>
    </row>
    <row r="7" ht="15" customHeight="1" s="42">
      <c r="A7" s="72" t="inlineStr">
        <is>
          <t>p_collab</t>
        </is>
      </c>
      <c r="B7" s="72" t="inlineStr">
        <is>
          <t>Commercial</t>
        </is>
      </c>
      <c r="C7" s="73" t="inlineStr">
        <is>
          <t>Positive</t>
        </is>
      </c>
      <c r="D7" s="74" t="n">
        <v>8</v>
      </c>
      <c r="E7" s="59" t="inlineStr">
        <is>
          <t>Collaboration with queer artists/brands</t>
        </is>
      </c>
    </row>
    <row r="8" ht="15" customHeight="1" s="42">
      <c r="A8" s="69" t="inlineStr">
        <is>
          <t>p_parade_sponsor</t>
        </is>
      </c>
      <c r="B8" s="69" t="inlineStr">
        <is>
          <t>Civic</t>
        </is>
      </c>
      <c r="C8" s="70" t="inlineStr">
        <is>
          <t>Positive</t>
        </is>
      </c>
      <c r="D8" s="71" t="n">
        <v>12</v>
      </c>
      <c r="E8" s="52" t="inlineStr">
        <is>
          <t>Pride parade / event sponsorship</t>
        </is>
      </c>
    </row>
    <row r="9" ht="15" customHeight="1" s="42">
      <c r="A9" s="72" t="inlineStr">
        <is>
          <t>p_parade_march</t>
        </is>
      </c>
      <c r="B9" s="72" t="inlineStr">
        <is>
          <t>Civic</t>
        </is>
      </c>
      <c r="C9" s="73" t="inlineStr">
        <is>
          <t>Positive</t>
        </is>
      </c>
      <c r="D9" s="74" t="n">
        <v>10</v>
      </c>
      <c r="E9" s="59" t="inlineStr">
        <is>
          <t>Employees march (organized)</t>
        </is>
      </c>
    </row>
    <row r="10" ht="15" customHeight="1" s="42">
      <c r="A10" s="69" t="inlineStr">
        <is>
          <t>p_erg_support</t>
        </is>
      </c>
      <c r="B10" s="69" t="inlineStr">
        <is>
          <t>Civic</t>
        </is>
      </c>
      <c r="C10" s="70" t="inlineStr">
        <is>
          <t>Positive</t>
        </is>
      </c>
      <c r="D10" s="71" t="n">
        <v>15</v>
      </c>
      <c r="E10" s="52" t="inlineStr">
        <is>
          <t>LGBTQ+ ERG funded</t>
        </is>
      </c>
    </row>
    <row r="11" ht="15" customHeight="1" s="42">
      <c r="A11" s="72" t="inlineStr">
        <is>
          <t>p_community_events</t>
        </is>
      </c>
      <c r="B11" s="72" t="inlineStr">
        <is>
          <t>Civic</t>
        </is>
      </c>
      <c r="C11" s="73" t="inlineStr">
        <is>
          <t>Positive</t>
        </is>
      </c>
      <c r="D11" s="74" t="n">
        <v>12</v>
      </c>
      <c r="E11" s="59" t="inlineStr">
        <is>
          <t>Hosts / joins community events</t>
        </is>
      </c>
    </row>
    <row r="12" ht="15" customHeight="1" s="42">
      <c r="A12" s="69" t="inlineStr">
        <is>
          <t>p_donation_small</t>
        </is>
      </c>
      <c r="B12" s="69" t="inlineStr">
        <is>
          <t>Financial</t>
        </is>
      </c>
      <c r="C12" s="70" t="inlineStr">
        <is>
          <t>Positive</t>
        </is>
      </c>
      <c r="D12" s="71" t="n">
        <v>15</v>
      </c>
      <c r="E12" s="52" t="inlineStr">
        <is>
          <t>Donation &lt; $100K</t>
        </is>
      </c>
    </row>
    <row r="13" ht="15" customHeight="1" s="42">
      <c r="A13" s="72" t="inlineStr">
        <is>
          <t>p_donation_large</t>
        </is>
      </c>
      <c r="B13" s="72" t="inlineStr">
        <is>
          <t>Financial</t>
        </is>
      </c>
      <c r="C13" s="73" t="inlineStr">
        <is>
          <t>Positive</t>
        </is>
      </c>
      <c r="D13" s="74" t="n">
        <v>22</v>
      </c>
      <c r="E13" s="59" t="inlineStr">
        <is>
          <t>Donation $100K–$1M+</t>
        </is>
      </c>
    </row>
    <row r="14" ht="15" customHeight="1" s="42">
      <c r="A14" s="69" t="inlineStr">
        <is>
          <t>p_matching</t>
        </is>
      </c>
      <c r="B14" s="69" t="inlineStr">
        <is>
          <t>Financial</t>
        </is>
      </c>
      <c r="C14" s="70" t="inlineStr">
        <is>
          <t>Positive</t>
        </is>
      </c>
      <c r="D14" s="71" t="n">
        <v>18</v>
      </c>
      <c r="E14" s="52" t="inlineStr">
        <is>
          <t>Employee donation matching</t>
        </is>
      </c>
    </row>
    <row r="15" ht="15" customHeight="1" s="42">
      <c r="A15" s="72" t="inlineStr">
        <is>
          <t>p_recurring</t>
        </is>
      </c>
      <c r="B15" s="72" t="inlineStr">
        <is>
          <t>Financial</t>
        </is>
      </c>
      <c r="C15" s="73" t="inlineStr">
        <is>
          <t>Positive</t>
        </is>
      </c>
      <c r="D15" s="74" t="n">
        <v>25</v>
      </c>
      <c r="E15" s="59" t="inlineStr">
        <is>
          <t>Multi-year recurring commitment</t>
        </is>
      </c>
    </row>
    <row r="16" ht="15" customHeight="1" s="42">
      <c r="A16" s="69" t="inlineStr">
        <is>
          <t>p_dei_explicit</t>
        </is>
      </c>
      <c r="B16" s="69" t="inlineStr">
        <is>
          <t>Structural</t>
        </is>
      </c>
      <c r="C16" s="70" t="inlineStr">
        <is>
          <t>Positive</t>
        </is>
      </c>
      <c r="D16" s="71" t="n">
        <v>20</v>
      </c>
      <c r="E16" s="52" t="inlineStr">
        <is>
          <t>Explicit DEI policy naming LGBTQ+</t>
        </is>
      </c>
    </row>
    <row r="17" ht="15" customHeight="1" s="42">
      <c r="A17" s="72" t="inlineStr">
        <is>
          <t>p_benefits</t>
        </is>
      </c>
      <c r="B17" s="72" t="inlineStr">
        <is>
          <t>Structural</t>
        </is>
      </c>
      <c r="C17" s="73" t="inlineStr">
        <is>
          <t>Positive</t>
        </is>
      </c>
      <c r="D17" s="74" t="n">
        <v>22</v>
      </c>
      <c r="E17" s="59" t="inlineStr">
        <is>
          <t>Partner / transition health benefits</t>
        </is>
      </c>
    </row>
    <row r="18" ht="15" customHeight="1" s="42">
      <c r="A18" s="69" t="inlineStr">
        <is>
          <t>p_consistent_history</t>
        </is>
      </c>
      <c r="B18" s="69" t="inlineStr">
        <is>
          <t>Structural</t>
        </is>
      </c>
      <c r="C18" s="70" t="inlineStr">
        <is>
          <t>Positive</t>
        </is>
      </c>
      <c r="D18" s="71" t="n">
        <v>28</v>
      </c>
      <c r="E18" s="52" t="inlineStr">
        <is>
          <t>5+ year consistent support record</t>
        </is>
      </c>
    </row>
    <row r="19" ht="15" customHeight="1" s="42">
      <c r="A19" s="72" t="inlineStr">
        <is>
          <t>p_leadership_vocal</t>
        </is>
      </c>
      <c r="B19" s="72" t="inlineStr">
        <is>
          <t>Structural</t>
        </is>
      </c>
      <c r="C19" s="73" t="inlineStr">
        <is>
          <t>Positive</t>
        </is>
      </c>
      <c r="D19" s="74" t="n">
        <v>18</v>
      </c>
      <c r="E19" s="59" t="inlineStr">
        <is>
          <t>C-suite publicly advocates</t>
        </is>
      </c>
    </row>
    <row r="20" ht="15" customHeight="1" s="42">
      <c r="A20" s="69" t="inlineStr">
        <is>
          <t>p_anti_discrim_policy</t>
        </is>
      </c>
      <c r="B20" s="69" t="inlineStr">
        <is>
          <t>Structural</t>
        </is>
      </c>
      <c r="C20" s="70" t="inlineStr">
        <is>
          <t>Positive</t>
        </is>
      </c>
      <c r="D20" s="71" t="n">
        <v>25</v>
      </c>
      <c r="E20" s="52" t="inlineStr">
        <is>
          <t>Anti-discrim policy (orientation + identity)</t>
        </is>
      </c>
    </row>
    <row r="21" ht="15" customHeight="1" s="42">
      <c r="A21" s="72" t="inlineStr">
        <is>
          <t>n_anti_lgbtq_donations</t>
        </is>
      </c>
      <c r="B21" s="72" t="inlineStr">
        <is>
          <t>—</t>
        </is>
      </c>
      <c r="C21" s="73" t="inlineStr">
        <is>
          <t>Negative</t>
        </is>
      </c>
      <c r="D21" s="75" t="n">
        <v>-30</v>
      </c>
      <c r="E21" s="59" t="inlineStr">
        <is>
          <t>Donations to anti-LGBTQ+ politicians/PACs</t>
        </is>
      </c>
    </row>
    <row r="22" ht="15" customHeight="1" s="42">
      <c r="A22" s="69" t="inlineStr">
        <is>
          <t>n_anti_lgbtq_orgs</t>
        </is>
      </c>
      <c r="B22" s="69" t="inlineStr">
        <is>
          <t>—</t>
        </is>
      </c>
      <c r="C22" s="70" t="inlineStr">
        <is>
          <t>Negative</t>
        </is>
      </c>
      <c r="D22" s="76" t="n">
        <v>-35</v>
      </c>
      <c r="E22" s="52" t="inlineStr">
        <is>
          <t>Funding anti-LGBTQ+ organizations</t>
        </is>
      </c>
    </row>
    <row r="23" ht="15" customHeight="1" s="42">
      <c r="A23" s="72" t="inlineStr">
        <is>
          <t>n_lobbying</t>
        </is>
      </c>
      <c r="B23" s="72" t="inlineStr">
        <is>
          <t>—</t>
        </is>
      </c>
      <c r="C23" s="73" t="inlineStr">
        <is>
          <t>Negative</t>
        </is>
      </c>
      <c r="D23" s="75" t="n">
        <v>-40</v>
      </c>
      <c r="E23" s="59" t="inlineStr">
        <is>
          <t>Lobbying against LGBTQ+ legislation</t>
        </is>
      </c>
    </row>
    <row r="24" ht="15" customHeight="1" s="42">
      <c r="A24" s="69" t="inlineStr">
        <is>
          <t>n_benefits_rollback</t>
        </is>
      </c>
      <c r="B24" s="69" t="inlineStr">
        <is>
          <t>—</t>
        </is>
      </c>
      <c r="C24" s="70" t="inlineStr">
        <is>
          <t>Negative</t>
        </is>
      </c>
      <c r="D24" s="76" t="n">
        <v>-28</v>
      </c>
      <c r="E24" s="52" t="inlineStr">
        <is>
          <t>Rolled back LGBTQ+ employee benefits</t>
        </is>
      </c>
    </row>
    <row r="25" ht="15" customHeight="1" s="42">
      <c r="A25" s="72" t="inlineStr">
        <is>
          <t>n_dei_removal</t>
        </is>
      </c>
      <c r="B25" s="72" t="inlineStr">
        <is>
          <t>—</t>
        </is>
      </c>
      <c r="C25" s="73" t="inlineStr">
        <is>
          <t>Negative</t>
        </is>
      </c>
      <c r="D25" s="75" t="n">
        <v>-32</v>
      </c>
      <c r="E25" s="59" t="inlineStr">
        <is>
          <t>Removed LGBTQ+ language from DEI policy</t>
        </is>
      </c>
    </row>
    <row r="26" ht="15" customHeight="1" s="42">
      <c r="A26" s="69" t="inlineStr">
        <is>
          <t>n_pride_retreat</t>
        </is>
      </c>
      <c r="B26" s="69" t="inlineStr">
        <is>
          <t>—</t>
        </is>
      </c>
      <c r="C26" s="70" t="inlineStr">
        <is>
          <t>Negative</t>
        </is>
      </c>
      <c r="D26" s="76" t="n">
        <v>-22</v>
      </c>
      <c r="E26" s="52" t="inlineStr">
        <is>
          <t>Publicly retreated from Pride commitments</t>
        </is>
      </c>
    </row>
    <row r="27" ht="15" customHeight="1" s="42">
      <c r="A27" s="72" t="inlineStr">
        <is>
          <t>n_us_only</t>
        </is>
      </c>
      <c r="B27" s="72" t="inlineStr">
        <is>
          <t>—</t>
        </is>
      </c>
      <c r="C27" s="73" t="inlineStr">
        <is>
          <t>Negative</t>
        </is>
      </c>
      <c r="D27" s="75" t="n">
        <v>-12</v>
      </c>
      <c r="E27" s="59" t="inlineStr">
        <is>
          <t>US support only; discriminatory abroad</t>
        </is>
      </c>
    </row>
    <row r="28" ht="15" customHeight="1" s="42">
      <c r="A28" s="69" t="inlineStr">
        <is>
          <t>n_greenwashing</t>
        </is>
      </c>
      <c r="B28" s="69" t="inlineStr">
        <is>
          <t>—</t>
        </is>
      </c>
      <c r="C28" s="70" t="inlineStr">
        <is>
          <t>Negative</t>
        </is>
      </c>
      <c r="D28" s="76" t="n">
        <v>-8</v>
      </c>
      <c r="E28" s="52" t="inlineStr">
        <is>
          <t>Pride washing — branding, no substance</t>
        </is>
      </c>
    </row>
    <row r="29" ht="15" customHeight="1" s="42">
      <c r="A29" s="72" t="inlineStr">
        <is>
          <t>n_selective</t>
        </is>
      </c>
      <c r="B29" s="72" t="inlineStr">
        <is>
          <t>—</t>
        </is>
      </c>
      <c r="C29" s="73" t="inlineStr">
        <is>
          <t>Negative</t>
        </is>
      </c>
      <c r="D29" s="75" t="n">
        <v>-10</v>
      </c>
      <c r="E29" s="59" t="inlineStr">
        <is>
          <t>Selective inclusion (excludes trans/NB)</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G16"/>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41" min="1" max="1"/>
    <col width="12" customWidth="1" style="41" min="2" max="2"/>
    <col width="11" customWidth="1" style="41" min="3" max="3"/>
    <col width="8" customWidth="1" style="41" min="4" max="5"/>
    <col width="11" customWidth="1" style="41" min="6" max="7"/>
  </cols>
  <sheetData>
    <row r="1" ht="15" customHeight="1" s="42">
      <c r="A1" s="49" t="inlineStr">
        <is>
          <t>Sector</t>
        </is>
      </c>
      <c r="B1" s="49" t="inlineStr">
        <is>
          <t># Companies</t>
        </is>
      </c>
      <c r="C1" s="49" t="inlineStr">
        <is>
          <t>Avg Score</t>
        </is>
      </c>
      <c r="D1" s="49" t="inlineStr">
        <is>
          <t>Min</t>
        </is>
      </c>
      <c r="E1" s="49" t="inlineStr">
        <is>
          <t>Max</t>
        </is>
      </c>
      <c r="F1" s="49" t="inlineStr">
        <is>
          <t>Champions</t>
        </is>
      </c>
      <c r="G1" s="49" t="inlineStr">
        <is>
          <t>Harmful+</t>
        </is>
      </c>
    </row>
    <row r="2" ht="15" customHeight="1" s="42">
      <c r="A2" s="50" t="inlineStr">
        <is>
          <t>Telecommunications</t>
        </is>
      </c>
      <c r="B2" s="51">
        <f>COUNTIF(Company_Master!$C:$C,$A2)</f>
        <v/>
      </c>
      <c r="C2" s="55">
        <f>IFERROR(ROUND(AVERAGEIF(Company_Master!$C:$C,$A2,Company_Master!$J:$J),1),"-")</f>
        <v/>
      </c>
      <c r="D2" s="51">
        <f>IFERROR(minifs(Company_Master!$J:$J,Company_Master!$C:$C,$A2),"-")</f>
        <v/>
      </c>
      <c r="E2" s="51">
        <f>IFERROR(maxifs(Company_Master!$J:$J,Company_Master!$C:$C,$A2),"-")</f>
        <v/>
      </c>
      <c r="F2" s="53">
        <f>COUNTIFS(Company_Master!$C:$C,$A2,Company_Master!$J:$J,"&gt;=80")</f>
        <v/>
      </c>
      <c r="G2" s="54">
        <f>COUNTIFS(Company_Master!$C:$C,$A2,Company_Master!$J:$J,"&lt;35")</f>
        <v/>
      </c>
    </row>
    <row r="3" ht="15" customHeight="1" s="42">
      <c r="A3" s="57" t="inlineStr">
        <is>
          <t>Technology</t>
        </is>
      </c>
      <c r="B3" s="58">
        <f>COUNTIF(Company_Master!$C:$C,$A3)</f>
        <v/>
      </c>
      <c r="C3" s="62">
        <f>IFERROR(ROUND(AVERAGEIF(Company_Master!$C:$C,$A3,Company_Master!$J:$J),1),"-")</f>
        <v/>
      </c>
      <c r="D3" s="58">
        <f>IFERROR(minifs(Company_Master!$J:$J,Company_Master!$C:$C,$A3),"-")</f>
        <v/>
      </c>
      <c r="E3" s="58">
        <f>IFERROR(maxifs(Company_Master!$J:$J,Company_Master!$C:$C,$A3),"-")</f>
        <v/>
      </c>
      <c r="F3" s="60">
        <f>COUNTIFS(Company_Master!$C:$C,$A3,Company_Master!$J:$J,"&gt;=80")</f>
        <v/>
      </c>
      <c r="G3" s="61">
        <f>COUNTIFS(Company_Master!$C:$C,$A3,Company_Master!$J:$J,"&lt;35")</f>
        <v/>
      </c>
    </row>
    <row r="4" ht="15" customHeight="1" s="42">
      <c r="A4" s="50" t="inlineStr">
        <is>
          <t>Retail — Big Box</t>
        </is>
      </c>
      <c r="B4" s="51">
        <f>COUNTIF(Company_Master!$C:$C,$A4)</f>
        <v/>
      </c>
      <c r="C4" s="55">
        <f>IFERROR(ROUND(AVERAGEIF(Company_Master!$C:$C,$A4,Company_Master!$J:$J),1),"-")</f>
        <v/>
      </c>
      <c r="D4" s="51">
        <f>IFERROR(minifs(Company_Master!$J:$J,Company_Master!$C:$C,$A4),"-")</f>
        <v/>
      </c>
      <c r="E4" s="51">
        <f>IFERROR(maxifs(Company_Master!$J:$J,Company_Master!$C:$C,$A4),"-")</f>
        <v/>
      </c>
      <c r="F4" s="53">
        <f>COUNTIFS(Company_Master!$C:$C,$A4,Company_Master!$J:$J,"&gt;=80")</f>
        <v/>
      </c>
      <c r="G4" s="54">
        <f>COUNTIFS(Company_Master!$C:$C,$A4,Company_Master!$J:$J,"&lt;35")</f>
        <v/>
      </c>
    </row>
    <row r="5" ht="15" customHeight="1" s="42">
      <c r="A5" s="57" t="inlineStr">
        <is>
          <t>Fashion &amp; Apparel</t>
        </is>
      </c>
      <c r="B5" s="58">
        <f>COUNTIF(Company_Master!$C:$C,$A5)</f>
        <v/>
      </c>
      <c r="C5" s="62">
        <f>IFERROR(ROUND(AVERAGEIF(Company_Master!$C:$C,$A5,Company_Master!$J:$J),1),"-")</f>
        <v/>
      </c>
      <c r="D5" s="58">
        <f>IFERROR(minifs(Company_Master!$J:$J,Company_Master!$C:$C,$A5),"-")</f>
        <v/>
      </c>
      <c r="E5" s="58">
        <f>IFERROR(maxifs(Company_Master!$J:$J,Company_Master!$C:$C,$A5),"-")</f>
        <v/>
      </c>
      <c r="F5" s="60">
        <f>COUNTIFS(Company_Master!$C:$C,$A5,Company_Master!$J:$J,"&gt;=80")</f>
        <v/>
      </c>
      <c r="G5" s="61">
        <f>COUNTIFS(Company_Master!$C:$C,$A5,Company_Master!$J:$J,"&lt;35")</f>
        <v/>
      </c>
    </row>
    <row r="6" ht="15" customHeight="1" s="42">
      <c r="A6" s="50" t="inlineStr">
        <is>
          <t>Food &amp; Beverage</t>
        </is>
      </c>
      <c r="B6" s="51">
        <f>COUNTIF(Company_Master!$C:$C,$A6)</f>
        <v/>
      </c>
      <c r="C6" s="55">
        <f>IFERROR(ROUND(AVERAGEIF(Company_Master!$C:$C,$A6,Company_Master!$J:$J),1),"-")</f>
        <v/>
      </c>
      <c r="D6" s="51">
        <f>IFERROR(minifs(Company_Master!$J:$J,Company_Master!$C:$C,$A6),"-")</f>
        <v/>
      </c>
      <c r="E6" s="51">
        <f>IFERROR(maxifs(Company_Master!$J:$J,Company_Master!$C:$C,$A6),"-")</f>
        <v/>
      </c>
      <c r="F6" s="53">
        <f>COUNTIFS(Company_Master!$C:$C,$A6,Company_Master!$J:$J,"&gt;=80")</f>
        <v/>
      </c>
      <c r="G6" s="54">
        <f>COUNTIFS(Company_Master!$C:$C,$A6,Company_Master!$J:$J,"&lt;35")</f>
        <v/>
      </c>
    </row>
    <row r="7" ht="15" customHeight="1" s="42">
      <c r="A7" s="57" t="inlineStr">
        <is>
          <t>Financial Services</t>
        </is>
      </c>
      <c r="B7" s="58">
        <f>COUNTIF(Company_Master!$C:$C,$A7)</f>
        <v/>
      </c>
      <c r="C7" s="62">
        <f>IFERROR(ROUND(AVERAGEIF(Company_Master!$C:$C,$A7,Company_Master!$J:$J),1),"-")</f>
        <v/>
      </c>
      <c r="D7" s="58">
        <f>IFERROR(minifs(Company_Master!$J:$J,Company_Master!$C:$C,$A7),"-")</f>
        <v/>
      </c>
      <c r="E7" s="58">
        <f>IFERROR(maxifs(Company_Master!$J:$J,Company_Master!$C:$C,$A7),"-")</f>
        <v/>
      </c>
      <c r="F7" s="60">
        <f>COUNTIFS(Company_Master!$C:$C,$A7,Company_Master!$J:$J,"&gt;=80")</f>
        <v/>
      </c>
      <c r="G7" s="61">
        <f>COUNTIFS(Company_Master!$C:$C,$A7,Company_Master!$J:$J,"&lt;35")</f>
        <v/>
      </c>
    </row>
    <row r="8" ht="15" customHeight="1" s="42">
      <c r="A8" s="50" t="inlineStr">
        <is>
          <t>Media &amp; Entertainment</t>
        </is>
      </c>
      <c r="B8" s="51">
        <f>COUNTIF(Company_Master!$C:$C,$A8)</f>
        <v/>
      </c>
      <c r="C8" s="55">
        <f>IFERROR(ROUND(AVERAGEIF(Company_Master!$C:$C,$A8,Company_Master!$J:$J),1),"-")</f>
        <v/>
      </c>
      <c r="D8" s="51">
        <f>IFERROR(minifs(Company_Master!$J:$J,Company_Master!$C:$C,$A8),"-")</f>
        <v/>
      </c>
      <c r="E8" s="51">
        <f>IFERROR(maxifs(Company_Master!$J:$J,Company_Master!$C:$C,$A8),"-")</f>
        <v/>
      </c>
      <c r="F8" s="53">
        <f>COUNTIFS(Company_Master!$C:$C,$A8,Company_Master!$J:$J,"&gt;=80")</f>
        <v/>
      </c>
      <c r="G8" s="54">
        <f>COUNTIFS(Company_Master!$C:$C,$A8,Company_Master!$J:$J,"&lt;35")</f>
        <v/>
      </c>
    </row>
    <row r="9" ht="15" customHeight="1" s="42">
      <c r="A9" s="57" t="inlineStr">
        <is>
          <t>Automotive</t>
        </is>
      </c>
      <c r="B9" s="58">
        <f>COUNTIF(Company_Master!$C:$C,$A9)</f>
        <v/>
      </c>
      <c r="C9" s="62">
        <f>IFERROR(ROUND(AVERAGEIF(Company_Master!$C:$C,$A9,Company_Master!$J:$J),1),"-")</f>
        <v/>
      </c>
      <c r="D9" s="58">
        <f>IFERROR(minifs(Company_Master!$J:$J,Company_Master!$C:$C,$A9),"-")</f>
        <v/>
      </c>
      <c r="E9" s="58">
        <f>IFERROR(maxifs(Company_Master!$J:$J,Company_Master!$C:$C,$A9),"-")</f>
        <v/>
      </c>
      <c r="F9" s="60">
        <f>COUNTIFS(Company_Master!$C:$C,$A9,Company_Master!$J:$J,"&gt;=80")</f>
        <v/>
      </c>
      <c r="G9" s="61">
        <f>COUNTIFS(Company_Master!$C:$C,$A9,Company_Master!$J:$J,"&lt;35")</f>
        <v/>
      </c>
    </row>
    <row r="10" ht="15" customHeight="1" s="42">
      <c r="A10" s="50" t="inlineStr">
        <is>
          <t>Healthcare &amp; Pharma</t>
        </is>
      </c>
      <c r="B10" s="51">
        <f>COUNTIF(Company_Master!$C:$C,$A10)</f>
        <v/>
      </c>
      <c r="C10" s="55">
        <f>IFERROR(ROUND(AVERAGEIF(Company_Master!$C:$C,$A10,Company_Master!$J:$J),1),"-")</f>
        <v/>
      </c>
      <c r="D10" s="51">
        <f>IFERROR(minifs(Company_Master!$J:$J,Company_Master!$C:$C,$A10),"-")</f>
        <v/>
      </c>
      <c r="E10" s="51">
        <f>IFERROR(maxifs(Company_Master!$J:$J,Company_Master!$C:$C,$A10),"-")</f>
        <v/>
      </c>
      <c r="F10" s="53">
        <f>COUNTIFS(Company_Master!$C:$C,$A10,Company_Master!$J:$J,"&gt;=80")</f>
        <v/>
      </c>
      <c r="G10" s="54">
        <f>COUNTIFS(Company_Master!$C:$C,$A10,Company_Master!$J:$J,"&lt;35")</f>
        <v/>
      </c>
    </row>
    <row r="11" ht="15" customHeight="1" s="42">
      <c r="A11" s="57" t="inlineStr">
        <is>
          <t>Energy</t>
        </is>
      </c>
      <c r="B11" s="58">
        <f>COUNTIF(Company_Master!$C:$C,$A11)</f>
        <v/>
      </c>
      <c r="C11" s="62">
        <f>IFERROR(ROUND(AVERAGEIF(Company_Master!$C:$C,$A11,Company_Master!$J:$J),1),"-")</f>
        <v/>
      </c>
      <c r="D11" s="58">
        <f>IFERROR(minifs(Company_Master!$J:$J,Company_Master!$C:$C,$A11),"-")</f>
        <v/>
      </c>
      <c r="E11" s="58">
        <f>IFERROR(maxifs(Company_Master!$J:$J,Company_Master!$C:$C,$A11),"-")</f>
        <v/>
      </c>
      <c r="F11" s="60">
        <f>COUNTIFS(Company_Master!$C:$C,$A11,Company_Master!$J:$J,"&gt;=80")</f>
        <v/>
      </c>
      <c r="G11" s="61">
        <f>COUNTIFS(Company_Master!$C:$C,$A11,Company_Master!$J:$J,"&lt;35")</f>
        <v/>
      </c>
    </row>
    <row r="12" ht="15" customHeight="1" s="42">
      <c r="A12" s="50" t="inlineStr">
        <is>
          <t>Hospitality &amp; Travel</t>
        </is>
      </c>
      <c r="B12" s="51">
        <f>COUNTIF(Company_Master!$C:$C,$A12)</f>
        <v/>
      </c>
      <c r="C12" s="55">
        <f>IFERROR(ROUND(AVERAGEIF(Company_Master!$C:$C,$A12,Company_Master!$J:$J),1),"-")</f>
        <v/>
      </c>
      <c r="D12" s="51">
        <f>IFERROR(minifs(Company_Master!$J:$J,Company_Master!$C:$C,$A12),"-")</f>
        <v/>
      </c>
      <c r="E12" s="51">
        <f>IFERROR(maxifs(Company_Master!$J:$J,Company_Master!$C:$C,$A12),"-")</f>
        <v/>
      </c>
      <c r="F12" s="53">
        <f>COUNTIFS(Company_Master!$C:$C,$A12,Company_Master!$J:$J,"&gt;=80")</f>
        <v/>
      </c>
      <c r="G12" s="54">
        <f>COUNTIFS(Company_Master!$C:$C,$A12,Company_Master!$J:$J,"&lt;35")</f>
        <v/>
      </c>
    </row>
    <row r="13" ht="15" customHeight="1" s="42">
      <c r="A13" s="57" t="inlineStr">
        <is>
          <t>Consumer Goods</t>
        </is>
      </c>
      <c r="B13" s="58">
        <f>COUNTIF(Company_Master!$C:$C,$A13)</f>
        <v/>
      </c>
      <c r="C13" s="62">
        <f>IFERROR(ROUND(AVERAGEIF(Company_Master!$C:$C,$A13,Company_Master!$J:$J),1),"-")</f>
        <v/>
      </c>
      <c r="D13" s="58">
        <f>IFERROR(minifs(Company_Master!$J:$J,Company_Master!$C:$C,$A13),"-")</f>
        <v/>
      </c>
      <c r="E13" s="58">
        <f>IFERROR(maxifs(Company_Master!$J:$J,Company_Master!$C:$C,$A13),"-")</f>
        <v/>
      </c>
      <c r="F13" s="60">
        <f>COUNTIFS(Company_Master!$C:$C,$A13,Company_Master!$J:$J,"&gt;=80")</f>
        <v/>
      </c>
      <c r="G13" s="61">
        <f>COUNTIFS(Company_Master!$C:$C,$A13,Company_Master!$J:$J,"&lt;35")</f>
        <v/>
      </c>
    </row>
    <row r="14" ht="15" customHeight="1" s="42">
      <c r="A14" s="50" t="inlineStr">
        <is>
          <t>Defense &amp; Gov Contracting</t>
        </is>
      </c>
      <c r="B14" s="51">
        <f>COUNTIF(Company_Master!$C:$C,$A14)</f>
        <v/>
      </c>
      <c r="C14" s="55">
        <f>IFERROR(ROUND(AVERAGEIF(Company_Master!$C:$C,$A14,Company_Master!$J:$J),1),"-")</f>
        <v/>
      </c>
      <c r="D14" s="51">
        <f>IFERROR(minifs(Company_Master!$J:$J,Company_Master!$C:$C,$A14),"-")</f>
        <v/>
      </c>
      <c r="E14" s="51">
        <f>IFERROR(maxifs(Company_Master!$J:$J,Company_Master!$C:$C,$A14),"-")</f>
        <v/>
      </c>
      <c r="F14" s="53">
        <f>COUNTIFS(Company_Master!$C:$C,$A14,Company_Master!$J:$J,"&gt;=80")</f>
        <v/>
      </c>
      <c r="G14" s="54">
        <f>COUNTIFS(Company_Master!$C:$C,$A14,Company_Master!$J:$J,"&lt;35")</f>
        <v/>
      </c>
    </row>
    <row r="15" ht="15" customHeight="1" s="42">
      <c r="A15" s="50" t="inlineStr">
        <is>
          <t>Industrial &amp; Logistics</t>
        </is>
      </c>
      <c r="B15" s="51">
        <f>COUNTIF(Company_Master!$C:$C,$A15)</f>
        <v/>
      </c>
      <c r="C15" s="55">
        <f>IFERROR(ROUND(AVERAGEIF(Company_Master!$C:$C,$A15,Company_Master!$J:$J),1),"-")</f>
        <v/>
      </c>
      <c r="D15" s="51">
        <f>IFERROR(MINIFS(Company_Master!$J:$J,Company_Master!$C:$C,$A15),"-")</f>
        <v/>
      </c>
      <c r="E15" s="51">
        <f>IFERROR(MAXIFS(Company_Master!$J:$J,Company_Master!$C:$C,$A15),"-")</f>
        <v/>
      </c>
      <c r="F15" s="53">
        <f>COUNTIFS(Company_Master!$C:$C,$A15,Company_Master!$J:$J,"&gt;=80")</f>
        <v/>
      </c>
      <c r="G15" s="54">
        <f>COUNTIFS(Company_Master!$C:$C,$A15,Company_Master!$J:$J,"&lt;35")</f>
        <v/>
      </c>
    </row>
    <row r="16">
      <c r="A16" s="77" t="inlineStr">
        <is>
          <t>ALL COMPANIES</t>
        </is>
      </c>
      <c r="B16" s="78">
        <f>SUM(B2:B15)</f>
        <v/>
      </c>
      <c r="C16" s="79">
        <f>ROUND(AVERAGE(Company_Master!$J$2:$J$170),1)</f>
        <v/>
      </c>
      <c r="D16" s="78">
        <f>MIN(Company_Master!$J$2:$J$170)</f>
        <v/>
      </c>
      <c r="E16" s="78">
        <f>MAX(Company_Master!$J$2:$J$170)</f>
        <v/>
      </c>
      <c r="F16" s="80">
        <f>SUM(F2:F15)</f>
        <v/>
      </c>
      <c r="G16" s="81">
        <f>SUM(G2:G15)</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2026-06-10T23:51:47Z</dcterms:created>
  <dcterms:modified xmlns:dcterms="http://purl.org/dc/terms/" xmlns:xsi="http://www.w3.org/2001/XMLSchema-instance" xsi:type="dcterms:W3CDTF">2026-06-11T21:50:18Z</dcterms:modified>
  <cp:revision>0</cp:revision>
</cp:coreProperties>
</file>