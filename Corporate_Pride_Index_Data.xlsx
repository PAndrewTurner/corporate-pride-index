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mpany_Master" sheetId="2" state="visible" r:id="rId2"/>
    <sheet xmlns:r="http://schemas.openxmlformats.org/officeDocument/2006/relationships" name="Score_Rationale" sheetId="3" state="visible" r:id="rId3"/>
    <sheet xmlns:r="http://schemas.openxmlformats.org/officeDocument/2006/relationships" name="Action_Log" sheetId="4" state="visible" r:id="rId4"/>
    <sheet xmlns:r="http://schemas.openxmlformats.org/officeDocument/2006/relationships" name="Social_Media_Log" sheetId="5" state="visible" r:id="rId5"/>
    <sheet xmlns:r="http://schemas.openxmlformats.org/officeDocument/2006/relationships" name="Statements_Reports" sheetId="6" state="visible" r:id="rId6"/>
    <sheet xmlns:r="http://schemas.openxmlformats.org/officeDocument/2006/relationships" name="Scoring_Reference" sheetId="7" state="visible" r:id="rId7"/>
    <sheet xmlns:r="http://schemas.openxmlformats.org/officeDocument/2006/relationships" name="Sector_Summary" sheetId="8" state="visible" r:id="rId8"/>
    <sheet xmlns:r="http://schemas.openxmlformats.org/officeDocument/2006/relationships" name="Political_Donations" sheetId="9" state="visible" r:id="rId9"/>
    <sheet xmlns:r="http://schemas.openxmlformats.org/officeDocument/2006/relationships" name="Yearly_Scores" sheetId="10" state="visible" r:id="rId10"/>
    <sheet xmlns:r="http://schemas.openxmlformats.org/officeDocument/2006/relationships" name="Timeline_Methodology" sheetId="11" state="visible" r:id="rId11"/>
    <sheet xmlns:r="http://schemas.openxmlformats.org/officeDocument/2006/relationships" name="Yearly_Rationale"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20"/>
    </font>
    <font>
      <name val="Arial"/>
      <charset val="1"/>
      <family val="0"/>
      <i val="1"/>
      <color rgb="FF4338CA"/>
      <sz val="12"/>
    </font>
    <font>
      <name val="Arial"/>
      <charset val="1"/>
      <family val="0"/>
      <color rgb="FF111827"/>
      <sz val="10"/>
    </font>
    <font>
      <name val="Arial"/>
      <charset val="1"/>
      <family val="0"/>
      <b val="1"/>
      <color rgb="FF4338CA"/>
      <sz val="12"/>
    </font>
    <font>
      <name val="Arial"/>
      <charset val="1"/>
      <family val="0"/>
      <b val="1"/>
      <color rgb="FF111827"/>
      <sz val="10"/>
    </font>
    <font>
      <name val="Arial"/>
      <charset val="1"/>
      <family val="0"/>
      <color rgb="FF6B7280"/>
      <sz val="10"/>
    </font>
    <font>
      <name val="Arial"/>
      <charset val="1"/>
      <family val="0"/>
      <b val="1"/>
      <color rgb="FFFFFFFF"/>
      <sz val="10"/>
    </font>
    <font>
      <name val="Arial"/>
      <charset val="1"/>
      <family val="0"/>
      <color rgb="FF047857"/>
      <sz val="10"/>
    </font>
    <font>
      <name val="Arial"/>
      <charset val="1"/>
      <family val="0"/>
      <color rgb="FFB91C1C"/>
      <sz val="10"/>
    </font>
    <font>
      <name val="Arial"/>
      <charset val="1"/>
      <family val="0"/>
      <b val="1"/>
      <color rgb="FF4338CA"/>
      <sz val="10"/>
    </font>
    <font>
      <name val="Arial"/>
      <charset val="1"/>
      <family val="0"/>
      <i val="1"/>
      <color rgb="FF6B7280"/>
      <sz val="9"/>
    </font>
    <font>
      <name val="Arial"/>
      <charset val="1"/>
      <family val="0"/>
      <b val="1"/>
      <color rgb="FF047857"/>
      <sz val="10"/>
    </font>
    <font>
      <name val="Arial"/>
      <charset val="1"/>
      <family val="0"/>
      <b val="1"/>
      <color rgb="FFB91C1C"/>
      <sz val="10"/>
    </font>
    <font>
      <name val="Arial"/>
      <b val="1"/>
      <color rgb="00FFFFFF"/>
      <sz val="10"/>
    </font>
    <font>
      <name val="Arial"/>
      <sz val="10"/>
    </font>
    <font>
      <name val="Arial"/>
      <b val="1"/>
      <sz val="10"/>
    </font>
  </fonts>
  <fills count="8">
    <fill>
      <patternFill/>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
      <patternFill patternType="solid">
        <fgColor rgb="001F4E79"/>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17" fillId="7" borderId="2" pivotButton="0" quotePrefix="0" xfId="0"/>
    <xf numFmtId="0" fontId="18" fillId="0" borderId="2" applyAlignment="1" pivotButton="0" quotePrefix="0" xfId="0">
      <alignment vertical="top" wrapText="1"/>
    </xf>
    <xf numFmtId="0" fontId="18" fillId="0" borderId="0" pivotButton="0" quotePrefix="0" xfId="0"/>
    <xf numFmtId="0" fontId="18" fillId="0" borderId="2"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41" min="1" max="1"/>
    <col width="75" customWidth="1" style="41" min="2" max="2"/>
  </cols>
  <sheetData>
    <row r="1" ht="24" customHeight="1" s="42">
      <c r="A1" s="43" t="inlineStr">
        <is>
          <t>CORPORATE PRIDE INDEX</t>
        </is>
      </c>
    </row>
    <row r="2" ht="15" customHeight="1" s="42">
      <c r="A2" s="44" t="inlineStr">
        <is>
          <t>Data Collection Workbook — Cowork → Claude Code Handoff Contract</t>
        </is>
      </c>
    </row>
    <row r="4" ht="15" customHeight="1" s="42">
      <c r="A4" s="45" t="n"/>
    </row>
    <row r="5" ht="15" customHeight="1" s="42">
      <c r="A5" s="46" t="inlineStr">
        <is>
          <t>PURPOSE</t>
        </is>
      </c>
    </row>
    <row r="6" ht="15" customHeight="1" s="42">
      <c r="A6" s="45" t="inlineStr">
        <is>
          <t>This workbook is the shared data contract between two tools, both running Fable 5:</t>
        </is>
      </c>
    </row>
    <row r="7" ht="15" customHeight="1" s="42">
      <c r="A7" s="45" t="inlineStr">
        <is>
          <t xml:space="preserve">  • COWORK fills it in — researching each company, logging sourced actions, and computing each index score.</t>
        </is>
      </c>
    </row>
    <row r="8" ht="15" customHeight="1" s="42">
      <c r="A8" s="45" t="inlineStr">
        <is>
          <t xml:space="preserve">  • CLAUDE CODE reads it — consuming the finished data to build the interactive website.</t>
        </is>
      </c>
    </row>
    <row r="9" ht="15" customHeight="1" s="42">
      <c r="A9" s="45" t="n"/>
    </row>
    <row r="10" ht="15" customHeight="1" s="42">
      <c r="A10" s="45" t="inlineStr">
        <is>
          <t>Fill every sheet completely before handing off. Every action must carry a source URL. No unsourced claims.</t>
        </is>
      </c>
    </row>
    <row r="11" ht="15" customHeight="1" s="42">
      <c r="A11" s="45" t="n"/>
    </row>
    <row r="12" ht="15" customHeight="1" s="42">
      <c r="A12" s="46" t="inlineStr">
        <is>
          <t>SHEET GUIDE</t>
        </is>
      </c>
    </row>
    <row r="13" ht="23.25" customHeight="1" s="42">
      <c r="A13" s="47" t="inlineStr">
        <is>
          <t>1. Company_Master</t>
        </is>
      </c>
      <c r="B13" s="48" t="inlineStr">
        <is>
          <t>One row per company. The headline table: final score, band, HRC CEI, summary counts, analyst notes.</t>
        </is>
      </c>
    </row>
    <row r="14" ht="23.25" customHeight="1" s="42">
      <c r="A14" s="47" t="inlineStr">
        <is>
          <t>2. Action_Log</t>
        </is>
      </c>
      <c r="B14" s="48" t="inlineStr">
        <is>
          <t>The evidence ledger. One row per individual action (positive or negative), each with a source URL and date.</t>
        </is>
      </c>
    </row>
    <row r="15" ht="15" customHeight="1" s="42">
      <c r="A15" s="47" t="inlineStr">
        <is>
          <t>3. Social_Media_Log</t>
        </is>
      </c>
      <c r="B15" s="48" t="inlineStr">
        <is>
          <t>Pride-related social posts: platform, date, description, link, and whether later deleted.</t>
        </is>
      </c>
    </row>
    <row r="16" ht="23.25" customHeight="1" s="42">
      <c r="A16" s="47" t="inlineStr">
        <is>
          <t>4. Statements_Reports</t>
        </is>
      </c>
      <c r="B16" s="48" t="inlineStr">
        <is>
          <t>Qualitative records: DEI policy language, press releases, executive quotes, ESG report excerpts.</t>
        </is>
      </c>
    </row>
    <row r="17" ht="15" customHeight="1" s="42">
      <c r="A17" s="47" t="inlineStr">
        <is>
          <t>5. Scoring_Reference</t>
        </is>
      </c>
      <c r="B17" s="48" t="inlineStr">
        <is>
          <t>The fixed point values for every action type. Do not edit — Action_Log references these IDs.</t>
        </is>
      </c>
    </row>
    <row r="18" ht="15" customHeight="1" s="42">
      <c r="A18" s="47" t="inlineStr">
        <is>
          <t>6. Sector_Summary</t>
        </is>
      </c>
      <c r="B18" s="48" t="inlineStr">
        <is>
          <t>Auto-calculated sector averages for benchmarking. Formulas already in place.</t>
        </is>
      </c>
    </row>
    <row r="19" ht="15" customHeight="1" s="42">
      <c r="A19" s="45" t="n"/>
    </row>
    <row r="20" ht="15" customHeight="1" s="42">
      <c r="A20" s="46" t="inlineStr">
        <is>
          <t>SCORING FORMULA</t>
        </is>
      </c>
    </row>
    <row r="21" ht="15" customHeight="1" s="42">
      <c r="A21" s="45" t="inlineStr">
        <is>
          <t>Final Score = 50 (baseline) + capped positive points + negative points, clamped to 0–100.</t>
        </is>
      </c>
    </row>
    <row r="22" ht="15" customHeight="1" s="42">
      <c r="A22" s="45" t="inlineStr">
        <is>
          <t>Cosmetic/Commercial cap: Tier 1 + Tier 2 points contribute at most +20 combined.</t>
        </is>
      </c>
    </row>
    <row r="23" ht="15" customHeight="1" s="42">
      <c r="A23" s="45" t="inlineStr">
        <is>
          <t>Reversal asymmetry: a removed policy nets negative — penalty exceeds the original credit.</t>
        </is>
      </c>
    </row>
    <row r="24" ht="15" customHeight="1" s="42">
      <c r="A24" s="45" t="n"/>
    </row>
    <row r="25" ht="15" customHeight="1" s="42">
      <c r="A25" s="46" t="inlineStr">
        <is>
          <t>SCORE BANDS</t>
        </is>
      </c>
    </row>
    <row r="26" ht="15" customHeight="1" s="42">
      <c r="A26" s="45" t="inlineStr">
        <is>
          <t>80–100 Champion  |  65–79 Ally  |  50–64 Neutral  |  35–49 Performative  |  20–34 Harmful  |  0–19 Adversarial</t>
        </is>
      </c>
    </row>
    <row r="27" ht="15" customHeight="1" s="42">
      <c r="A27" s="45" t="n"/>
    </row>
    <row r="28" ht="15" customHeight="1" s="42">
      <c r="A28" s="46" t="inlineStr">
        <is>
          <t>KEY DATE FLAG</t>
        </is>
      </c>
    </row>
    <row r="29" ht="15" customHeight="1" s="42">
      <c r="A29" s="45" t="inlineStr">
        <is>
          <t>January 20, 2025 (second Trump inauguration) is the inflection point. Flag any action — especially reversals —</t>
        </is>
      </c>
    </row>
    <row r="30" ht="15" customHeight="1" s="42">
      <c r="A30" s="45" t="inlineStr">
        <is>
          <t>that occurred after this date, and note whether it appears pressure-driven.</t>
        </is>
      </c>
    </row>
    <row r="32" ht="15" customHeight="1" s="42">
      <c r="A32" s="46" t="inlineStr">
        <is>
          <t>RATIONALE LAYER (added)</t>
        </is>
      </c>
    </row>
    <row r="33" ht="23.85" customHeight="1" s="42">
      <c r="A33" s="47" t="inlineStr">
        <is>
          <t>Score_Rationale</t>
        </is>
      </c>
      <c r="B33" s="48" t="inlineStr">
        <is>
          <t>One row per company explaining WHY the score landed where it did — the reasoning a website visitor sees on a company page.</t>
        </is>
      </c>
    </row>
    <row r="34" ht="15" customHeight="1" s="42">
      <c r="A34" s="45" t="inlineStr">
        <is>
          <t xml:space="preserve">  Verdict</t>
        </is>
      </c>
      <c r="B34" s="48" t="inlineStr">
        <is>
          <t>A single plain-language sentence summarizing the company's standing.</t>
        </is>
      </c>
    </row>
    <row r="35" ht="15" customHeight="1" s="42">
      <c r="A35" s="45" t="inlineStr">
        <is>
          <t xml:space="preserve">  Drivers Up / Down</t>
        </is>
      </c>
      <c r="B35" s="48" t="inlineStr">
        <is>
          <t>The concrete actions and patterns that raised or lowered the score.</t>
        </is>
      </c>
    </row>
    <row r="36" ht="15" customHeight="1" s="42">
      <c r="A36" s="45" t="inlineStr">
        <is>
          <t xml:space="preserve">  Decisive Factor</t>
        </is>
      </c>
      <c r="B36" s="48" t="inlineStr">
        <is>
          <t>The single most important reason behind the score.</t>
        </is>
      </c>
    </row>
    <row r="37" ht="15" customHeight="1" s="42">
      <c r="A37" s="45" t="inlineStr">
        <is>
          <t xml:space="preserve">  Trajectory</t>
        </is>
      </c>
      <c r="B37" s="48" t="inlineStr">
        <is>
          <t>Improving / Stable / Declining / Sharp Reversal.</t>
        </is>
      </c>
    </row>
    <row r="38" ht="15" customHeight="1" s="42">
      <c r="A38" s="47" t="inlineStr">
        <is>
          <t>Every score must be explainable. A number with no reasoning is not publishable in this 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0" customWidth="1" style="41" min="2" max="2"/>
    <col width="20" customWidth="1" style="41" min="3" max="3"/>
    <col width="12" customWidth="1" style="41" min="4" max="5"/>
    <col width="9" customWidth="1" style="41" min="6" max="6"/>
    <col width="14" customWidth="1" style="41" min="7" max="8"/>
    <col width="12" customWidth="1" style="41" min="9" max="9"/>
    <col width="11" customWidth="1" style="41" min="10" max="10"/>
    <col width="14" customWidth="1" style="41" min="11" max="12"/>
    <col width="13" customWidth="1" style="41" min="13" max="13"/>
    <col width="10" customWidth="1" style="41" min="14" max="14"/>
    <col width="13" customWidth="1" style="41" min="15" max="15"/>
    <col width="12" customWidth="1" style="41" min="16" max="16"/>
    <col width="55" customWidth="1" style="41" min="17" max="17"/>
  </cols>
  <sheetData>
    <row r="1" ht="23.25" customHeight="1" s="42">
      <c r="A1" s="49" t="inlineStr">
        <is>
          <t>Company</t>
        </is>
      </c>
      <c r="B1" s="49" t="inlineStr">
        <is>
          <t>Ticker</t>
        </is>
      </c>
      <c r="C1" s="49" t="inlineStr">
        <is>
          <t>Sector</t>
        </is>
      </c>
      <c r="D1" s="49" t="inlineStr">
        <is>
          <t>Revenue ($B)</t>
        </is>
      </c>
      <c r="E1" s="49" t="inlineStr">
        <is>
          <t>HRC CEI Score</t>
        </is>
      </c>
      <c r="F1" s="49" t="inlineStr">
        <is>
          <t>CEI Year</t>
        </is>
      </c>
      <c r="G1" s="49" t="inlineStr">
        <is>
          <t>Still Submitting CEI?</t>
        </is>
      </c>
      <c r="H1" s="49" t="inlineStr">
        <is>
          <t>Positive Pts (capped)</t>
        </is>
      </c>
      <c r="I1" s="49" t="inlineStr">
        <is>
          <t>Negative Pts</t>
        </is>
      </c>
      <c r="J1" s="49" t="inlineStr">
        <is>
          <t>Final Score</t>
        </is>
      </c>
      <c r="K1" s="49" t="inlineStr">
        <is>
          <t>Band</t>
        </is>
      </c>
      <c r="L1" s="49" t="inlineStr">
        <is>
          <t>Post-Jan2025 Reversal?</t>
        </is>
      </c>
      <c r="M1" s="49" t="inlineStr">
        <is>
          <t>Pressure-Driven?</t>
        </is>
      </c>
      <c r="N1" s="49" t="inlineStr">
        <is>
          <t>June-Only?</t>
        </is>
      </c>
      <c r="O1" s="49" t="inlineStr">
        <is>
          <t>Trans/NB Exclusion?</t>
        </is>
      </c>
      <c r="P1" s="49" t="inlineStr">
        <is>
          <t>Geo Hypocrisy?</t>
        </is>
      </c>
      <c r="Q1" s="49" t="inlineStr">
        <is>
          <t>Analyst Notes</t>
        </is>
      </c>
    </row>
    <row r="2" ht="15" customHeight="1" s="42">
      <c r="A2" s="50" t="inlineStr">
        <is>
          <t>Verizon</t>
        </is>
      </c>
      <c r="B2" s="51" t="inlineStr">
        <is>
          <t>VZ</t>
        </is>
      </c>
      <c r="C2" s="52" t="inlineStr">
        <is>
          <t>Telecommunications</t>
        </is>
      </c>
      <c r="D2" s="51" t="n">
        <v>134.8</v>
      </c>
      <c r="E2" s="51" t="n">
        <v>100</v>
      </c>
      <c r="F2" s="51" t="n">
        <v>2024</v>
      </c>
      <c r="G2" s="51" t="inlineStr">
        <is>
          <t>No</t>
        </is>
      </c>
      <c r="H2" s="53">
        <f>MIN(20,SUMIFS(Action_Log!$F:$F,Action_Log!$A:$A,$A2,Action_Log!$D:$D,"Cosmetic")+SUMIFS(Action_Log!$F:$F,Action_Log!$A:$A,$A2,Action_Log!$D:$D,"Commercial"))+SUMIFS(Action_Log!$F:$F,Action_Log!$A:$A,$A2,Action_Log!$D:$D,"Civic")+SUMIFS(Action_Log!$F:$F,Action_Log!$A:$A,$A2,Action_Log!$D:$D,"Financial")+SUMIFS(Action_Log!$F:$F,Action_Log!$A:$A,$A2,Action_Log!$D:$D,"Structural")</f>
        <v/>
      </c>
      <c r="I2" s="54">
        <f>SUMIFS(Action_Log!$F:$F,Action_Log!$A:$A,$A2,Action_Log!$E:$E,"Negative")</f>
        <v/>
      </c>
      <c r="J2" s="55">
        <f>MAX(0,MIN(100,50+H2+I2))</f>
        <v/>
      </c>
      <c r="K2" s="56">
        <f>IF(J2&gt;=80,"Champion",IF(J2&gt;=65,"Ally",IF(J2&gt;=50,"Neutral",IF(J2&gt;=35,"Performative",IF(J2&gt;=20,"Harmful","Adversarial")))))</f>
        <v/>
      </c>
      <c r="L2" s="51" t="inlineStr">
        <is>
          <t>Yes</t>
        </is>
      </c>
      <c r="M2" s="51" t="inlineStr">
        <is>
          <t>Yes</t>
        </is>
      </c>
      <c r="N2" s="51" t="inlineStr">
        <is>
          <t>No</t>
        </is>
      </c>
      <c r="O2" s="51" t="inlineStr">
        <is>
          <t>No</t>
        </is>
      </c>
      <c r="P2" s="51" t="inlineStr">
        <is>
          <t>No</t>
        </is>
      </c>
      <c r="Q2" s="52" t="inlineStr">
        <is>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is>
      </c>
    </row>
    <row r="3" ht="15" customHeight="1" s="42">
      <c r="A3" s="57" t="inlineStr">
        <is>
          <t>AT&amp;T</t>
        </is>
      </c>
      <c r="B3" s="58" t="inlineStr">
        <is>
          <t>T</t>
        </is>
      </c>
      <c r="C3" s="59" t="inlineStr">
        <is>
          <t>Telecommunications</t>
        </is>
      </c>
      <c r="D3" s="58" t="n">
        <v>122.3</v>
      </c>
      <c r="E3" s="58" t="n">
        <v>100</v>
      </c>
      <c r="F3" s="58" t="n">
        <v>2023</v>
      </c>
      <c r="G3" s="58" t="inlineStr">
        <is>
          <t>No</t>
        </is>
      </c>
      <c r="H3" s="60">
        <f>MIN(20,SUMIFS(Action_Log!$F:$F,Action_Log!$A:$A,$A3,Action_Log!$D:$D,"Cosmetic")+SUMIFS(Action_Log!$F:$F,Action_Log!$A:$A,$A3,Action_Log!$D:$D,"Commercial"))+SUMIFS(Action_Log!$F:$F,Action_Log!$A:$A,$A3,Action_Log!$D:$D,"Civic")+SUMIFS(Action_Log!$F:$F,Action_Log!$A:$A,$A3,Action_Log!$D:$D,"Financial")+SUMIFS(Action_Log!$F:$F,Action_Log!$A:$A,$A3,Action_Log!$D:$D,"Structural")</f>
        <v/>
      </c>
      <c r="I3" s="61">
        <f>SUMIFS(Action_Log!$F:$F,Action_Log!$A:$A,$A3,Action_Log!$E:$E,"Negative")</f>
        <v/>
      </c>
      <c r="J3" s="62">
        <f>MAX(0,MIN(100,50+H3+I3))</f>
        <v/>
      </c>
      <c r="K3" s="63">
        <f>IF(J3&gt;=80,"Champion",IF(J3&gt;=65,"Ally",IF(J3&gt;=50,"Neutral",IF(J3&gt;=35,"Performative",IF(J3&gt;=20,"Harmful","Adversarial")))))</f>
        <v/>
      </c>
      <c r="L3" s="58" t="inlineStr">
        <is>
          <t>Yes</t>
        </is>
      </c>
      <c r="M3" s="58" t="inlineStr">
        <is>
          <t>Yes</t>
        </is>
      </c>
      <c r="N3" s="58" t="inlineStr">
        <is>
          <t>No</t>
        </is>
      </c>
      <c r="O3" s="58" t="inlineStr">
        <is>
          <t>No</t>
        </is>
      </c>
      <c r="P3" s="58" t="inlineStr">
        <is>
          <t>No</t>
        </is>
      </c>
      <c r="Q3" s="59" t="inlineStr">
        <is>
          <t>Home of LEAGUE, one of the first LGBTQ+ ERGs in corporate America (1987), and a decade of CEI 100 scores. Quit the CEI and cut funding to LGBTQ+ groups, then formally pledged to the FCC in Dec 2025 to end DEI programs as it sought approval of its $1B+ spectrum/UScellular transactions. Documented anti-LGBTQ+ political giving lowers the score (-30); see Political_Donations sheet.</t>
        </is>
      </c>
    </row>
    <row r="4" ht="15" customHeight="1" s="42">
      <c r="A4" s="50" t="inlineStr">
        <is>
          <t>T-Mobile</t>
        </is>
      </c>
      <c r="B4" s="51" t="inlineStr">
        <is>
          <t>TMUS</t>
        </is>
      </c>
      <c r="C4" s="52" t="inlineStr">
        <is>
          <t>Telecommunications</t>
        </is>
      </c>
      <c r="D4" s="51" t="n">
        <v>81.40000000000001</v>
      </c>
      <c r="E4" s="51" t="n">
        <v>100</v>
      </c>
      <c r="F4" s="51" t="n">
        <v>2024</v>
      </c>
      <c r="G4" s="51" t="inlineStr">
        <is>
          <t>No</t>
        </is>
      </c>
      <c r="H4" s="53">
        <f>MIN(20,SUMIFS(Action_Log!$F:$F,Action_Log!$A:$A,$A4,Action_Log!$D:$D,"Cosmetic")+SUMIFS(Action_Log!$F:$F,Action_Log!$A:$A,$A4,Action_Log!$D:$D,"Commercial"))+SUMIFS(Action_Log!$F:$F,Action_Log!$A:$A,$A4,Action_Log!$D:$D,"Civic")+SUMIFS(Action_Log!$F:$F,Action_Log!$A:$A,$A4,Action_Log!$D:$D,"Financial")+SUMIFS(Action_Log!$F:$F,Action_Log!$A:$A,$A4,Action_Log!$D:$D,"Structural")</f>
        <v/>
      </c>
      <c r="I4" s="54">
        <f>SUMIFS(Action_Log!$F:$F,Action_Log!$A:$A,$A4,Action_Log!$E:$E,"Negative")</f>
        <v/>
      </c>
      <c r="J4" s="55">
        <f>MAX(0,MIN(100,50+H4+I4))</f>
        <v/>
      </c>
      <c r="K4" s="56">
        <f>IF(J4&gt;=80,"Champion",IF(J4&gt;=65,"Ally",IF(J4&gt;=50,"Neutral",IF(J4&gt;=35,"Performative",IF(J4&gt;=20,"Harmful","Adversarial")))))</f>
        <v/>
      </c>
      <c r="L4" s="51" t="inlineStr">
        <is>
          <t>Yes</t>
        </is>
      </c>
      <c r="M4" s="51" t="inlineStr">
        <is>
          <t>Yes</t>
        </is>
      </c>
      <c r="N4" s="51" t="inlineStr">
        <is>
          <t>No</t>
        </is>
      </c>
      <c r="O4" s="51" t="inlineStr">
        <is>
          <t>No</t>
        </is>
      </c>
      <c r="P4" s="51" t="inlineStr">
        <is>
          <t>No</t>
        </is>
      </c>
      <c r="Q4" s="52" t="inlineStr">
        <is>
          <t>Magenta-branded Pride supporter with CEI 100 history that publicly terminated all DEI programs 'not just in name, but in substance' in a July 2025 letter to the FCC while seeking approval of its UScellular and Metronet deals. Both deals were approved within days.</t>
        </is>
      </c>
    </row>
    <row r="5" ht="15" customHeight="1" s="42">
      <c r="A5" s="57" t="inlineStr">
        <is>
          <t>Comcast / Xfinity</t>
        </is>
      </c>
      <c r="B5" s="58" t="inlineStr">
        <is>
          <t>CMCSA</t>
        </is>
      </c>
      <c r="C5" s="59" t="inlineStr">
        <is>
          <t>Telecommunications</t>
        </is>
      </c>
      <c r="D5" s="58" t="n">
        <v>123.7</v>
      </c>
      <c r="E5" s="58" t="n">
        <v>100</v>
      </c>
      <c r="F5" s="58" t="n">
        <v>2024</v>
      </c>
      <c r="G5" s="58" t="inlineStr">
        <is>
          <t>No</t>
        </is>
      </c>
      <c r="H5" s="60">
        <f>MIN(20,SUMIFS(Action_Log!$F:$F,Action_Log!$A:$A,$A5,Action_Log!$D:$D,"Cosmetic")+SUMIFS(Action_Log!$F:$F,Action_Log!$A:$A,$A5,Action_Log!$D:$D,"Commercial"))+SUMIFS(Action_Log!$F:$F,Action_Log!$A:$A,$A5,Action_Log!$D:$D,"Civic")+SUMIFS(Action_Log!$F:$F,Action_Log!$A:$A,$A5,Action_Log!$D:$D,"Financial")+SUMIFS(Action_Log!$F:$F,Action_Log!$A:$A,$A5,Action_Log!$D:$D,"Structural")</f>
        <v/>
      </c>
      <c r="I5" s="61">
        <f>SUMIFS(Action_Log!$F:$F,Action_Log!$A:$A,$A5,Action_Log!$E:$E,"Negative")</f>
        <v/>
      </c>
      <c r="J5" s="62">
        <f>MAX(0,MIN(100,50+H5+I5))</f>
        <v/>
      </c>
      <c r="K5" s="63">
        <f>IF(J5&gt;=80,"Champion",IF(J5&gt;=65,"Ally",IF(J5&gt;=50,"Neutral",IF(J5&gt;=35,"Performative",IF(J5&gt;=20,"Harmful","Adversarial")))))</f>
        <v/>
      </c>
      <c r="L5" s="58" t="inlineStr">
        <is>
          <t>Yes</t>
        </is>
      </c>
      <c r="M5" s="58" t="inlineStr">
        <is>
          <t>Yes</t>
        </is>
      </c>
      <c r="N5" s="58" t="inlineStr">
        <is>
          <t>No</t>
        </is>
      </c>
      <c r="O5" s="58" t="inlineStr">
        <is>
          <t>No</t>
        </is>
      </c>
      <c r="P5" s="58" t="inlineStr">
        <is>
          <t>No</t>
        </is>
      </c>
      <c r="Q5" s="59" t="inlineStr">
        <is>
          <t>Withdrew its decades-long San Francisco Pride sponsorship in March 2025 after the FCC opened a probe into its DEI programs in February 2025. Kept smaller California Pride sponsorships, a partial rather than total retreat. Documented anti-LGBTQ+ political giving lowers the score (-30); see Political_Donations sheet.</t>
        </is>
      </c>
    </row>
    <row r="6" ht="15" customHeight="1" s="42">
      <c r="A6" s="50" t="inlineStr">
        <is>
          <t>Charter / Spectrum</t>
        </is>
      </c>
      <c r="B6" s="51" t="inlineStr">
        <is>
          <t>CHTR</t>
        </is>
      </c>
      <c r="C6" s="52" t="inlineStr">
        <is>
          <t>Telecommunications</t>
        </is>
      </c>
      <c r="D6" s="51" t="n">
        <v>55.1</v>
      </c>
      <c r="E6" s="51" t="inlineStr">
        <is>
          <t>Not rated</t>
        </is>
      </c>
      <c r="F6" s="51" t="inlineStr">
        <is>
          <t>—</t>
        </is>
      </c>
      <c r="G6" s="51" t="inlineStr">
        <is>
          <t>Never</t>
        </is>
      </c>
      <c r="H6" s="53">
        <f>MIN(20,SUMIFS(Action_Log!$F:$F,Action_Log!$A:$A,$A6,Action_Log!$D:$D,"Cosmetic")+SUMIFS(Action_Log!$F:$F,Action_Log!$A:$A,$A6,Action_Log!$D:$D,"Commercial"))+SUMIFS(Action_Log!$F:$F,Action_Log!$A:$A,$A6,Action_Log!$D:$D,"Civic")+SUMIFS(Action_Log!$F:$F,Action_Log!$A:$A,$A6,Action_Log!$D:$D,"Financial")+SUMIFS(Action_Log!$F:$F,Action_Log!$A:$A,$A6,Action_Log!$D:$D,"Structural")</f>
        <v/>
      </c>
      <c r="I6" s="54">
        <f>SUMIFS(Action_Log!$F:$F,Action_Log!$A:$A,$A6,Action_Log!$E:$E,"Negative")</f>
        <v/>
      </c>
      <c r="J6" s="55">
        <f>MAX(0,MIN(100,50+H6+I6))</f>
        <v/>
      </c>
      <c r="K6" s="56">
        <f>IF(J6&gt;=80,"Champion",IF(J6&gt;=65,"Ally",IF(J6&gt;=50,"Neutral",IF(J6&gt;=35,"Performative",IF(J6&gt;=20,"Harmful","Adversarial")))))</f>
        <v/>
      </c>
      <c r="L6" s="51" t="inlineStr">
        <is>
          <t>No</t>
        </is>
      </c>
      <c r="M6" s="51" t="inlineStr">
        <is>
          <t>No</t>
        </is>
      </c>
      <c r="N6" s="51" t="inlineStr">
        <is>
          <t>No</t>
        </is>
      </c>
      <c r="O6" s="51" t="inlineStr">
        <is>
          <t>No</t>
        </is>
      </c>
      <c r="P6" s="51" t="inlineStr">
        <is>
          <t>No</t>
        </is>
      </c>
      <c r="Q6" s="52" t="inlineStr">
        <is>
          <t>Kept a deliberately low profile on LGBTQ+ issues in both directions — minimal Pride marketing, no major documented reversals. Committed to merit-based practices around its 2025 Cox merger review without a prior public LGBTQ+ identity to walk back. Documented anti-LGBTQ+ political giving lowers the score (-30); see Political_Donations sheet.</t>
        </is>
      </c>
    </row>
    <row r="7" ht="15" customHeight="1" s="42">
      <c r="A7" s="57" t="inlineStr">
        <is>
          <t>Apple</t>
        </is>
      </c>
      <c r="B7" s="58" t="inlineStr">
        <is>
          <t>AAPL</t>
        </is>
      </c>
      <c r="C7" s="59" t="inlineStr">
        <is>
          <t>Technology</t>
        </is>
      </c>
      <c r="D7" s="58" t="n">
        <v>391</v>
      </c>
      <c r="E7" s="58" t="n">
        <v>100</v>
      </c>
      <c r="F7" s="58" t="n">
        <v>2025</v>
      </c>
      <c r="G7" s="58" t="inlineStr">
        <is>
          <t>Yes</t>
        </is>
      </c>
      <c r="H7" s="60">
        <f>MIN(20,SUMIFS(Action_Log!$F:$F,Action_Log!$A:$A,$A7,Action_Log!$D:$D,"Cosmetic")+SUMIFS(Action_Log!$F:$F,Action_Log!$A:$A,$A7,Action_Log!$D:$D,"Commercial"))+SUMIFS(Action_Log!$F:$F,Action_Log!$A:$A,$A7,Action_Log!$D:$D,"Civic")+SUMIFS(Action_Log!$F:$F,Action_Log!$A:$A,$A7,Action_Log!$D:$D,"Financial")+SUMIFS(Action_Log!$F:$F,Action_Log!$A:$A,$A7,Action_Log!$D:$D,"Structural")</f>
        <v/>
      </c>
      <c r="I7" s="61">
        <f>SUMIFS(Action_Log!$F:$F,Action_Log!$A:$A,$A7,Action_Log!$E:$E,"Negative")</f>
        <v/>
      </c>
      <c r="J7" s="62">
        <f>MAX(0,MIN(100,50+H7+I7))</f>
        <v/>
      </c>
      <c r="K7" s="63">
        <f>IF(J7&gt;=80,"Champion",IF(J7&gt;=65,"Ally",IF(J7&gt;=50,"Neutral",IF(J7&gt;=35,"Performative",IF(J7&gt;=20,"Harmful","Adversarial")))))</f>
        <v/>
      </c>
      <c r="L7" s="58" t="inlineStr">
        <is>
          <t>No</t>
        </is>
      </c>
      <c r="M7" s="58" t="inlineStr">
        <is>
          <t>No</t>
        </is>
      </c>
      <c r="N7" s="58" t="inlineStr">
        <is>
          <t>No</t>
        </is>
      </c>
      <c r="O7" s="58" t="inlineStr">
        <is>
          <t>No</t>
        </is>
      </c>
      <c r="P7" s="58" t="inlineStr">
        <is>
          <t>No</t>
        </is>
      </c>
      <c r="Q7" s="59" t="inlineStr">
        <is>
          <t>The strongest large-cap record in the index: out CEO since 2014, annual Pride Edition products, SF Pride sponsorship, and a 97.3% shareholder vote rejecting an anti-DEI proposal in Feb 2025. Maintained its inclusion language while peers scrubbed theirs.</t>
        </is>
      </c>
    </row>
    <row r="8" ht="15" customHeight="1" s="42">
      <c r="A8" s="50" t="inlineStr">
        <is>
          <t>Google / Alphabet</t>
        </is>
      </c>
      <c r="B8" s="51" t="inlineStr">
        <is>
          <t>GOOGL</t>
        </is>
      </c>
      <c r="C8" s="52" t="inlineStr">
        <is>
          <t>Technology</t>
        </is>
      </c>
      <c r="D8" s="51" t="n">
        <v>350</v>
      </c>
      <c r="E8" s="51" t="n">
        <v>100</v>
      </c>
      <c r="F8" s="51" t="n">
        <v>2025</v>
      </c>
      <c r="G8" s="51" t="inlineStr">
        <is>
          <t>No</t>
        </is>
      </c>
      <c r="H8" s="53">
        <f>MIN(20,SUMIFS(Action_Log!$F:$F,Action_Log!$A:$A,$A8,Action_Log!$D:$D,"Cosmetic")+SUMIFS(Action_Log!$F:$F,Action_Log!$A:$A,$A8,Action_Log!$D:$D,"Commercial"))+SUMIFS(Action_Log!$F:$F,Action_Log!$A:$A,$A8,Action_Log!$D:$D,"Civic")+SUMIFS(Action_Log!$F:$F,Action_Log!$A:$A,$A8,Action_Log!$D:$D,"Financial")+SUMIFS(Action_Log!$F:$F,Action_Log!$A:$A,$A8,Action_Log!$D:$D,"Structural")</f>
        <v/>
      </c>
      <c r="I8" s="54">
        <f>SUMIFS(Action_Log!$F:$F,Action_Log!$A:$A,$A8,Action_Log!$E:$E,"Negative")</f>
        <v/>
      </c>
      <c r="J8" s="55">
        <f>MAX(0,MIN(100,50+H8+I8))</f>
        <v/>
      </c>
      <c r="K8" s="56">
        <f>IF(J8&gt;=80,"Champion",IF(J8&gt;=65,"Ally",IF(J8&gt;=50,"Neutral",IF(J8&gt;=35,"Performative",IF(J8&gt;=20,"Harmful","Adversarial")))))</f>
        <v/>
      </c>
      <c r="L8" s="51" t="inlineStr">
        <is>
          <t>Yes</t>
        </is>
      </c>
      <c r="M8" s="51" t="inlineStr">
        <is>
          <t>Yes</t>
        </is>
      </c>
      <c r="N8" s="51" t="inlineStr">
        <is>
          <t>No</t>
        </is>
      </c>
      <c r="O8" s="51" t="inlineStr">
        <is>
          <t>No</t>
        </is>
      </c>
      <c r="P8" s="51" t="inlineStr">
        <is>
          <t>No</t>
        </is>
      </c>
      <c r="Q8" s="52" t="inlineStr">
        <is>
          <t>Kept benefits and ERGs but ended diversity hiring targets (Feb 2025, citing federal contractor status), scrubbed DEI from its 10-K and AI pages, and deleted Pride Month from Google Calendar defaults. A partial, pressure-driven hollowing-out of a once-loud ally.</t>
        </is>
      </c>
    </row>
    <row r="9" ht="15" customHeight="1" s="42">
      <c r="A9" s="57" t="inlineStr">
        <is>
          <t>Meta</t>
        </is>
      </c>
      <c r="B9" s="58" t="inlineStr">
        <is>
          <t>META</t>
        </is>
      </c>
      <c r="C9" s="59" t="inlineStr">
        <is>
          <t>Technology</t>
        </is>
      </c>
      <c r="D9" s="58" t="n">
        <v>164.5</v>
      </c>
      <c r="E9" s="58" t="n">
        <v>100</v>
      </c>
      <c r="F9" s="58" t="n">
        <v>2024</v>
      </c>
      <c r="G9" s="58" t="inlineStr">
        <is>
          <t>No</t>
        </is>
      </c>
      <c r="H9" s="60">
        <f>MIN(20,SUMIFS(Action_Log!$F:$F,Action_Log!$A:$A,$A9,Action_Log!$D:$D,"Cosmetic")+SUMIFS(Action_Log!$F:$F,Action_Log!$A:$A,$A9,Action_Log!$D:$D,"Commercial"))+SUMIFS(Action_Log!$F:$F,Action_Log!$A:$A,$A9,Action_Log!$D:$D,"Civic")+SUMIFS(Action_Log!$F:$F,Action_Log!$A:$A,$A9,Action_Log!$D:$D,"Financial")+SUMIFS(Action_Log!$F:$F,Action_Log!$A:$A,$A9,Action_Log!$D:$D,"Structural")</f>
        <v/>
      </c>
      <c r="I9" s="61">
        <f>SUMIFS(Action_Log!$F:$F,Action_Log!$A:$A,$A9,Action_Log!$E:$E,"Negative")</f>
        <v/>
      </c>
      <c r="J9" s="62">
        <f>MAX(0,MIN(100,50+H9+I9))</f>
        <v/>
      </c>
      <c r="K9" s="63">
        <f>IF(J9&gt;=80,"Champion",IF(J9&gt;=65,"Ally",IF(J9&gt;=50,"Neutral",IF(J9&gt;=35,"Performative",IF(J9&gt;=20,"Harmful","Adversarial")))))</f>
        <v/>
      </c>
      <c r="L9" s="58" t="inlineStr">
        <is>
          <t>Yes</t>
        </is>
      </c>
      <c r="M9" s="58" t="inlineStr">
        <is>
          <t>Yes</t>
        </is>
      </c>
      <c r="N9" s="58" t="inlineStr">
        <is>
          <t>No</t>
        </is>
      </c>
      <c r="O9" s="58" t="inlineStr">
        <is>
          <t>Yes</t>
        </is>
      </c>
      <c r="P9" s="58" t="inlineStr">
        <is>
          <t>No</t>
        </is>
      </c>
      <c r="Q9" s="59" t="inlineStr">
        <is>
          <t>The most aggressive Big Tech reversal: killed DEI programs days before the 2025 inauguration and rewrote hate-speech rules to explicitly permit calling LGBTQ+ people mentally ill. GLAAD and HRC condemned the changes; trans/nonbinary Messenger themes quietly vanished.</t>
        </is>
      </c>
    </row>
    <row r="10" ht="15" customHeight="1" s="42">
      <c r="A10" s="50" t="inlineStr">
        <is>
          <t>Microsoft</t>
        </is>
      </c>
      <c r="B10" s="51" t="inlineStr">
        <is>
          <t>MSFT</t>
        </is>
      </c>
      <c r="C10" s="52" t="inlineStr">
        <is>
          <t>Technology</t>
        </is>
      </c>
      <c r="D10" s="51" t="n">
        <v>245.1</v>
      </c>
      <c r="E10" s="51" t="n">
        <v>100</v>
      </c>
      <c r="F10" s="51" t="n">
        <v>2025</v>
      </c>
      <c r="G10" s="51" t="inlineStr">
        <is>
          <t>Yes</t>
        </is>
      </c>
      <c r="H10" s="53">
        <f>MIN(20,SUMIFS(Action_Log!$F:$F,Action_Log!$A:$A,$A10,Action_Log!$D:$D,"Cosmetic")+SUMIFS(Action_Log!$F:$F,Action_Log!$A:$A,$A10,Action_Log!$D:$D,"Commercial"))+SUMIFS(Action_Log!$F:$F,Action_Log!$A:$A,$A10,Action_Log!$D:$D,"Civic")+SUMIFS(Action_Log!$F:$F,Action_Log!$A:$A,$A10,Action_Log!$D:$D,"Financial")+SUMIFS(Action_Log!$F:$F,Action_Log!$A:$A,$A10,Action_Log!$D:$D,"Structural")</f>
        <v/>
      </c>
      <c r="I10" s="54">
        <f>SUMIFS(Action_Log!$F:$F,Action_Log!$A:$A,$A10,Action_Log!$E:$E,"Negative")</f>
        <v/>
      </c>
      <c r="J10" s="55">
        <f>MAX(0,MIN(100,50+H10+I10))</f>
        <v/>
      </c>
      <c r="K10" s="56">
        <f>IF(J10&gt;=80,"Champion",IF(J10&gt;=65,"Ally",IF(J10&gt;=50,"Neutral",IF(J10&gt;=35,"Performative",IF(J10&gt;=20,"Harmful","Adversarial")))))</f>
        <v/>
      </c>
      <c r="L10" s="51" t="inlineStr">
        <is>
          <t>No</t>
        </is>
      </c>
      <c r="M10" s="51" t="inlineStr">
        <is>
          <t>No</t>
        </is>
      </c>
      <c r="N10" s="51" t="inlineStr">
        <is>
          <t>No</t>
        </is>
      </c>
      <c r="O10" s="51" t="inlineStr">
        <is>
          <t>No</t>
        </is>
      </c>
      <c r="P10" s="51" t="inlineStr">
        <is>
          <t>No</t>
        </is>
      </c>
      <c r="Q10" s="52" t="inlineStr">
        <is>
          <t>Held its DEI position publicly through 2025 — kept its inclusion report, CEI participation, Pride campaigns and ERG funding. The July 2024 DEI-team layoff drew criticism but was not followed by policy retreat. One of the steadiest large-cap records.</t>
        </is>
      </c>
    </row>
    <row r="11" ht="15" customHeight="1" s="42">
      <c r="A11" s="57" t="inlineStr">
        <is>
          <t>Amazon</t>
        </is>
      </c>
      <c r="B11" s="58" t="inlineStr">
        <is>
          <t>AMZN</t>
        </is>
      </c>
      <c r="C11" s="59" t="inlineStr">
        <is>
          <t>Technology</t>
        </is>
      </c>
      <c r="D11" s="58" t="n">
        <v>638</v>
      </c>
      <c r="E11" s="58" t="n">
        <v>100</v>
      </c>
      <c r="F11" s="58" t="n">
        <v>2024</v>
      </c>
      <c r="G11" s="58" t="inlineStr">
        <is>
          <t>No</t>
        </is>
      </c>
      <c r="H11" s="60">
        <f>MIN(20,SUMIFS(Action_Log!$F:$F,Action_Log!$A:$A,$A11,Action_Log!$D:$D,"Cosmetic")+SUMIFS(Action_Log!$F:$F,Action_Log!$A:$A,$A11,Action_Log!$D:$D,"Commercial"))+SUMIFS(Action_Log!$F:$F,Action_Log!$A:$A,$A11,Action_Log!$D:$D,"Civic")+SUMIFS(Action_Log!$F:$F,Action_Log!$A:$A,$A11,Action_Log!$D:$D,"Financial")+SUMIFS(Action_Log!$F:$F,Action_Log!$A:$A,$A11,Action_Log!$D:$D,"Structural")</f>
        <v/>
      </c>
      <c r="I11" s="61">
        <f>SUMIFS(Action_Log!$F:$F,Action_Log!$A:$A,$A11,Action_Log!$E:$E,"Negative")</f>
        <v/>
      </c>
      <c r="J11" s="62">
        <f>MAX(0,MIN(100,50+H11+I11))</f>
        <v/>
      </c>
      <c r="K11" s="63">
        <f>IF(J11&gt;=80,"Champion",IF(J11&gt;=65,"Ally",IF(J11&gt;=50,"Neutral",IF(J11&gt;=35,"Performative",IF(J11&gt;=20,"Harmful","Adversarial")))))</f>
        <v/>
      </c>
      <c r="L11" s="58" t="inlineStr">
        <is>
          <t>Yes</t>
        </is>
      </c>
      <c r="M11" s="58" t="inlineStr">
        <is>
          <t>Yes</t>
        </is>
      </c>
      <c r="N11" s="58" t="inlineStr">
        <is>
          <t>No</t>
        </is>
      </c>
      <c r="O11" s="58" t="inlineStr">
        <is>
          <t>Yes</t>
        </is>
      </c>
      <c r="P11" s="58" t="inlineStr">
        <is>
          <t>No</t>
        </is>
      </c>
      <c r="Q11" s="59" t="inlineStr">
        <is>
          <t>Wound down DEI programs in Dec 2024 and deleted 'LGBTQ+ rights,' 'transgender' and gender-affirming-care language from its public positions page. Kept glamazon ERG and Pride merchandising. Agreed to forego external benchmarking incl. the CEI. Documented anti-LGBTQ+ political giving lowers the score (-30); see Political_Donations sheet.</t>
        </is>
      </c>
    </row>
    <row r="12" ht="15" customHeight="1" s="42">
      <c r="A12" s="50" t="inlineStr">
        <is>
          <t>Salesforce</t>
        </is>
      </c>
      <c r="B12" s="51" t="inlineStr">
        <is>
          <t>CRM</t>
        </is>
      </c>
      <c r="C12" s="52" t="inlineStr">
        <is>
          <t>Technology</t>
        </is>
      </c>
      <c r="D12" s="51" t="n">
        <v>37.9</v>
      </c>
      <c r="E12" s="51" t="n">
        <v>100</v>
      </c>
      <c r="F12" s="51" t="n">
        <v>2025</v>
      </c>
      <c r="G12" s="51" t="inlineStr">
        <is>
          <t>Yes</t>
        </is>
      </c>
      <c r="H12" s="53">
        <f>MIN(20,SUMIFS(Action_Log!$F:$F,Action_Log!$A:$A,$A12,Action_Log!$D:$D,"Cosmetic")+SUMIFS(Action_Log!$F:$F,Action_Log!$A:$A,$A12,Action_Log!$D:$D,"Commercial"))+SUMIFS(Action_Log!$F:$F,Action_Log!$A:$A,$A12,Action_Log!$D:$D,"Civic")+SUMIFS(Action_Log!$F:$F,Action_Log!$A:$A,$A12,Action_Log!$D:$D,"Financial")+SUMIFS(Action_Log!$F:$F,Action_Log!$A:$A,$A12,Action_Log!$D:$D,"Structural")</f>
        <v/>
      </c>
      <c r="I12" s="54">
        <f>SUMIFS(Action_Log!$F:$F,Action_Log!$A:$A,$A12,Action_Log!$E:$E,"Negative")</f>
        <v/>
      </c>
      <c r="J12" s="55">
        <f>MAX(0,MIN(100,50+H12+I12))</f>
        <v/>
      </c>
      <c r="K12" s="56">
        <f>IF(J12&gt;=80,"Champion",IF(J12&gt;=65,"Ally",IF(J12&gt;=50,"Neutral",IF(J12&gt;=35,"Performative",IF(J12&gt;=20,"Harmful","Adversarial")))))</f>
        <v/>
      </c>
      <c r="L12" s="51" t="inlineStr">
        <is>
          <t>Yes</t>
        </is>
      </c>
      <c r="M12" s="51" t="inlineStr">
        <is>
          <t>Yes</t>
        </is>
      </c>
      <c r="N12" s="51" t="inlineStr">
        <is>
          <t>No</t>
        </is>
      </c>
      <c r="O12" s="51" t="inlineStr">
        <is>
          <t>No</t>
        </is>
      </c>
      <c r="P12" s="51" t="inlineStr">
        <is>
          <t>No</t>
        </is>
      </c>
      <c r="Q12" s="52" t="inlineStr">
        <is>
          <t>Dropped diversity hiring goals and cut 'diversity' from its 10-K in March 2025, but Benioff publicly pledged to stand by employees and the company's LGBTQ+ benefits, Outforce ERG and equality branding remain. A partial trim by one of tech's loudest former 'Equality' evangelists.</t>
        </is>
      </c>
    </row>
    <row r="13" ht="15" customHeight="1" s="42">
      <c r="A13" s="57" t="inlineStr">
        <is>
          <t>IBM</t>
        </is>
      </c>
      <c r="B13" s="58" t="inlineStr">
        <is>
          <t>IBM</t>
        </is>
      </c>
      <c r="C13" s="59" t="inlineStr">
        <is>
          <t>Technology</t>
        </is>
      </c>
      <c r="D13" s="58" t="n">
        <v>62.8</v>
      </c>
      <c r="E13" s="58" t="n">
        <v>100</v>
      </c>
      <c r="F13" s="58" t="n">
        <v>2024</v>
      </c>
      <c r="G13" s="58" t="inlineStr">
        <is>
          <t>No</t>
        </is>
      </c>
      <c r="H13" s="60">
        <f>MIN(20,SUMIFS(Action_Log!$F:$F,Action_Log!$A:$A,$A13,Action_Log!$D:$D,"Cosmetic")+SUMIFS(Action_Log!$F:$F,Action_Log!$A:$A,$A13,Action_Log!$D:$D,"Commercial"))+SUMIFS(Action_Log!$F:$F,Action_Log!$A:$A,$A13,Action_Log!$D:$D,"Civic")+SUMIFS(Action_Log!$F:$F,Action_Log!$A:$A,$A13,Action_Log!$D:$D,"Financial")+SUMIFS(Action_Log!$F:$F,Action_Log!$A:$A,$A13,Action_Log!$D:$D,"Structural")</f>
        <v/>
      </c>
      <c r="I13" s="61">
        <f>SUMIFS(Action_Log!$F:$F,Action_Log!$A:$A,$A13,Action_Log!$E:$E,"Negative")</f>
        <v/>
      </c>
      <c r="J13" s="62">
        <f>MAX(0,MIN(100,50+H13+I13))</f>
        <v/>
      </c>
      <c r="K13" s="63">
        <f>IF(J13&gt;=80,"Champion",IF(J13&gt;=65,"Ally",IF(J13&gt;=50,"Neutral",IF(J13&gt;=35,"Performative",IF(J13&gt;=20,"Harmful","Adversarial")))))</f>
        <v/>
      </c>
      <c r="L13" s="58" t="inlineStr">
        <is>
          <t>Yes</t>
        </is>
      </c>
      <c r="M13" s="58" t="inlineStr">
        <is>
          <t>Yes</t>
        </is>
      </c>
      <c r="N13" s="58" t="inlineStr">
        <is>
          <t>No</t>
        </is>
      </c>
      <c r="O13" s="58" t="inlineStr">
        <is>
          <t>No</t>
        </is>
      </c>
      <c r="P13" s="58" t="inlineStr">
        <is>
          <t>No</t>
        </is>
      </c>
      <c r="Q13" s="59" t="inlineStr">
        <is>
          <t>One of the deepest inclusion histories in corporate America (nondiscrimination since 1984, early trans benefits, EAGLE ERG) ended its DEI department, Diversity Council and exec-comp diversity ties in April 2025 after Robby Starbuck-amplified pressure.</t>
        </is>
      </c>
    </row>
    <row r="14" ht="15" customHeight="1" s="42">
      <c r="A14" s="50" t="inlineStr">
        <is>
          <t>Oracle</t>
        </is>
      </c>
      <c r="B14" s="51" t="inlineStr">
        <is>
          <t>ORCL</t>
        </is>
      </c>
      <c r="C14" s="52" t="inlineStr">
        <is>
          <t>Technology</t>
        </is>
      </c>
      <c r="D14" s="51" t="n">
        <v>53</v>
      </c>
      <c r="E14" s="51" t="inlineStr">
        <is>
          <t>Not rated</t>
        </is>
      </c>
      <c r="F14" s="51" t="inlineStr">
        <is>
          <t>—</t>
        </is>
      </c>
      <c r="G14" s="51" t="inlineStr">
        <is>
          <t>No</t>
        </is>
      </c>
      <c r="H14" s="53">
        <f>MIN(20,SUMIFS(Action_Log!$F:$F,Action_Log!$A:$A,$A14,Action_Log!$D:$D,"Cosmetic")+SUMIFS(Action_Log!$F:$F,Action_Log!$A:$A,$A14,Action_Log!$D:$D,"Commercial"))+SUMIFS(Action_Log!$F:$F,Action_Log!$A:$A,$A14,Action_Log!$D:$D,"Civic")+SUMIFS(Action_Log!$F:$F,Action_Log!$A:$A,$A14,Action_Log!$D:$D,"Financial")+SUMIFS(Action_Log!$F:$F,Action_Log!$A:$A,$A14,Action_Log!$D:$D,"Structural")</f>
        <v/>
      </c>
      <c r="I14" s="54">
        <f>SUMIFS(Action_Log!$F:$F,Action_Log!$A:$A,$A14,Action_Log!$E:$E,"Negative")</f>
        <v/>
      </c>
      <c r="J14" s="55">
        <f>MAX(0,MIN(100,50+H14+I14))</f>
        <v/>
      </c>
      <c r="K14" s="56">
        <f>IF(J14&gt;=80,"Champion",IF(J14&gt;=65,"Ally",IF(J14&gt;=50,"Neutral",IF(J14&gt;=35,"Performative",IF(J14&gt;=20,"Harmful","Adversarial")))))</f>
        <v/>
      </c>
      <c r="L14" s="51" t="inlineStr">
        <is>
          <t>No</t>
        </is>
      </c>
      <c r="M14" s="51" t="inlineStr">
        <is>
          <t>No</t>
        </is>
      </c>
      <c r="N14" s="51" t="inlineStr">
        <is>
          <t>No</t>
        </is>
      </c>
      <c r="O14" s="51" t="inlineStr">
        <is>
          <t>No</t>
        </is>
      </c>
      <c r="P14" s="51" t="inlineStr">
        <is>
          <t>No</t>
        </is>
      </c>
      <c r="Q14" s="52" t="inlineStr">
        <is>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is>
      </c>
    </row>
    <row r="15" ht="15" customHeight="1" s="42">
      <c r="A15" s="57" t="inlineStr">
        <is>
          <t>Dell</t>
        </is>
      </c>
      <c r="B15" s="58" t="inlineStr">
        <is>
          <t>DELL</t>
        </is>
      </c>
      <c r="C15" s="59" t="inlineStr">
        <is>
          <t>Technology</t>
        </is>
      </c>
      <c r="D15" s="58" t="n">
        <v>95.59999999999999</v>
      </c>
      <c r="E15" s="58" t="n">
        <v>100</v>
      </c>
      <c r="F15" s="58" t="n">
        <v>2024</v>
      </c>
      <c r="G15" s="58" t="inlineStr">
        <is>
          <t>No</t>
        </is>
      </c>
      <c r="H15" s="60">
        <f>MIN(20,SUMIFS(Action_Log!$F:$F,Action_Log!$A:$A,$A15,Action_Log!$D:$D,"Cosmetic")+SUMIFS(Action_Log!$F:$F,Action_Log!$A:$A,$A15,Action_Log!$D:$D,"Commercial"))+SUMIFS(Action_Log!$F:$F,Action_Log!$A:$A,$A15,Action_Log!$D:$D,"Civic")+SUMIFS(Action_Log!$F:$F,Action_Log!$A:$A,$A15,Action_Log!$D:$D,"Financial")+SUMIFS(Action_Log!$F:$F,Action_Log!$A:$A,$A15,Action_Log!$D:$D,"Structural")</f>
        <v/>
      </c>
      <c r="I15" s="61">
        <f>SUMIFS(Action_Log!$F:$F,Action_Log!$A:$A,$A15,Action_Log!$E:$E,"Negative")</f>
        <v/>
      </c>
      <c r="J15" s="62">
        <f>MAX(0,MIN(100,50+H15+I15))</f>
        <v/>
      </c>
      <c r="K15" s="63">
        <f>IF(J15&gt;=80,"Champion",IF(J15&gt;=65,"Ally",IF(J15&gt;=50,"Neutral",IF(J15&gt;=35,"Performative",IF(J15&gt;=20,"Harmful","Adversarial")))))</f>
        <v/>
      </c>
      <c r="L15" s="58" t="inlineStr">
        <is>
          <t>Yes</t>
        </is>
      </c>
      <c r="M15" s="58" t="inlineStr">
        <is>
          <t>Yes</t>
        </is>
      </c>
      <c r="N15" s="58" t="inlineStr">
        <is>
          <t>No</t>
        </is>
      </c>
      <c r="O15" s="58" t="inlineStr">
        <is>
          <t>No</t>
        </is>
      </c>
      <c r="P15" s="58" t="inlineStr">
        <is>
          <t>No</t>
        </is>
      </c>
      <c r="Q15" s="59" t="inlineStr">
        <is>
          <t>Rolled back DEI programs and diversity hiring goals amid the 2024-25 activist pressure campaign after years of CEI 100 scores and a funded Pride ERG. Retreat was quieter than peers' but real.</t>
        </is>
      </c>
    </row>
    <row r="16" ht="15" customHeight="1" s="42">
      <c r="A16" s="50" t="inlineStr">
        <is>
          <t>HP</t>
        </is>
      </c>
      <c r="B16" s="51" t="inlineStr">
        <is>
          <t>HPQ</t>
        </is>
      </c>
      <c r="C16" s="52" t="inlineStr">
        <is>
          <t>Technology</t>
        </is>
      </c>
      <c r="D16" s="51" t="n">
        <v>53.6</v>
      </c>
      <c r="E16" s="51" t="n">
        <v>100</v>
      </c>
      <c r="F16" s="51" t="n">
        <v>2024</v>
      </c>
      <c r="G16" s="51" t="inlineStr">
        <is>
          <t>Yes</t>
        </is>
      </c>
      <c r="H16" s="53">
        <f>MIN(20,SUMIFS(Action_Log!$F:$F,Action_Log!$A:$A,$A16,Action_Log!$D:$D,"Cosmetic")+SUMIFS(Action_Log!$F:$F,Action_Log!$A:$A,$A16,Action_Log!$D:$D,"Commercial"))+SUMIFS(Action_Log!$F:$F,Action_Log!$A:$A,$A16,Action_Log!$D:$D,"Civic")+SUMIFS(Action_Log!$F:$F,Action_Log!$A:$A,$A16,Action_Log!$D:$D,"Financial")+SUMIFS(Action_Log!$F:$F,Action_Log!$A:$A,$A16,Action_Log!$D:$D,"Structural")</f>
        <v/>
      </c>
      <c r="I16" s="54">
        <f>SUMIFS(Action_Log!$F:$F,Action_Log!$A:$A,$A16,Action_Log!$E:$E,"Negative")</f>
        <v/>
      </c>
      <c r="J16" s="55">
        <f>MAX(0,MIN(100,50+H16+I16))</f>
        <v/>
      </c>
      <c r="K16" s="56">
        <f>IF(J16&gt;=80,"Champion",IF(J16&gt;=65,"Ally",IF(J16&gt;=50,"Neutral",IF(J16&gt;=35,"Performative",IF(J16&gt;=20,"Harmful","Adversarial")))))</f>
        <v/>
      </c>
      <c r="L16" s="51" t="inlineStr">
        <is>
          <t>No</t>
        </is>
      </c>
      <c r="M16" s="51" t="inlineStr">
        <is>
          <t>No</t>
        </is>
      </c>
      <c r="N16" s="51" t="inlineStr">
        <is>
          <t>No</t>
        </is>
      </c>
      <c r="O16" s="51" t="inlineStr">
        <is>
          <t>No</t>
        </is>
      </c>
      <c r="P16" s="51" t="inlineStr">
        <is>
          <t>No</t>
        </is>
      </c>
      <c r="Q16" s="52" t="inlineStr">
        <is>
          <t>Steady but low-volume: long CEI 100 record, funded Pride ERG, early domestic-partner benefits heritage — and absent from the 2025 rollback lists, suggesting it held its policies without seeking attention.</t>
        </is>
      </c>
    </row>
    <row r="17" ht="15" customHeight="1" s="42">
      <c r="A17" s="57" t="inlineStr">
        <is>
          <t>Walmart</t>
        </is>
      </c>
      <c r="B17" s="58" t="inlineStr">
        <is>
          <t>WMT</t>
        </is>
      </c>
      <c r="C17" s="59" t="inlineStr">
        <is>
          <t>Retail — Big Box</t>
        </is>
      </c>
      <c r="D17" s="58" t="n">
        <v>681</v>
      </c>
      <c r="E17" s="58" t="n">
        <v>90</v>
      </c>
      <c r="F17" s="58" t="n">
        <v>2024</v>
      </c>
      <c r="G17" s="58" t="inlineStr">
        <is>
          <t>No</t>
        </is>
      </c>
      <c r="H17" s="60">
        <f>MIN(20,SUMIFS(Action_Log!$F:$F,Action_Log!$A:$A,$A17,Action_Log!$D:$D,"Cosmetic")+SUMIFS(Action_Log!$F:$F,Action_Log!$A:$A,$A17,Action_Log!$D:$D,"Commercial"))+SUMIFS(Action_Log!$F:$F,Action_Log!$A:$A,$A17,Action_Log!$D:$D,"Civic")+SUMIFS(Action_Log!$F:$F,Action_Log!$A:$A,$A17,Action_Log!$D:$D,"Financial")+SUMIFS(Action_Log!$F:$F,Action_Log!$A:$A,$A17,Action_Log!$D:$D,"Structural")</f>
        <v/>
      </c>
      <c r="I17" s="61">
        <f>SUMIFS(Action_Log!$F:$F,Action_Log!$A:$A,$A17,Action_Log!$E:$E,"Negative")</f>
        <v/>
      </c>
      <c r="J17" s="62">
        <f>MAX(0,MIN(100,50+H17+I17))</f>
        <v/>
      </c>
      <c r="K17" s="63">
        <f>IF(J17&gt;=80,"Champion",IF(J17&gt;=65,"Ally",IF(J17&gt;=50,"Neutral",IF(J17&gt;=35,"Performative",IF(J17&gt;=20,"Harmful","Adversarial")))))</f>
        <v/>
      </c>
      <c r="L17" s="58" t="inlineStr">
        <is>
          <t>Yes</t>
        </is>
      </c>
      <c r="M17" s="58" t="inlineStr">
        <is>
          <t>Yes</t>
        </is>
      </c>
      <c r="N17" s="58" t="inlineStr">
        <is>
          <t>No</t>
        </is>
      </c>
      <c r="O17" s="58" t="inlineStr">
        <is>
          <t>No</t>
        </is>
      </c>
      <c r="P17" s="58" t="inlineStr">
        <is>
          <t>No</t>
        </is>
      </c>
      <c r="Q17" s="59" t="inlineStr">
        <is>
          <t>Nov 2024 sweeping rollback after Robby Starbuck pressure: quit the HRC CEI, ended supplier diversity, erased 'diversity' from documents, and pulled some LGBTQ+ products from shelves. Withdrew Columbus Pride sponsorship in 2025. The largest US retailer chose retreat. Documented anti-LGBTQ+ political giving lowers the score (-30); see Political_Donations sheet.</t>
        </is>
      </c>
    </row>
    <row r="18" ht="15" customHeight="1" s="42">
      <c r="A18" s="50" t="inlineStr">
        <is>
          <t>Target</t>
        </is>
      </c>
      <c r="B18" s="51" t="inlineStr">
        <is>
          <t>TGT</t>
        </is>
      </c>
      <c r="C18" s="52" t="inlineStr">
        <is>
          <t>Retail — Big Box</t>
        </is>
      </c>
      <c r="D18" s="51" t="n">
        <v>106.6</v>
      </c>
      <c r="E18" s="51" t="n">
        <v>100</v>
      </c>
      <c r="F18" s="51" t="n">
        <v>2024</v>
      </c>
      <c r="G18" s="51" t="inlineStr">
        <is>
          <t>No</t>
        </is>
      </c>
      <c r="H18" s="53">
        <f>MIN(20,SUMIFS(Action_Log!$F:$F,Action_Log!$A:$A,$A18,Action_Log!$D:$D,"Cosmetic")+SUMIFS(Action_Log!$F:$F,Action_Log!$A:$A,$A18,Action_Log!$D:$D,"Commercial"))+SUMIFS(Action_Log!$F:$F,Action_Log!$A:$A,$A18,Action_Log!$D:$D,"Civic")+SUMIFS(Action_Log!$F:$F,Action_Log!$A:$A,$A18,Action_Log!$D:$D,"Financial")+SUMIFS(Action_Log!$F:$F,Action_Log!$A:$A,$A18,Action_Log!$D:$D,"Structural")</f>
        <v/>
      </c>
      <c r="I18" s="54">
        <f>SUMIFS(Action_Log!$F:$F,Action_Log!$A:$A,$A18,Action_Log!$E:$E,"Negative")</f>
        <v/>
      </c>
      <c r="J18" s="55">
        <f>MAX(0,MIN(100,50+H18+I18))</f>
        <v/>
      </c>
      <c r="K18" s="56">
        <f>IF(J18&gt;=80,"Champion",IF(J18&gt;=65,"Ally",IF(J18&gt;=50,"Neutral",IF(J18&gt;=35,"Performative",IF(J18&gt;=20,"Harmful","Adversarial")))))</f>
        <v/>
      </c>
      <c r="L18" s="51" t="inlineStr">
        <is>
          <t>Yes</t>
        </is>
      </c>
      <c r="M18" s="51" t="inlineStr">
        <is>
          <t>Yes</t>
        </is>
      </c>
      <c r="N18" s="51" t="inlineStr">
        <is>
          <t>No</t>
        </is>
      </c>
      <c r="O18" s="51" t="inlineStr">
        <is>
          <t>No</t>
        </is>
      </c>
      <c r="P18" s="51" t="inlineStr">
        <is>
          <t>No</t>
        </is>
      </c>
      <c r="Q18" s="52" t="inlineStr">
        <is>
          <t>From flagship Pride retailer to case study in retreat: pulled Pride merch under threats in 2023, ended DEI goals and CEI reporting in Jan 2025, then sponsored NYC Pride only as an unlisted 'silent partner.' Twin Cities Pride dropped Target and outraised its pledge in 24 hours.</t>
        </is>
      </c>
    </row>
    <row r="19" ht="15" customHeight="1" s="42">
      <c r="A19" s="57" t="inlineStr">
        <is>
          <t>Costco</t>
        </is>
      </c>
      <c r="B19" s="58" t="inlineStr">
        <is>
          <t>COST</t>
        </is>
      </c>
      <c r="C19" s="59" t="inlineStr">
        <is>
          <t>Retail — Big Box</t>
        </is>
      </c>
      <c r="D19" s="58" t="n">
        <v>254.5</v>
      </c>
      <c r="E19" s="58" t="n">
        <v>90</v>
      </c>
      <c r="F19" s="58" t="n">
        <v>2024</v>
      </c>
      <c r="G19" s="58" t="inlineStr">
        <is>
          <t>Yes</t>
        </is>
      </c>
      <c r="H19" s="60">
        <f>MIN(20,SUMIFS(Action_Log!$F:$F,Action_Log!$A:$A,$A19,Action_Log!$D:$D,"Cosmetic")+SUMIFS(Action_Log!$F:$F,Action_Log!$A:$A,$A19,Action_Log!$D:$D,"Commercial"))+SUMIFS(Action_Log!$F:$F,Action_Log!$A:$A,$A19,Action_Log!$D:$D,"Civic")+SUMIFS(Action_Log!$F:$F,Action_Log!$A:$A,$A19,Action_Log!$D:$D,"Financial")+SUMIFS(Action_Log!$F:$F,Action_Log!$A:$A,$A19,Action_Log!$D:$D,"Structural")</f>
        <v/>
      </c>
      <c r="I19" s="61">
        <f>SUMIFS(Action_Log!$F:$F,Action_Log!$A:$A,$A19,Action_Log!$E:$E,"Negative")</f>
        <v/>
      </c>
      <c r="J19" s="62">
        <f>MAX(0,MIN(100,50+H19+I19))</f>
        <v/>
      </c>
      <c r="K19" s="63">
        <f>IF(J19&gt;=80,"Champion",IF(J19&gt;=65,"Ally",IF(J19&gt;=50,"Neutral",IF(J19&gt;=35,"Performative",IF(J19&gt;=20,"Harmful","Adversarial")))))</f>
        <v/>
      </c>
      <c r="L19" s="58" t="inlineStr">
        <is>
          <t>No</t>
        </is>
      </c>
      <c r="M19" s="58" t="inlineStr">
        <is>
          <t>No</t>
        </is>
      </c>
      <c r="N19" s="58" t="inlineStr">
        <is>
          <t>No</t>
        </is>
      </c>
      <c r="O19" s="58" t="inlineStr">
        <is>
          <t>No</t>
        </is>
      </c>
      <c r="P19" s="58" t="inlineStr">
        <is>
          <t>No</t>
        </is>
      </c>
      <c r="Q19" s="59" t="inlineStr">
        <is>
          <t>The retail counter-example: board unanimously urged shareholders to reject an anti-DEI proposal and 98%+ did (Jan 2025). Little Pride marketing, but structural commitments held under direct attack — substance without spectacle.</t>
        </is>
      </c>
    </row>
    <row r="20" ht="15" customHeight="1" s="42">
      <c r="A20" s="50" t="inlineStr">
        <is>
          <t>Home Depot</t>
        </is>
      </c>
      <c r="B20" s="51" t="inlineStr">
        <is>
          <t>HD</t>
        </is>
      </c>
      <c r="C20" s="52" t="inlineStr">
        <is>
          <t>Retail — Big Box</t>
        </is>
      </c>
      <c r="D20" s="51" t="n">
        <v>159.5</v>
      </c>
      <c r="E20" s="51" t="inlineStr">
        <is>
          <t>Not rated</t>
        </is>
      </c>
      <c r="F20" s="51" t="inlineStr">
        <is>
          <t>—</t>
        </is>
      </c>
      <c r="G20" s="51" t="inlineStr">
        <is>
          <t>No</t>
        </is>
      </c>
      <c r="H20" s="53">
        <f>MIN(20,SUMIFS(Action_Log!$F:$F,Action_Log!$A:$A,$A20,Action_Log!$D:$D,"Cosmetic")+SUMIFS(Action_Log!$F:$F,Action_Log!$A:$A,$A20,Action_Log!$D:$D,"Commercial"))+SUMIFS(Action_Log!$F:$F,Action_Log!$A:$A,$A20,Action_Log!$D:$D,"Civic")+SUMIFS(Action_Log!$F:$F,Action_Log!$A:$A,$A20,Action_Log!$D:$D,"Financial")+SUMIFS(Action_Log!$F:$F,Action_Log!$A:$A,$A20,Action_Log!$D:$D,"Structural")</f>
        <v/>
      </c>
      <c r="I20" s="54">
        <f>SUMIFS(Action_Log!$F:$F,Action_Log!$A:$A,$A20,Action_Log!$E:$E,"Negative")</f>
        <v/>
      </c>
      <c r="J20" s="55">
        <f>MAX(0,MIN(100,50+H20+I20))</f>
        <v/>
      </c>
      <c r="K20" s="56">
        <f>IF(J20&gt;=80,"Champion",IF(J20&gt;=65,"Ally",IF(J20&gt;=50,"Neutral",IF(J20&gt;=35,"Performative",IF(J20&gt;=20,"Harmful","Adversarial")))))</f>
        <v/>
      </c>
      <c r="L20" s="51" t="inlineStr">
        <is>
          <t>No</t>
        </is>
      </c>
      <c r="M20" s="51" t="inlineStr">
        <is>
          <t>No</t>
        </is>
      </c>
      <c r="N20" s="51" t="inlineStr">
        <is>
          <t>No</t>
        </is>
      </c>
      <c r="O20" s="51" t="inlineStr">
        <is>
          <t>No</t>
        </is>
      </c>
      <c r="P20" s="51" t="inlineStr">
        <is>
          <t>No</t>
        </is>
      </c>
      <c r="Q20" s="52" t="inlineStr">
        <is>
          <t>Largely absent from the Pride conversation in both directions: no significant Pride marketing or sponsorship record, no major documented reversal. An orange bystander.</t>
        </is>
      </c>
    </row>
    <row r="21" ht="15" customHeight="1" s="42">
      <c r="A21" s="57" t="inlineStr">
        <is>
          <t>Lowe's</t>
        </is>
      </c>
      <c r="B21" s="58" t="inlineStr">
        <is>
          <t>LOW</t>
        </is>
      </c>
      <c r="C21" s="59" t="inlineStr">
        <is>
          <t>Retail — Big Box</t>
        </is>
      </c>
      <c r="D21" s="58" t="n">
        <v>83.7</v>
      </c>
      <c r="E21" s="58" t="n">
        <v>75</v>
      </c>
      <c r="F21" s="58" t="n">
        <v>2025</v>
      </c>
      <c r="G21" s="58" t="inlineStr">
        <is>
          <t>No</t>
        </is>
      </c>
      <c r="H21" s="60">
        <f>MIN(20,SUMIFS(Action_Log!$F:$F,Action_Log!$A:$A,$A21,Action_Log!$D:$D,"Cosmetic")+SUMIFS(Action_Log!$F:$F,Action_Log!$A:$A,$A21,Action_Log!$D:$D,"Commercial"))+SUMIFS(Action_Log!$F:$F,Action_Log!$A:$A,$A21,Action_Log!$D:$D,"Civic")+SUMIFS(Action_Log!$F:$F,Action_Log!$A:$A,$A21,Action_Log!$D:$D,"Financial")+SUMIFS(Action_Log!$F:$F,Action_Log!$A:$A,$A21,Action_Log!$D:$D,"Structural")</f>
        <v/>
      </c>
      <c r="I21" s="61">
        <f>SUMIFS(Action_Log!$F:$F,Action_Log!$A:$A,$A21,Action_Log!$E:$E,"Negative")</f>
        <v/>
      </c>
      <c r="J21" s="62">
        <f>MAX(0,MIN(100,50+H21+I21))</f>
        <v/>
      </c>
      <c r="K21" s="63">
        <f>IF(J21&gt;=80,"Champion",IF(J21&gt;=65,"Ally",IF(J21&gt;=50,"Neutral",IF(J21&gt;=35,"Performative",IF(J21&gt;=20,"Harmful","Adversarial")))))</f>
        <v/>
      </c>
      <c r="L21" s="58" t="inlineStr">
        <is>
          <t>Yes</t>
        </is>
      </c>
      <c r="M21" s="58" t="inlineStr">
        <is>
          <t>Yes</t>
        </is>
      </c>
      <c r="N21" s="58" t="inlineStr">
        <is>
          <t>No</t>
        </is>
      </c>
      <c r="O21" s="58" t="inlineStr">
        <is>
          <t>No</t>
        </is>
      </c>
      <c r="P21" s="58" t="inlineStr">
        <is>
          <t>No</t>
        </is>
      </c>
      <c r="Q21" s="59" t="inlineStr">
        <is>
          <t>Aug 2024 Starbuck-campaign capitulation: quit the CEI, consolidated ERGs, ended Pride sponsorships — one of seven companies HRC docked -25 points for abandoning commitments. Withdrew Columbus Pride support in 2025 (~$125K with co-withdrawers).</t>
        </is>
      </c>
    </row>
    <row r="22" ht="15" customHeight="1" s="42">
      <c r="A22" s="50" t="inlineStr">
        <is>
          <t>Best Buy</t>
        </is>
      </c>
      <c r="B22" s="51" t="inlineStr">
        <is>
          <t>BBY</t>
        </is>
      </c>
      <c r="C22" s="52" t="inlineStr">
        <is>
          <t>Retail — Big Box</t>
        </is>
      </c>
      <c r="D22" s="51" t="n">
        <v>41.5</v>
      </c>
      <c r="E22" s="51" t="n">
        <v>100</v>
      </c>
      <c r="F22" s="51" t="n">
        <v>2024</v>
      </c>
      <c r="G22" s="51" t="inlineStr">
        <is>
          <t>Yes</t>
        </is>
      </c>
      <c r="H22" s="53">
        <f>MIN(20,SUMIFS(Action_Log!$F:$F,Action_Log!$A:$A,$A22,Action_Log!$D:$D,"Cosmetic")+SUMIFS(Action_Log!$F:$F,Action_Log!$A:$A,$A22,Action_Log!$D:$D,"Commercial"))+SUMIFS(Action_Log!$F:$F,Action_Log!$A:$A,$A22,Action_Log!$D:$D,"Civic")+SUMIFS(Action_Log!$F:$F,Action_Log!$A:$A,$A22,Action_Log!$D:$D,"Financial")+SUMIFS(Action_Log!$F:$F,Action_Log!$A:$A,$A22,Action_Log!$D:$D,"Structural")</f>
        <v/>
      </c>
      <c r="I22" s="54">
        <f>SUMIFS(Action_Log!$F:$F,Action_Log!$A:$A,$A22,Action_Log!$E:$E,"Negative")</f>
        <v/>
      </c>
      <c r="J22" s="55">
        <f>MAX(0,MIN(100,50+H22+I22))</f>
        <v/>
      </c>
      <c r="K22" s="56">
        <f>IF(J22&gt;=80,"Champion",IF(J22&gt;=65,"Ally",IF(J22&gt;=50,"Neutral",IF(J22&gt;=35,"Performative",IF(J22&gt;=20,"Harmful","Adversarial")))))</f>
        <v/>
      </c>
      <c r="L22" s="51" t="inlineStr">
        <is>
          <t>No</t>
        </is>
      </c>
      <c r="M22" s="51" t="inlineStr">
        <is>
          <t>No</t>
        </is>
      </c>
      <c r="N22" s="51" t="inlineStr">
        <is>
          <t>No</t>
        </is>
      </c>
      <c r="O22" s="51" t="inlineStr">
        <is>
          <t>No</t>
        </is>
      </c>
      <c r="P22" s="51" t="inlineStr">
        <is>
          <t>No</t>
        </is>
      </c>
      <c r="Q22" s="52" t="inlineStr">
        <is>
          <t>Quiet softening rather than reversal: dropped measurable diversity hiring goals from its 2024 report but kept its DEI page, ERG and inclusive benefits. Not on the major rollback or Pride-withdrawal lists.</t>
        </is>
      </c>
    </row>
    <row r="23" ht="15" customHeight="1" s="42">
      <c r="A23" s="57" t="inlineStr">
        <is>
          <t>Nike</t>
        </is>
      </c>
      <c r="B23" s="58" t="inlineStr">
        <is>
          <t>NKE</t>
        </is>
      </c>
      <c r="C23" s="59" t="inlineStr">
        <is>
          <t>Fashion &amp; Apparel</t>
        </is>
      </c>
      <c r="D23" s="58" t="n">
        <v>51.4</v>
      </c>
      <c r="E23" s="58" t="n">
        <v>100</v>
      </c>
      <c r="F23" s="58" t="n">
        <v>2024</v>
      </c>
      <c r="G23" s="58" t="inlineStr">
        <is>
          <t>No</t>
        </is>
      </c>
      <c r="H23" s="60">
        <f>MIN(20,SUMIFS(Action_Log!$F:$F,Action_Log!$A:$A,$A23,Action_Log!$D:$D,"Cosmetic")+SUMIFS(Action_Log!$F:$F,Action_Log!$A:$A,$A23,Action_Log!$D:$D,"Commercial"))+SUMIFS(Action_Log!$F:$F,Action_Log!$A:$A,$A23,Action_Log!$D:$D,"Civic")+SUMIFS(Action_Log!$F:$F,Action_Log!$A:$A,$A23,Action_Log!$D:$D,"Financial")+SUMIFS(Action_Log!$F:$F,Action_Log!$A:$A,$A23,Action_Log!$D:$D,"Structural")</f>
        <v/>
      </c>
      <c r="I23" s="61">
        <f>SUMIFS(Action_Log!$F:$F,Action_Log!$A:$A,$A23,Action_Log!$E:$E,"Negative")</f>
        <v/>
      </c>
      <c r="J23" s="62">
        <f>MAX(0,MIN(100,50+H23+I23))</f>
        <v/>
      </c>
      <c r="K23" s="63">
        <f>IF(J23&gt;=80,"Champion",IF(J23&gt;=65,"Ally",IF(J23&gt;=50,"Neutral",IF(J23&gt;=35,"Performative",IF(J23&gt;=20,"Harmful","Adversarial")))))</f>
        <v/>
      </c>
      <c r="L23" s="58" t="inlineStr">
        <is>
          <t>No</t>
        </is>
      </c>
      <c r="M23" s="58" t="inlineStr">
        <is>
          <t>No</t>
        </is>
      </c>
      <c r="N23" s="58" t="inlineStr">
        <is>
          <t>No</t>
        </is>
      </c>
      <c r="O23" s="58" t="inlineStr">
        <is>
          <t>No</t>
        </is>
      </c>
      <c r="P23" s="58" t="inlineStr">
        <is>
          <t>No</t>
        </is>
      </c>
      <c r="Q23" s="59" t="inlineStr">
        <is>
          <t>Ran the pioneering BETRUE line (2012-2023) with LGBTQ+ sport donations, went quiet during the 2024-25 backlash peak, then returned with the 'Love Unites' Pride collection in 2026. Diminished but not reversed.</t>
        </is>
      </c>
    </row>
    <row r="24" ht="15" customHeight="1" s="42">
      <c r="A24" s="50" t="inlineStr">
        <is>
          <t>Abercrombie &amp; Fitch</t>
        </is>
      </c>
      <c r="B24" s="51" t="inlineStr">
        <is>
          <t>ANF</t>
        </is>
      </c>
      <c r="C24" s="52" t="inlineStr">
        <is>
          <t>Fashion &amp; Apparel</t>
        </is>
      </c>
      <c r="D24" s="51" t="n">
        <v>4.95</v>
      </c>
      <c r="E24" s="51" t="n">
        <v>100</v>
      </c>
      <c r="F24" s="51" t="n">
        <v>2024</v>
      </c>
      <c r="G24" s="51" t="inlineStr">
        <is>
          <t>Yes</t>
        </is>
      </c>
      <c r="H24" s="53">
        <f>MIN(20,SUMIFS(Action_Log!$F:$F,Action_Log!$A:$A,$A24,Action_Log!$D:$D,"Cosmetic")+SUMIFS(Action_Log!$F:$F,Action_Log!$A:$A,$A24,Action_Log!$D:$D,"Commercial"))+SUMIFS(Action_Log!$F:$F,Action_Log!$A:$A,$A24,Action_Log!$D:$D,"Civic")+SUMIFS(Action_Log!$F:$F,Action_Log!$A:$A,$A24,Action_Log!$D:$D,"Financial")+SUMIFS(Action_Log!$F:$F,Action_Log!$A:$A,$A24,Action_Log!$D:$D,"Structural")</f>
        <v/>
      </c>
      <c r="I24" s="54">
        <f>SUMIFS(Action_Log!$F:$F,Action_Log!$A:$A,$A24,Action_Log!$E:$E,"Negative")</f>
        <v/>
      </c>
      <c r="J24" s="55">
        <f>MAX(0,MIN(100,50+H24+I24))</f>
        <v/>
      </c>
      <c r="K24" s="56">
        <f>IF(J24&gt;=80,"Champion",IF(J24&gt;=65,"Ally",IF(J24&gt;=50,"Neutral",IF(J24&gt;=35,"Performative",IF(J24&gt;=20,"Harmful","Adversarial")))))</f>
        <v/>
      </c>
      <c r="L24" s="51" t="inlineStr">
        <is>
          <t>No</t>
        </is>
      </c>
      <c r="M24" s="51" t="inlineStr">
        <is>
          <t>No</t>
        </is>
      </c>
      <c r="N24" s="51" t="inlineStr">
        <is>
          <t>No</t>
        </is>
      </c>
      <c r="O24" s="51" t="inlineStr">
        <is>
          <t>No</t>
        </is>
      </c>
      <c r="P24" s="51" t="inlineStr">
        <is>
          <t>No</t>
        </is>
      </c>
      <c r="Q24" s="52" t="inlineStr">
        <is>
          <t>Doubling down in 2026: full Pride collection plus a $400K Trevor Project donation, extending a Trevor partnership running since the 2010s. One of the clearest fashion allies of the backlash era.</t>
        </is>
      </c>
    </row>
    <row r="25" ht="15" customHeight="1" s="42">
      <c r="A25" s="57" t="inlineStr">
        <is>
          <t>American Eagle</t>
        </is>
      </c>
      <c r="B25" s="58" t="inlineStr">
        <is>
          <t>AEO</t>
        </is>
      </c>
      <c r="C25" s="59" t="inlineStr">
        <is>
          <t>Fashion &amp; Apparel</t>
        </is>
      </c>
      <c r="D25" s="58" t="n">
        <v>5.3</v>
      </c>
      <c r="E25" s="58" t="n">
        <v>100</v>
      </c>
      <c r="F25" s="58" t="n">
        <v>2024</v>
      </c>
      <c r="G25" s="58" t="inlineStr">
        <is>
          <t>Yes</t>
        </is>
      </c>
      <c r="H25" s="60">
        <f>MIN(20,SUMIFS(Action_Log!$F:$F,Action_Log!$A:$A,$A25,Action_Log!$D:$D,"Cosmetic")+SUMIFS(Action_Log!$F:$F,Action_Log!$A:$A,$A25,Action_Log!$D:$D,"Commercial"))+SUMIFS(Action_Log!$F:$F,Action_Log!$A:$A,$A25,Action_Log!$D:$D,"Civic")+SUMIFS(Action_Log!$F:$F,Action_Log!$A:$A,$A25,Action_Log!$D:$D,"Financial")+SUMIFS(Action_Log!$F:$F,Action_Log!$A:$A,$A25,Action_Log!$D:$D,"Structural")</f>
        <v/>
      </c>
      <c r="I25" s="61">
        <f>SUMIFS(Action_Log!$F:$F,Action_Log!$A:$A,$A25,Action_Log!$E:$E,"Negative")</f>
        <v/>
      </c>
      <c r="J25" s="62">
        <f>MAX(0,MIN(100,50+H25+I25))</f>
        <v/>
      </c>
      <c r="K25" s="63">
        <f>IF(J25&gt;=80,"Champion",IF(J25&gt;=65,"Ally",IF(J25&gt;=50,"Neutral",IF(J25&gt;=35,"Performative",IF(J25&gt;=20,"Harmful","Adversarial")))))</f>
        <v/>
      </c>
      <c r="L25" s="58" t="inlineStr">
        <is>
          <t>No</t>
        </is>
      </c>
      <c r="M25" s="58" t="inlineStr">
        <is>
          <t>No</t>
        </is>
      </c>
      <c r="N25" s="58" t="inlineStr">
        <is>
          <t>No</t>
        </is>
      </c>
      <c r="O25" s="58" t="inlineStr">
        <is>
          <t>No</t>
        </is>
      </c>
      <c r="P25" s="58" t="inlineStr">
        <is>
          <t>No</t>
        </is>
      </c>
      <c r="Q25" s="59" t="inlineStr">
        <is>
          <t>Long-running Pride Shop with proceeds to It Gets Better since 2018; donating $150K to It Gets Better in 2026. Sustained through the backlash without retreat.</t>
        </is>
      </c>
    </row>
    <row r="26" ht="15" customHeight="1" s="42">
      <c r="A26" s="50" t="inlineStr">
        <is>
          <t>Gap Inc.</t>
        </is>
      </c>
      <c r="B26" s="51" t="inlineStr">
        <is>
          <t>GAP</t>
        </is>
      </c>
      <c r="C26" s="52" t="inlineStr">
        <is>
          <t>Fashion &amp; Apparel</t>
        </is>
      </c>
      <c r="D26" s="51" t="n">
        <v>15.1</v>
      </c>
      <c r="E26" s="51" t="n">
        <v>100</v>
      </c>
      <c r="F26" s="51" t="n">
        <v>2024</v>
      </c>
      <c r="G26" s="51" t="inlineStr">
        <is>
          <t>No</t>
        </is>
      </c>
      <c r="H26" s="53">
        <f>MIN(20,SUMIFS(Action_Log!$F:$F,Action_Log!$A:$A,$A26,Action_Log!$D:$D,"Cosmetic")+SUMIFS(Action_Log!$F:$F,Action_Log!$A:$A,$A26,Action_Log!$D:$D,"Commercial"))+SUMIFS(Action_Log!$F:$F,Action_Log!$A:$A,$A26,Action_Log!$D:$D,"Civic")+SUMIFS(Action_Log!$F:$F,Action_Log!$A:$A,$A26,Action_Log!$D:$D,"Financial")+SUMIFS(Action_Log!$F:$F,Action_Log!$A:$A,$A26,Action_Log!$D:$D,"Structural")</f>
        <v/>
      </c>
      <c r="I26" s="54">
        <f>SUMIFS(Action_Log!$F:$F,Action_Log!$A:$A,$A26,Action_Log!$E:$E,"Negative")</f>
        <v/>
      </c>
      <c r="J26" s="55">
        <f>MAX(0,MIN(100,50+H26+I26))</f>
        <v/>
      </c>
      <c r="K26" s="56">
        <f>IF(J26&gt;=80,"Champion",IF(J26&gt;=65,"Ally",IF(J26&gt;=50,"Neutral",IF(J26&gt;=35,"Performative",IF(J26&gt;=20,"Harmful","Adversarial")))))</f>
        <v/>
      </c>
      <c r="L26" s="51" t="inlineStr">
        <is>
          <t>No</t>
        </is>
      </c>
      <c r="M26" s="51" t="inlineStr">
        <is>
          <t>No</t>
        </is>
      </c>
      <c r="N26" s="51" t="inlineStr">
        <is>
          <t>No</t>
        </is>
      </c>
      <c r="O26" s="51" t="inlineStr">
        <is>
          <t>No</t>
        </is>
      </c>
      <c r="P26" s="51" t="inlineStr">
        <is>
          <t>No</t>
        </is>
      </c>
      <c r="Q26" s="52" t="inlineStr">
        <is>
          <t>Old Navy is running a visible 2026 Pride collection including kids' items — notable in this climate. Gap Inc. itself keeps a low corporate profile; no documented reversal.</t>
        </is>
      </c>
    </row>
    <row r="27" ht="15" customHeight="1" s="42">
      <c r="A27" s="57" t="inlineStr">
        <is>
          <t>H&amp;M</t>
        </is>
      </c>
      <c r="B27" s="58" t="inlineStr">
        <is>
          <t>Private</t>
        </is>
      </c>
      <c r="C27" s="59" t="inlineStr">
        <is>
          <t>Fashion &amp; Apparel</t>
        </is>
      </c>
      <c r="D27" s="58" t="n">
        <v>23</v>
      </c>
      <c r="E27" s="58" t="inlineStr">
        <is>
          <t>Not rated</t>
        </is>
      </c>
      <c r="F27" s="58" t="inlineStr">
        <is>
          <t>—</t>
        </is>
      </c>
      <c r="G27" s="58" t="inlineStr">
        <is>
          <t>Never</t>
        </is>
      </c>
      <c r="H27" s="60">
        <f>MIN(20,SUMIFS(Action_Log!$F:$F,Action_Log!$A:$A,$A27,Action_Log!$D:$D,"Cosmetic")+SUMIFS(Action_Log!$F:$F,Action_Log!$A:$A,$A27,Action_Log!$D:$D,"Commercial"))+SUMIFS(Action_Log!$F:$F,Action_Log!$A:$A,$A27,Action_Log!$D:$D,"Civic")+SUMIFS(Action_Log!$F:$F,Action_Log!$A:$A,$A27,Action_Log!$D:$D,"Financial")+SUMIFS(Action_Log!$F:$F,Action_Log!$A:$A,$A27,Action_Log!$D:$D,"Structural")</f>
        <v/>
      </c>
      <c r="I27" s="61">
        <f>SUMIFS(Action_Log!$F:$F,Action_Log!$A:$A,$A27,Action_Log!$E:$E,"Negative")</f>
        <v/>
      </c>
      <c r="J27" s="62">
        <f>MAX(0,MIN(100,50+H27+I27))</f>
        <v/>
      </c>
      <c r="K27" s="63">
        <f>IF(J27&gt;=80,"Champion",IF(J27&gt;=65,"Ally",IF(J27&gt;=50,"Neutral",IF(J27&gt;=35,"Performative",IF(J27&gt;=20,"Harmful","Adversarial")))))</f>
        <v/>
      </c>
      <c r="L27" s="58" t="inlineStr">
        <is>
          <t>No</t>
        </is>
      </c>
      <c r="M27" s="58" t="inlineStr">
        <is>
          <t>No</t>
        </is>
      </c>
      <c r="N27" s="58" t="inlineStr">
        <is>
          <t>No</t>
        </is>
      </c>
      <c r="O27" s="58" t="inlineStr">
        <is>
          <t>No</t>
        </is>
      </c>
      <c r="P27" s="58" t="inlineStr">
        <is>
          <t>No</t>
        </is>
      </c>
      <c r="Q27" s="59" t="inlineStr">
        <is>
          <t>Global Pride collections since 2018 with a share of proceeds to the UN Free &amp; Equal campaign. As a Swedish retailer it sits outside the US CEI system; no US-style reversal documented.</t>
        </is>
      </c>
    </row>
    <row r="28" ht="15" customHeight="1" s="42">
      <c r="A28" s="50" t="inlineStr">
        <is>
          <t>Vineyard Vines</t>
        </is>
      </c>
      <c r="B28" s="51" t="inlineStr">
        <is>
          <t>Private</t>
        </is>
      </c>
      <c r="C28" s="52" t="inlineStr">
        <is>
          <t>Fashion &amp; Apparel</t>
        </is>
      </c>
      <c r="D28" s="51" t="n"/>
      <c r="E28" s="51" t="inlineStr">
        <is>
          <t>Not rated</t>
        </is>
      </c>
      <c r="F28" s="51" t="inlineStr">
        <is>
          <t>—</t>
        </is>
      </c>
      <c r="G28" s="51" t="inlineStr">
        <is>
          <t>Never</t>
        </is>
      </c>
      <c r="H28" s="53">
        <f>MIN(20,SUMIFS(Action_Log!$F:$F,Action_Log!$A:$A,$A28,Action_Log!$D:$D,"Cosmetic")+SUMIFS(Action_Log!$F:$F,Action_Log!$A:$A,$A28,Action_Log!$D:$D,"Commercial"))+SUMIFS(Action_Log!$F:$F,Action_Log!$A:$A,$A28,Action_Log!$D:$D,"Civic")+SUMIFS(Action_Log!$F:$F,Action_Log!$A:$A,$A28,Action_Log!$D:$D,"Financial")+SUMIFS(Action_Log!$F:$F,Action_Log!$A:$A,$A28,Action_Log!$D:$D,"Structural")</f>
        <v/>
      </c>
      <c r="I28" s="54">
        <f>SUMIFS(Action_Log!$F:$F,Action_Log!$A:$A,$A28,Action_Log!$E:$E,"Negative")</f>
        <v/>
      </c>
      <c r="J28" s="55">
        <f>MAX(0,MIN(100,50+H28+I28))</f>
        <v/>
      </c>
      <c r="K28" s="56">
        <f>IF(J28&gt;=80,"Champion",IF(J28&gt;=65,"Ally",IF(J28&gt;=50,"Neutral",IF(J28&gt;=35,"Performative",IF(J28&gt;=20,"Harmful","Adversarial")))))</f>
        <v/>
      </c>
      <c r="L28" s="51" t="inlineStr">
        <is>
          <t>No</t>
        </is>
      </c>
      <c r="M28" s="51" t="inlineStr">
        <is>
          <t>No</t>
        </is>
      </c>
      <c r="N28" s="51" t="inlineStr">
        <is>
          <t>No</t>
        </is>
      </c>
      <c r="O28" s="51" t="inlineStr">
        <is>
          <t>No</t>
        </is>
      </c>
      <c r="P28" s="51" t="inlineStr">
        <is>
          <t>No</t>
        </is>
      </c>
      <c r="Q28" s="52" t="inlineStr">
        <is>
          <t>No meaningful public LGBTQ+ record found in either direction — no Pride collections, sponsorships, donations, or documented reversals. Score reflects absence of engagement.</t>
        </is>
      </c>
    </row>
    <row r="29" ht="15" customHeight="1" s="42">
      <c r="A29" s="57" t="inlineStr">
        <is>
          <t>Ralph Lauren</t>
        </is>
      </c>
      <c r="B29" s="58" t="inlineStr">
        <is>
          <t>RL</t>
        </is>
      </c>
      <c r="C29" s="59" t="inlineStr">
        <is>
          <t>Fashion &amp; Apparel</t>
        </is>
      </c>
      <c r="D29" s="58" t="n">
        <v>6.6</v>
      </c>
      <c r="E29" s="58" t="n">
        <v>100</v>
      </c>
      <c r="F29" s="58" t="n">
        <v>2024</v>
      </c>
      <c r="G29" s="58" t="inlineStr">
        <is>
          <t>Yes</t>
        </is>
      </c>
      <c r="H29" s="60">
        <f>MIN(20,SUMIFS(Action_Log!$F:$F,Action_Log!$A:$A,$A29,Action_Log!$D:$D,"Cosmetic")+SUMIFS(Action_Log!$F:$F,Action_Log!$A:$A,$A29,Action_Log!$D:$D,"Commercial"))+SUMIFS(Action_Log!$F:$F,Action_Log!$A:$A,$A29,Action_Log!$D:$D,"Civic")+SUMIFS(Action_Log!$F:$F,Action_Log!$A:$A,$A29,Action_Log!$D:$D,"Financial")+SUMIFS(Action_Log!$F:$F,Action_Log!$A:$A,$A29,Action_Log!$D:$D,"Structural")</f>
        <v/>
      </c>
      <c r="I29" s="61">
        <f>SUMIFS(Action_Log!$F:$F,Action_Log!$A:$A,$A29,Action_Log!$E:$E,"Negative")</f>
        <v/>
      </c>
      <c r="J29" s="62">
        <f>MAX(0,MIN(100,50+H29+I29))</f>
        <v/>
      </c>
      <c r="K29" s="63">
        <f>IF(J29&gt;=80,"Champion",IF(J29&gt;=65,"Ally",IF(J29&gt;=50,"Neutral",IF(J29&gt;=35,"Performative",IF(J29&gt;=20,"Harmful","Adversarial")))))</f>
        <v/>
      </c>
      <c r="L29" s="58" t="inlineStr">
        <is>
          <t>No</t>
        </is>
      </c>
      <c r="M29" s="58" t="inlineStr">
        <is>
          <t>No</t>
        </is>
      </c>
      <c r="N29" s="58" t="inlineStr">
        <is>
          <t>No</t>
        </is>
      </c>
      <c r="O29" s="58" t="inlineStr">
        <is>
          <t>No</t>
        </is>
      </c>
      <c r="P29" s="58" t="inlineStr">
        <is>
          <t>No</t>
        </is>
      </c>
      <c r="Q29" s="59" t="inlineStr">
        <is>
          <t>Polo Pride capsule collections with donations benefiting LGBTQ+ organizations (Stonewall Community Foundation), CEI 100 record, steady low-drama support. No documented retreat.</t>
        </is>
      </c>
    </row>
    <row r="30" ht="15" customHeight="1" s="42">
      <c r="A30" s="50" t="inlineStr">
        <is>
          <t>Levi Strauss &amp; Co.</t>
        </is>
      </c>
      <c r="B30" s="51" t="inlineStr">
        <is>
          <t>LEVI</t>
        </is>
      </c>
      <c r="C30" s="52" t="inlineStr">
        <is>
          <t>Fashion &amp; Apparel</t>
        </is>
      </c>
      <c r="D30" s="51" t="n">
        <v>6.4</v>
      </c>
      <c r="E30" s="51" t="n">
        <v>100</v>
      </c>
      <c r="F30" s="51" t="n">
        <v>2025</v>
      </c>
      <c r="G30" s="51" t="inlineStr">
        <is>
          <t>Yes</t>
        </is>
      </c>
      <c r="H30" s="53">
        <f>MIN(20,SUMIFS(Action_Log!$F:$F,Action_Log!$A:$A,$A30,Action_Log!$D:$D,"Cosmetic")+SUMIFS(Action_Log!$F:$F,Action_Log!$A:$A,$A30,Action_Log!$D:$D,"Commercial"))+SUMIFS(Action_Log!$F:$F,Action_Log!$A:$A,$A30,Action_Log!$D:$D,"Civic")+SUMIFS(Action_Log!$F:$F,Action_Log!$A:$A,$A30,Action_Log!$D:$D,"Financial")+SUMIFS(Action_Log!$F:$F,Action_Log!$A:$A,$A30,Action_Log!$D:$D,"Structural")</f>
        <v/>
      </c>
      <c r="I30" s="54">
        <f>SUMIFS(Action_Log!$F:$F,Action_Log!$A:$A,$A30,Action_Log!$E:$E,"Negative")</f>
        <v/>
      </c>
      <c r="J30" s="55">
        <f>MAX(0,MIN(100,50+H30+I30))</f>
        <v/>
      </c>
      <c r="K30" s="56">
        <f>IF(J30&gt;=80,"Champion",IF(J30&gt;=65,"Ally",IF(J30&gt;=50,"Neutral",IF(J30&gt;=35,"Performative",IF(J30&gt;=20,"Harmful","Adversarial")))))</f>
        <v/>
      </c>
      <c r="L30" s="51" t="inlineStr">
        <is>
          <t>No</t>
        </is>
      </c>
      <c r="M30" s="51" t="inlineStr">
        <is>
          <t>No</t>
        </is>
      </c>
      <c r="N30" s="51" t="inlineStr">
        <is>
          <t>No</t>
        </is>
      </c>
      <c r="O30" s="51" t="inlineStr">
        <is>
          <t>No</t>
        </is>
      </c>
      <c r="P30" s="51" t="inlineStr">
        <is>
          <t>No</t>
        </is>
      </c>
      <c r="Q30" s="52" t="inlineStr">
        <is>
          <t>Arguably the deepest record in apparel: domestic-partner benefits in 1992 (first Fortune 500), withdrew Boy Scouts funding over discrimination, $100K annual Outright International donation, shareholders rejected anti-DEI proposal 2025, and a leather-club-inspired 2026 Pride collection.</t>
        </is>
      </c>
    </row>
    <row r="31" ht="15" customHeight="1" s="42">
      <c r="A31" s="57" t="inlineStr">
        <is>
          <t>PVH Corp.</t>
        </is>
      </c>
      <c r="B31" s="58" t="inlineStr">
        <is>
          <t>PVH</t>
        </is>
      </c>
      <c r="C31" s="59" t="inlineStr">
        <is>
          <t>Fashion &amp; Apparel</t>
        </is>
      </c>
      <c r="D31" s="58" t="n">
        <v>8.699999999999999</v>
      </c>
      <c r="E31" s="58" t="n">
        <v>100</v>
      </c>
      <c r="F31" s="58" t="n">
        <v>2024</v>
      </c>
      <c r="G31" s="58" t="inlineStr">
        <is>
          <t>No</t>
        </is>
      </c>
      <c r="H31" s="60">
        <f>MIN(20,SUMIFS(Action_Log!$F:$F,Action_Log!$A:$A,$A31,Action_Log!$D:$D,"Cosmetic")+SUMIFS(Action_Log!$F:$F,Action_Log!$A:$A,$A31,Action_Log!$D:$D,"Commercial"))+SUMIFS(Action_Log!$F:$F,Action_Log!$A:$A,$A31,Action_Log!$D:$D,"Civic")+SUMIFS(Action_Log!$F:$F,Action_Log!$A:$A,$A31,Action_Log!$D:$D,"Financial")+SUMIFS(Action_Log!$F:$F,Action_Log!$A:$A,$A31,Action_Log!$D:$D,"Structural")</f>
        <v/>
      </c>
      <c r="I31" s="61">
        <f>SUMIFS(Action_Log!$F:$F,Action_Log!$A:$A,$A31,Action_Log!$E:$E,"Negative")</f>
        <v/>
      </c>
      <c r="J31" s="62">
        <f>MAX(0,MIN(100,50+H31+I31))</f>
        <v/>
      </c>
      <c r="K31" s="63">
        <f>IF(J31&gt;=80,"Champion",IF(J31&gt;=65,"Ally",IF(J31&gt;=50,"Neutral",IF(J31&gt;=35,"Performative",IF(J31&gt;=20,"Harmful","Adversarial")))))</f>
        <v/>
      </c>
      <c r="L31" s="58" t="inlineStr">
        <is>
          <t>No</t>
        </is>
      </c>
      <c r="M31" s="58" t="inlineStr">
        <is>
          <t>No</t>
        </is>
      </c>
      <c r="N31" s="58" t="inlineStr">
        <is>
          <t>No</t>
        </is>
      </c>
      <c r="O31" s="58" t="inlineStr">
        <is>
          <t>No</t>
        </is>
      </c>
      <c r="P31" s="58" t="inlineStr">
        <is>
          <t>No</t>
        </is>
      </c>
      <c r="Q31" s="59" t="inlineStr">
        <is>
          <t>Calvin Klein and Tommy Hilfiger have run recurring Pride campaigns and collections featuring LGBTQ+ talent for years; CEI 100 record. Lower visibility recently but no documented reversal.</t>
        </is>
      </c>
    </row>
    <row r="32" ht="15" customHeight="1" s="42">
      <c r="A32" s="50" t="inlineStr">
        <is>
          <t>Starbucks</t>
        </is>
      </c>
      <c r="B32" s="51" t="inlineStr">
        <is>
          <t>SBUX</t>
        </is>
      </c>
      <c r="C32" s="52" t="inlineStr">
        <is>
          <t>Food &amp; Beverage</t>
        </is>
      </c>
      <c r="D32" s="51" t="n">
        <v>36.2</v>
      </c>
      <c r="E32" s="51" t="n">
        <v>100</v>
      </c>
      <c r="F32" s="51" t="n">
        <v>2024</v>
      </c>
      <c r="G32" s="51" t="inlineStr">
        <is>
          <t>Yes</t>
        </is>
      </c>
      <c r="H32" s="53">
        <f>MIN(20,SUMIFS(Action_Log!$F:$F,Action_Log!$A:$A,$A32,Action_Log!$D:$D,"Cosmetic")+SUMIFS(Action_Log!$F:$F,Action_Log!$A:$A,$A32,Action_Log!$D:$D,"Commercial"))+SUMIFS(Action_Log!$F:$F,Action_Log!$A:$A,$A32,Action_Log!$D:$D,"Civic")+SUMIFS(Action_Log!$F:$F,Action_Log!$A:$A,$A32,Action_Log!$D:$D,"Financial")+SUMIFS(Action_Log!$F:$F,Action_Log!$A:$A,$A32,Action_Log!$D:$D,"Structural")</f>
        <v/>
      </c>
      <c r="I32" s="54">
        <f>SUMIFS(Action_Log!$F:$F,Action_Log!$A:$A,$A32,Action_Log!$E:$E,"Negative")</f>
        <v/>
      </c>
      <c r="J32" s="55">
        <f>MAX(0,MIN(100,50+H32+I32))</f>
        <v/>
      </c>
      <c r="K32" s="56">
        <f>IF(J32&gt;=80,"Champion",IF(J32&gt;=65,"Ally",IF(J32&gt;=50,"Neutral",IF(J32&gt;=35,"Performative",IF(J32&gt;=20,"Harmful","Adversarial")))))</f>
        <v/>
      </c>
      <c r="L32" s="51" t="inlineStr">
        <is>
          <t>No</t>
        </is>
      </c>
      <c r="M32" s="51" t="inlineStr">
        <is>
          <t>No</t>
        </is>
      </c>
      <c r="N32" s="51" t="inlineStr">
        <is>
          <t>No</t>
        </is>
      </c>
      <c r="O32" s="51" t="inlineStr">
        <is>
          <t>No</t>
        </is>
      </c>
      <c r="P32" s="51" t="inlineStr">
        <is>
          <t>No</t>
        </is>
      </c>
      <c r="Q32" s="52" t="inlineStr">
        <is>
          <t>Kept its 30%/40% diversity goals and landmark trans-inclusive benefits through 2025, though shareholders approved dropping the DEI-specific exec bonus in Mar 2025 and a 2023 union dispute alleged uneven Pride-decor policies. Net: held, with edges sanded.</t>
        </is>
      </c>
    </row>
    <row r="33" ht="15" customHeight="1" s="42">
      <c r="A33" s="57" t="inlineStr">
        <is>
          <t>McDonald's</t>
        </is>
      </c>
      <c r="B33" s="58" t="inlineStr">
        <is>
          <t>MCD</t>
        </is>
      </c>
      <c r="C33" s="59" t="inlineStr">
        <is>
          <t>Food &amp; Beverage</t>
        </is>
      </c>
      <c r="D33" s="58" t="n">
        <v>25.9</v>
      </c>
      <c r="E33" s="58" t="n">
        <v>100</v>
      </c>
      <c r="F33" s="58" t="n">
        <v>2024</v>
      </c>
      <c r="G33" s="58" t="inlineStr">
        <is>
          <t>No</t>
        </is>
      </c>
      <c r="H33" s="60">
        <f>MIN(20,SUMIFS(Action_Log!$F:$F,Action_Log!$A:$A,$A33,Action_Log!$D:$D,"Cosmetic")+SUMIFS(Action_Log!$F:$F,Action_Log!$A:$A,$A33,Action_Log!$D:$D,"Commercial"))+SUMIFS(Action_Log!$F:$F,Action_Log!$A:$A,$A33,Action_Log!$D:$D,"Civic")+SUMIFS(Action_Log!$F:$F,Action_Log!$A:$A,$A33,Action_Log!$D:$D,"Financial")+SUMIFS(Action_Log!$F:$F,Action_Log!$A:$A,$A33,Action_Log!$D:$D,"Structural")</f>
        <v/>
      </c>
      <c r="I33" s="61">
        <f>SUMIFS(Action_Log!$F:$F,Action_Log!$A:$A,$A33,Action_Log!$E:$E,"Negative")</f>
        <v/>
      </c>
      <c r="J33" s="62">
        <f>MAX(0,MIN(100,50+H33+I33))</f>
        <v/>
      </c>
      <c r="K33" s="63">
        <f>IF(J33&gt;=80,"Champion",IF(J33&gt;=65,"Ally",IF(J33&gt;=50,"Neutral",IF(J33&gt;=35,"Performative",IF(J33&gt;=20,"Harmful","Adversarial")))))</f>
        <v/>
      </c>
      <c r="L33" s="58" t="inlineStr">
        <is>
          <t>Yes</t>
        </is>
      </c>
      <c r="M33" s="58" t="inlineStr">
        <is>
          <t>Yes</t>
        </is>
      </c>
      <c r="N33" s="58" t="inlineStr">
        <is>
          <t>No</t>
        </is>
      </c>
      <c r="O33" s="58" t="inlineStr">
        <is>
          <t>No</t>
        </is>
      </c>
      <c r="P33" s="58" t="inlineStr">
        <is>
          <t>No</t>
        </is>
      </c>
      <c r="Q33" s="59" t="inlineStr">
        <is>
          <t>Jan 2025: ended diversity goals for senior leadership, retired supplier-diversity targets, and paused external surveys including HRC's CEI — days after the Trump inauguration. PRIDE Network ERG remains.</t>
        </is>
      </c>
    </row>
    <row r="34" ht="15" customHeight="1" s="42">
      <c r="A34" s="50" t="inlineStr">
        <is>
          <t>Chick-fil-A</t>
        </is>
      </c>
      <c r="B34" s="51" t="inlineStr">
        <is>
          <t>Private</t>
        </is>
      </c>
      <c r="C34" s="52" t="inlineStr">
        <is>
          <t>Food &amp; Beverage</t>
        </is>
      </c>
      <c r="D34" s="51" t="n">
        <v>21.6</v>
      </c>
      <c r="E34" s="51" t="inlineStr">
        <is>
          <t>Not rated</t>
        </is>
      </c>
      <c r="F34" s="51" t="inlineStr">
        <is>
          <t>—</t>
        </is>
      </c>
      <c r="G34" s="51" t="inlineStr">
        <is>
          <t>Never</t>
        </is>
      </c>
      <c r="H34" s="53">
        <f>MIN(20,SUMIFS(Action_Log!$F:$F,Action_Log!$A:$A,$A34,Action_Log!$D:$D,"Cosmetic")+SUMIFS(Action_Log!$F:$F,Action_Log!$A:$A,$A34,Action_Log!$D:$D,"Commercial"))+SUMIFS(Action_Log!$F:$F,Action_Log!$A:$A,$A34,Action_Log!$D:$D,"Civic")+SUMIFS(Action_Log!$F:$F,Action_Log!$A:$A,$A34,Action_Log!$D:$D,"Financial")+SUMIFS(Action_Log!$F:$F,Action_Log!$A:$A,$A34,Action_Log!$D:$D,"Structural")</f>
        <v/>
      </c>
      <c r="I34" s="54">
        <f>SUMIFS(Action_Log!$F:$F,Action_Log!$A:$A,$A34,Action_Log!$E:$E,"Negative")</f>
        <v/>
      </c>
      <c r="J34" s="55">
        <f>MAX(0,MIN(100,50+H34+I34))</f>
        <v/>
      </c>
      <c r="K34" s="56">
        <f>IF(J34&gt;=80,"Champion",IF(J34&gt;=65,"Ally",IF(J34&gt;=50,"Neutral",IF(J34&gt;=35,"Performative",IF(J34&gt;=20,"Harmful","Adversarial")))))</f>
        <v/>
      </c>
      <c r="L34" s="51" t="inlineStr">
        <is>
          <t>No</t>
        </is>
      </c>
      <c r="M34" s="51" t="inlineStr">
        <is>
          <t>No</t>
        </is>
      </c>
      <c r="N34" s="51" t="inlineStr">
        <is>
          <t>No</t>
        </is>
      </c>
      <c r="O34" s="51" t="inlineStr">
        <is>
          <t>No</t>
        </is>
      </c>
      <c r="P34" s="51" t="inlineStr">
        <is>
          <t>No</t>
        </is>
      </c>
      <c r="Q34" s="52" t="inlineStr">
        <is>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is>
      </c>
    </row>
    <row r="35" ht="15" customHeight="1" s="42">
      <c r="A35" s="57" t="inlineStr">
        <is>
          <t>Subway</t>
        </is>
      </c>
      <c r="B35" s="58" t="inlineStr">
        <is>
          <t>Private</t>
        </is>
      </c>
      <c r="C35" s="59" t="inlineStr">
        <is>
          <t>Food &amp; Beverage</t>
        </is>
      </c>
      <c r="D35" s="58" t="n">
        <v>9.199999999999999</v>
      </c>
      <c r="E35" s="58" t="inlineStr">
        <is>
          <t>Not rated</t>
        </is>
      </c>
      <c r="F35" s="58" t="inlineStr">
        <is>
          <t>—</t>
        </is>
      </c>
      <c r="G35" s="58" t="inlineStr">
        <is>
          <t>Never</t>
        </is>
      </c>
      <c r="H35" s="60">
        <f>MIN(20,SUMIFS(Action_Log!$F:$F,Action_Log!$A:$A,$A35,Action_Log!$D:$D,"Cosmetic")+SUMIFS(Action_Log!$F:$F,Action_Log!$A:$A,$A35,Action_Log!$D:$D,"Commercial"))+SUMIFS(Action_Log!$F:$F,Action_Log!$A:$A,$A35,Action_Log!$D:$D,"Civic")+SUMIFS(Action_Log!$F:$F,Action_Log!$A:$A,$A35,Action_Log!$D:$D,"Financial")+SUMIFS(Action_Log!$F:$F,Action_Log!$A:$A,$A35,Action_Log!$D:$D,"Structural")</f>
        <v/>
      </c>
      <c r="I35" s="61">
        <f>SUMIFS(Action_Log!$F:$F,Action_Log!$A:$A,$A35,Action_Log!$E:$E,"Negative")</f>
        <v/>
      </c>
      <c r="J35" s="62">
        <f>MAX(0,MIN(100,50+H35+I35))</f>
        <v/>
      </c>
      <c r="K35" s="63">
        <f>IF(J35&gt;=80,"Champion",IF(J35&gt;=65,"Ally",IF(J35&gt;=50,"Neutral",IF(J35&gt;=35,"Performative",IF(J35&gt;=20,"Harmful","Adversarial")))))</f>
        <v/>
      </c>
      <c r="L35" s="58" t="inlineStr">
        <is>
          <t>No</t>
        </is>
      </c>
      <c r="M35" s="58" t="inlineStr">
        <is>
          <t>No</t>
        </is>
      </c>
      <c r="N35" s="58" t="inlineStr">
        <is>
          <t>No</t>
        </is>
      </c>
      <c r="O35" s="58" t="inlineStr">
        <is>
          <t>No</t>
        </is>
      </c>
      <c r="P35" s="58" t="inlineStr">
        <is>
          <t>No</t>
        </is>
      </c>
      <c r="Q35" s="59" t="inlineStr">
        <is>
          <t>No meaningful public LGBTQ+ record in either direction — private ownership, minimal cause marketing, no documented reversals or anti-LGBTQ+ activity.</t>
        </is>
      </c>
    </row>
    <row r="36" ht="15" customHeight="1" s="42">
      <c r="A36" s="50" t="inlineStr">
        <is>
          <t>Coca-Cola</t>
        </is>
      </c>
      <c r="B36" s="51" t="inlineStr">
        <is>
          <t>KO</t>
        </is>
      </c>
      <c r="C36" s="52" t="inlineStr">
        <is>
          <t>Food &amp; Beverage</t>
        </is>
      </c>
      <c r="D36" s="51" t="n">
        <v>47.1</v>
      </c>
      <c r="E36" s="51" t="n">
        <v>100</v>
      </c>
      <c r="F36" s="51" t="n">
        <v>2025</v>
      </c>
      <c r="G36" s="51" t="inlineStr">
        <is>
          <t>Yes</t>
        </is>
      </c>
      <c r="H36" s="53">
        <f>MIN(20,SUMIFS(Action_Log!$F:$F,Action_Log!$A:$A,$A36,Action_Log!$D:$D,"Cosmetic")+SUMIFS(Action_Log!$F:$F,Action_Log!$A:$A,$A36,Action_Log!$D:$D,"Commercial"))+SUMIFS(Action_Log!$F:$F,Action_Log!$A:$A,$A36,Action_Log!$D:$D,"Civic")+SUMIFS(Action_Log!$F:$F,Action_Log!$A:$A,$A36,Action_Log!$D:$D,"Financial")+SUMIFS(Action_Log!$F:$F,Action_Log!$A:$A,$A36,Action_Log!$D:$D,"Structural")</f>
        <v/>
      </c>
      <c r="I36" s="54">
        <f>SUMIFS(Action_Log!$F:$F,Action_Log!$A:$A,$A36,Action_Log!$E:$E,"Negative")</f>
        <v/>
      </c>
      <c r="J36" s="55">
        <f>MAX(0,MIN(100,50+H36+I36))</f>
        <v/>
      </c>
      <c r="K36" s="56">
        <f>IF(J36&gt;=80,"Champion",IF(J36&gt;=65,"Ally",IF(J36&gt;=50,"Neutral",IF(J36&gt;=35,"Performative",IF(J36&gt;=20,"Harmful","Adversarial")))))</f>
        <v/>
      </c>
      <c r="L36" s="51" t="inlineStr">
        <is>
          <t>No</t>
        </is>
      </c>
      <c r="M36" s="51" t="inlineStr">
        <is>
          <t>No</t>
        </is>
      </c>
      <c r="N36" s="51" t="inlineStr">
        <is>
          <t>No</t>
        </is>
      </c>
      <c r="O36" s="51" t="inlineStr">
        <is>
          <t>No</t>
        </is>
      </c>
      <c r="P36" s="51" t="inlineStr">
        <is>
          <t>No</t>
        </is>
      </c>
      <c r="Q36" s="52" t="inlineStr">
        <is>
          <t>Maintained DEI through the backlash — kept inclusion language in its risk disclosures, defended programs as shareholders rejected an anti-DEI proposal, and continued its long Atlanta Pride relationship. Historic Olympics-related geo criticisms predate the window.</t>
        </is>
      </c>
    </row>
    <row r="37" ht="15" customHeight="1" s="42">
      <c r="A37" s="57" t="inlineStr">
        <is>
          <t>PepsiCo</t>
        </is>
      </c>
      <c r="B37" s="58" t="inlineStr">
        <is>
          <t>PEP</t>
        </is>
      </c>
      <c r="C37" s="59" t="inlineStr">
        <is>
          <t>Food &amp; Beverage</t>
        </is>
      </c>
      <c r="D37" s="58" t="n">
        <v>91.90000000000001</v>
      </c>
      <c r="E37" s="58" t="n">
        <v>100</v>
      </c>
      <c r="F37" s="58" t="n">
        <v>2024</v>
      </c>
      <c r="G37" s="58" t="inlineStr">
        <is>
          <t>No</t>
        </is>
      </c>
      <c r="H37" s="60">
        <f>MIN(20,SUMIFS(Action_Log!$F:$F,Action_Log!$A:$A,$A37,Action_Log!$D:$D,"Cosmetic")+SUMIFS(Action_Log!$F:$F,Action_Log!$A:$A,$A37,Action_Log!$D:$D,"Commercial"))+SUMIFS(Action_Log!$F:$F,Action_Log!$A:$A,$A37,Action_Log!$D:$D,"Civic")+SUMIFS(Action_Log!$F:$F,Action_Log!$A:$A,$A37,Action_Log!$D:$D,"Financial")+SUMIFS(Action_Log!$F:$F,Action_Log!$A:$A,$A37,Action_Log!$D:$D,"Structural")</f>
        <v/>
      </c>
      <c r="I37" s="61">
        <f>SUMIFS(Action_Log!$F:$F,Action_Log!$A:$A,$A37,Action_Log!$E:$E,"Negative")</f>
        <v/>
      </c>
      <c r="J37" s="62">
        <f>MAX(0,MIN(100,50+H37+I37))</f>
        <v/>
      </c>
      <c r="K37" s="63">
        <f>IF(J37&gt;=80,"Champion",IF(J37&gt;=65,"Ally",IF(J37&gt;=50,"Neutral",IF(J37&gt;=35,"Performative",IF(J37&gt;=20,"Harmful","Adversarial")))))</f>
        <v/>
      </c>
      <c r="L37" s="58" t="inlineStr">
        <is>
          <t>Yes</t>
        </is>
      </c>
      <c r="M37" s="58" t="inlineStr">
        <is>
          <t>Yes</t>
        </is>
      </c>
      <c r="N37" s="58" t="inlineStr">
        <is>
          <t>No</t>
        </is>
      </c>
      <c r="O37" s="58" t="inlineStr">
        <is>
          <t>No</t>
        </is>
      </c>
      <c r="P37" s="58" t="inlineStr">
        <is>
          <t>No</t>
        </is>
      </c>
      <c r="Q37" s="59" t="inlineStr">
        <is>
          <t>Feb 2025: ended DEI workforce-representation goals and transitioned its chief DEI officer role; withdrew or scaled back its longtime NYC Pride sponsorship for 2025. A two-front retreat.</t>
        </is>
      </c>
    </row>
    <row r="38" ht="15" customHeight="1" s="42">
      <c r="A38" s="50" t="inlineStr">
        <is>
          <t>Anheuser-Busch InBev</t>
        </is>
      </c>
      <c r="B38" s="51" t="inlineStr">
        <is>
          <t>BUD</t>
        </is>
      </c>
      <c r="C38" s="52" t="inlineStr">
        <is>
          <t>Food &amp; Beverage</t>
        </is>
      </c>
      <c r="D38" s="51" t="n">
        <v>59.8</v>
      </c>
      <c r="E38" s="51" t="n">
        <v>85</v>
      </c>
      <c r="F38" s="51" t="n">
        <v>2024</v>
      </c>
      <c r="G38" s="51" t="inlineStr">
        <is>
          <t>No</t>
        </is>
      </c>
      <c r="H38" s="53">
        <f>MIN(20,SUMIFS(Action_Log!$F:$F,Action_Log!$A:$A,$A38,Action_Log!$D:$D,"Cosmetic")+SUMIFS(Action_Log!$F:$F,Action_Log!$A:$A,$A38,Action_Log!$D:$D,"Commercial"))+SUMIFS(Action_Log!$F:$F,Action_Log!$A:$A,$A38,Action_Log!$D:$D,"Civic")+SUMIFS(Action_Log!$F:$F,Action_Log!$A:$A,$A38,Action_Log!$D:$D,"Financial")+SUMIFS(Action_Log!$F:$F,Action_Log!$A:$A,$A38,Action_Log!$D:$D,"Structural")</f>
        <v/>
      </c>
      <c r="I38" s="54">
        <f>SUMIFS(Action_Log!$F:$F,Action_Log!$A:$A,$A38,Action_Log!$E:$E,"Negative")</f>
        <v/>
      </c>
      <c r="J38" s="55">
        <f>MAX(0,MIN(100,50+H38+I38))</f>
        <v/>
      </c>
      <c r="K38" s="56">
        <f>IF(J38&gt;=80,"Champion",IF(J38&gt;=65,"Ally",IF(J38&gt;=50,"Neutral",IF(J38&gt;=35,"Performative",IF(J38&gt;=20,"Harmful","Adversarial")))))</f>
        <v/>
      </c>
      <c r="L38" s="51" t="inlineStr">
        <is>
          <t>Yes</t>
        </is>
      </c>
      <c r="M38" s="51" t="inlineStr">
        <is>
          <t>Yes</t>
        </is>
      </c>
      <c r="N38" s="51" t="inlineStr">
        <is>
          <t>No</t>
        </is>
      </c>
      <c r="O38" s="51" t="inlineStr">
        <is>
          <t>Yes</t>
        </is>
      </c>
      <c r="P38" s="51" t="inlineStr">
        <is>
          <t>No</t>
        </is>
      </c>
      <c r="Q38" s="52" t="inlineStr">
        <is>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 Documented anti-LGBTQ+ political giving lowers the score (-30); see Political_Donations sheet.</t>
        </is>
      </c>
    </row>
    <row r="39" ht="15" customHeight="1" s="42">
      <c r="A39" s="57" t="inlineStr">
        <is>
          <t>Whole Foods</t>
        </is>
      </c>
      <c r="B39" s="58" t="inlineStr">
        <is>
          <t>AMZN</t>
        </is>
      </c>
      <c r="C39" s="59" t="inlineStr">
        <is>
          <t>Food &amp; Beverage</t>
        </is>
      </c>
      <c r="D39" s="58" t="n">
        <v>22</v>
      </c>
      <c r="E39" s="58" t="inlineStr">
        <is>
          <t>Not rated</t>
        </is>
      </c>
      <c r="F39" s="58" t="inlineStr">
        <is>
          <t>—</t>
        </is>
      </c>
      <c r="G39" s="58" t="inlineStr">
        <is>
          <t>Never</t>
        </is>
      </c>
      <c r="H39" s="60">
        <f>MIN(20,SUMIFS(Action_Log!$F:$F,Action_Log!$A:$A,$A39,Action_Log!$D:$D,"Cosmetic")+SUMIFS(Action_Log!$F:$F,Action_Log!$A:$A,$A39,Action_Log!$D:$D,"Commercial"))+SUMIFS(Action_Log!$F:$F,Action_Log!$A:$A,$A39,Action_Log!$D:$D,"Civic")+SUMIFS(Action_Log!$F:$F,Action_Log!$A:$A,$A39,Action_Log!$D:$D,"Financial")+SUMIFS(Action_Log!$F:$F,Action_Log!$A:$A,$A39,Action_Log!$D:$D,"Structural")</f>
        <v/>
      </c>
      <c r="I39" s="61">
        <f>SUMIFS(Action_Log!$F:$F,Action_Log!$A:$A,$A39,Action_Log!$E:$E,"Negative")</f>
        <v/>
      </c>
      <c r="J39" s="62">
        <f>MAX(0,MIN(100,50+H39+I39))</f>
        <v/>
      </c>
      <c r="K39" s="63">
        <f>IF(J39&gt;=80,"Champion",IF(J39&gt;=65,"Ally",IF(J39&gt;=50,"Neutral",IF(J39&gt;=35,"Performative",IF(J39&gt;=20,"Harmful","Adversarial")))))</f>
        <v/>
      </c>
      <c r="L39" s="58" t="inlineStr">
        <is>
          <t>No</t>
        </is>
      </c>
      <c r="M39" s="58" t="inlineStr">
        <is>
          <t>No</t>
        </is>
      </c>
      <c r="N39" s="58" t="inlineStr">
        <is>
          <t>No</t>
        </is>
      </c>
      <c r="O39" s="58" t="inlineStr">
        <is>
          <t>No</t>
        </is>
      </c>
      <c r="P39" s="58" t="inlineStr">
        <is>
          <t>No</t>
        </is>
      </c>
      <c r="Q39" s="59" t="inlineStr">
        <is>
          <t>Historically LGBTQ+-friendly culture (early domestic-partner benefits among grocers) but minimal distinct public engagement today; corporate policy now flows through Amazon, which scrubbed its LGBTQ+ commitments in 2025.</t>
        </is>
      </c>
    </row>
    <row r="40" ht="15" customHeight="1" s="42">
      <c r="A40" s="50" t="inlineStr">
        <is>
          <t>Tyson Foods</t>
        </is>
      </c>
      <c r="B40" s="51" t="inlineStr">
        <is>
          <t>TSN</t>
        </is>
      </c>
      <c r="C40" s="52" t="inlineStr">
        <is>
          <t>Food &amp; Beverage</t>
        </is>
      </c>
      <c r="D40" s="51" t="n">
        <v>53.3</v>
      </c>
      <c r="E40" s="51" t="inlineStr">
        <is>
          <t>Not rated</t>
        </is>
      </c>
      <c r="F40" s="51" t="inlineStr">
        <is>
          <t>—</t>
        </is>
      </c>
      <c r="G40" s="51" t="inlineStr">
        <is>
          <t>Never</t>
        </is>
      </c>
      <c r="H40" s="53">
        <f>MIN(20,SUMIFS(Action_Log!$F:$F,Action_Log!$A:$A,$A40,Action_Log!$D:$D,"Cosmetic")+SUMIFS(Action_Log!$F:$F,Action_Log!$A:$A,$A40,Action_Log!$D:$D,"Commercial"))+SUMIFS(Action_Log!$F:$F,Action_Log!$A:$A,$A40,Action_Log!$D:$D,"Civic")+SUMIFS(Action_Log!$F:$F,Action_Log!$A:$A,$A40,Action_Log!$D:$D,"Financial")+SUMIFS(Action_Log!$F:$F,Action_Log!$A:$A,$A40,Action_Log!$D:$D,"Structural")</f>
        <v/>
      </c>
      <c r="I40" s="54">
        <f>SUMIFS(Action_Log!$F:$F,Action_Log!$A:$A,$A40,Action_Log!$E:$E,"Negative")</f>
        <v/>
      </c>
      <c r="J40" s="55">
        <f>MAX(0,MIN(100,50+H40+I40))</f>
        <v/>
      </c>
      <c r="K40" s="56">
        <f>IF(J40&gt;=80,"Champion",IF(J40&gt;=65,"Ally",IF(J40&gt;=50,"Neutral",IF(J40&gt;=35,"Performative",IF(J40&gt;=20,"Harmful","Adversarial")))))</f>
        <v/>
      </c>
      <c r="L40" s="51" t="inlineStr">
        <is>
          <t>No</t>
        </is>
      </c>
      <c r="M40" s="51" t="inlineStr">
        <is>
          <t>No</t>
        </is>
      </c>
      <c r="N40" s="51" t="inlineStr">
        <is>
          <t>No</t>
        </is>
      </c>
      <c r="O40" s="51" t="inlineStr">
        <is>
          <t>No</t>
        </is>
      </c>
      <c r="P40" s="51" t="inlineStr">
        <is>
          <t>No</t>
        </is>
      </c>
      <c r="Q40" s="52" t="inlineStr">
        <is>
          <t>No meaningful public LGBTQ+ engagement found in either direction. Standard nondiscrimination employment language; no Pride programs, donations or documented reversals.</t>
        </is>
      </c>
    </row>
    <row r="41" ht="15" customHeight="1" s="42">
      <c r="A41" s="57" t="inlineStr">
        <is>
          <t>JPMorgan Chase</t>
        </is>
      </c>
      <c r="B41" s="58" t="inlineStr">
        <is>
          <t>JPM</t>
        </is>
      </c>
      <c r="C41" s="59" t="inlineStr">
        <is>
          <t>Financial Services</t>
        </is>
      </c>
      <c r="D41" s="58" t="n">
        <v>177.6</v>
      </c>
      <c r="E41" s="58" t="n">
        <v>100</v>
      </c>
      <c r="F41" s="58" t="n">
        <v>2025</v>
      </c>
      <c r="G41" s="58" t="inlineStr">
        <is>
          <t>Yes</t>
        </is>
      </c>
      <c r="H41" s="60">
        <f>MIN(20,SUMIFS(Action_Log!$F:$F,Action_Log!$A:$A,$A41,Action_Log!$D:$D,"Cosmetic")+SUMIFS(Action_Log!$F:$F,Action_Log!$A:$A,$A41,Action_Log!$D:$D,"Commercial"))+SUMIFS(Action_Log!$F:$F,Action_Log!$A:$A,$A41,Action_Log!$D:$D,"Civic")+SUMIFS(Action_Log!$F:$F,Action_Log!$A:$A,$A41,Action_Log!$D:$D,"Financial")+SUMIFS(Action_Log!$F:$F,Action_Log!$A:$A,$A41,Action_Log!$D:$D,"Structural")</f>
        <v/>
      </c>
      <c r="I41" s="61">
        <f>SUMIFS(Action_Log!$F:$F,Action_Log!$A:$A,$A41,Action_Log!$E:$E,"Negative")</f>
        <v/>
      </c>
      <c r="J41" s="62">
        <f>MAX(0,MIN(100,50+H41+I41))</f>
        <v/>
      </c>
      <c r="K41" s="63">
        <f>IF(J41&gt;=80,"Champion",IF(J41&gt;=65,"Ally",IF(J41&gt;=50,"Neutral",IF(J41&gt;=35,"Performative",IF(J41&gt;=20,"Harmful","Adversarial")))))</f>
        <v/>
      </c>
      <c r="L41" s="58" t="inlineStr">
        <is>
          <t>No</t>
        </is>
      </c>
      <c r="M41" s="58" t="inlineStr">
        <is>
          <t>No</t>
        </is>
      </c>
      <c r="N41" s="58" t="inlineStr">
        <is>
          <t>No</t>
        </is>
      </c>
      <c r="O41" s="58" t="inlineStr">
        <is>
          <t>No</t>
        </is>
      </c>
      <c r="P41" s="58" t="inlineStr">
        <is>
          <t>No</t>
        </is>
      </c>
      <c r="Q41" s="59" t="inlineStr">
        <is>
          <t>Renamed DEI to 'Diversity, Opportunity &amp; Inclusion' (dropping 'equity') in Mar 2025 but Dimon publicly affirmed continued LGBT outreach: 'We're not changing that.' PRIDE BRG, benefits and CEI engagement continued.</t>
        </is>
      </c>
    </row>
    <row r="42" ht="15" customHeight="1" s="42">
      <c r="A42" s="50" t="inlineStr">
        <is>
          <t>Bank of America</t>
        </is>
      </c>
      <c r="B42" s="51" t="inlineStr">
        <is>
          <t>BAC</t>
        </is>
      </c>
      <c r="C42" s="52" t="inlineStr">
        <is>
          <t>Financial Services</t>
        </is>
      </c>
      <c r="D42" s="51" t="n">
        <v>101.9</v>
      </c>
      <c r="E42" s="51" t="n">
        <v>100</v>
      </c>
      <c r="F42" s="51" t="n">
        <v>2024</v>
      </c>
      <c r="G42" s="51" t="inlineStr">
        <is>
          <t>No</t>
        </is>
      </c>
      <c r="H42" s="53">
        <f>MIN(20,SUMIFS(Action_Log!$F:$F,Action_Log!$A:$A,$A42,Action_Log!$D:$D,"Cosmetic")+SUMIFS(Action_Log!$F:$F,Action_Log!$A:$A,$A42,Action_Log!$D:$D,"Commercial"))+SUMIFS(Action_Log!$F:$F,Action_Log!$A:$A,$A42,Action_Log!$D:$D,"Civic")+SUMIFS(Action_Log!$F:$F,Action_Log!$A:$A,$A42,Action_Log!$D:$D,"Financial")+SUMIFS(Action_Log!$F:$F,Action_Log!$A:$A,$A42,Action_Log!$D:$D,"Structural")</f>
        <v/>
      </c>
      <c r="I42" s="54">
        <f>SUMIFS(Action_Log!$F:$F,Action_Log!$A:$A,$A42,Action_Log!$E:$E,"Negative")</f>
        <v/>
      </c>
      <c r="J42" s="55">
        <f>MAX(0,MIN(100,50+H42+I42))</f>
        <v/>
      </c>
      <c r="K42" s="56">
        <f>IF(J42&gt;=80,"Champion",IF(J42&gt;=65,"Ally",IF(J42&gt;=50,"Neutral",IF(J42&gt;=35,"Performative",IF(J42&gt;=20,"Harmful","Adversarial")))))</f>
        <v/>
      </c>
      <c r="L42" s="51" t="inlineStr">
        <is>
          <t>Yes</t>
        </is>
      </c>
      <c r="M42" s="51" t="inlineStr">
        <is>
          <t>Yes</t>
        </is>
      </c>
      <c r="N42" s="51" t="inlineStr">
        <is>
          <t>No</t>
        </is>
      </c>
      <c r="O42" s="51" t="inlineStr">
        <is>
          <t>No</t>
        </is>
      </c>
      <c r="P42" s="51" t="inlineStr">
        <is>
          <t>No</t>
        </is>
      </c>
      <c r="Q42" s="52" t="inlineStr">
        <is>
          <t>Scrubbed 'diversity' from its 10-K, renamed its DEI framing to 'talent and opportunity,' and rolled back diverse-slate initiatives in early 2025. ERG and benefits remain.</t>
        </is>
      </c>
    </row>
    <row r="43" ht="15" customHeight="1" s="42">
      <c r="A43" s="57" t="inlineStr">
        <is>
          <t>Wells Fargo</t>
        </is>
      </c>
      <c r="B43" s="58" t="inlineStr">
        <is>
          <t>WFC</t>
        </is>
      </c>
      <c r="C43" s="59" t="inlineStr">
        <is>
          <t>Financial Services</t>
        </is>
      </c>
      <c r="D43" s="58" t="n">
        <v>82.3</v>
      </c>
      <c r="E43" s="58" t="n">
        <v>100</v>
      </c>
      <c r="F43" s="58" t="n">
        <v>2024</v>
      </c>
      <c r="G43" s="58" t="inlineStr">
        <is>
          <t>No</t>
        </is>
      </c>
      <c r="H43" s="60">
        <f>MIN(20,SUMIFS(Action_Log!$F:$F,Action_Log!$A:$A,$A43,Action_Log!$D:$D,"Cosmetic")+SUMIFS(Action_Log!$F:$F,Action_Log!$A:$A,$A43,Action_Log!$D:$D,"Commercial"))+SUMIFS(Action_Log!$F:$F,Action_Log!$A:$A,$A43,Action_Log!$D:$D,"Civic")+SUMIFS(Action_Log!$F:$F,Action_Log!$A:$A,$A43,Action_Log!$D:$D,"Financial")+SUMIFS(Action_Log!$F:$F,Action_Log!$A:$A,$A43,Action_Log!$D:$D,"Structural")</f>
        <v/>
      </c>
      <c r="I43" s="61">
        <f>SUMIFS(Action_Log!$F:$F,Action_Log!$A:$A,$A43,Action_Log!$E:$E,"Negative")</f>
        <v/>
      </c>
      <c r="J43" s="62">
        <f>MAX(0,MIN(100,50+H43+I43))</f>
        <v/>
      </c>
      <c r="K43" s="63">
        <f>IF(J43&gt;=80,"Champion",IF(J43&gt;=65,"Ally",IF(J43&gt;=50,"Neutral",IF(J43&gt;=35,"Performative",IF(J43&gt;=20,"Harmful","Adversarial")))))</f>
        <v/>
      </c>
      <c r="L43" s="58" t="inlineStr">
        <is>
          <t>Yes</t>
        </is>
      </c>
      <c r="M43" s="58" t="inlineStr">
        <is>
          <t>Yes</t>
        </is>
      </c>
      <c r="N43" s="58" t="inlineStr">
        <is>
          <t>No</t>
        </is>
      </c>
      <c r="O43" s="58" t="inlineStr">
        <is>
          <t>No</t>
        </is>
      </c>
      <c r="P43" s="58" t="inlineStr">
        <is>
          <t>No</t>
        </is>
      </c>
      <c r="Q43" s="59" t="inlineStr">
        <is>
          <t>An early LGBTQ+ marketing pioneer among big banks that joined the 2025 retreat: dropped diverse-slate hiring requirements and pared DEI language. ERG and benefits remain. Documented anti-LGBTQ+ political giving lowers the score (-30); see Political_Donations sheet.</t>
        </is>
      </c>
    </row>
    <row r="44" ht="15" customHeight="1" s="42">
      <c r="A44" s="50" t="inlineStr">
        <is>
          <t>Goldman Sachs</t>
        </is>
      </c>
      <c r="B44" s="51" t="inlineStr">
        <is>
          <t>GS</t>
        </is>
      </c>
      <c r="C44" s="52" t="inlineStr">
        <is>
          <t>Financial Services</t>
        </is>
      </c>
      <c r="D44" s="51" t="n">
        <v>53.5</v>
      </c>
      <c r="E44" s="51" t="n">
        <v>100</v>
      </c>
      <c r="F44" s="51" t="n">
        <v>2024</v>
      </c>
      <c r="G44" s="51" t="inlineStr">
        <is>
          <t>No</t>
        </is>
      </c>
      <c r="H44" s="53">
        <f>MIN(20,SUMIFS(Action_Log!$F:$F,Action_Log!$A:$A,$A44,Action_Log!$D:$D,"Cosmetic")+SUMIFS(Action_Log!$F:$F,Action_Log!$A:$A,$A44,Action_Log!$D:$D,"Commercial"))+SUMIFS(Action_Log!$F:$F,Action_Log!$A:$A,$A44,Action_Log!$D:$D,"Civic")+SUMIFS(Action_Log!$F:$F,Action_Log!$A:$A,$A44,Action_Log!$D:$D,"Financial")+SUMIFS(Action_Log!$F:$F,Action_Log!$A:$A,$A44,Action_Log!$D:$D,"Structural")</f>
        <v/>
      </c>
      <c r="I44" s="54">
        <f>SUMIFS(Action_Log!$F:$F,Action_Log!$A:$A,$A44,Action_Log!$E:$E,"Negative")</f>
        <v/>
      </c>
      <c r="J44" s="55">
        <f>MAX(0,MIN(100,50+H44+I44))</f>
        <v/>
      </c>
      <c r="K44" s="56">
        <f>IF(J44&gt;=80,"Champion",IF(J44&gt;=65,"Ally",IF(J44&gt;=50,"Neutral",IF(J44&gt;=35,"Performative",IF(J44&gt;=20,"Harmful","Adversarial")))))</f>
        <v/>
      </c>
      <c r="L44" s="51" t="inlineStr">
        <is>
          <t>Yes</t>
        </is>
      </c>
      <c r="M44" s="51" t="inlineStr">
        <is>
          <t>Yes</t>
        </is>
      </c>
      <c r="N44" s="51" t="inlineStr">
        <is>
          <t>No</t>
        </is>
      </c>
      <c r="O44" s="51" t="inlineStr">
        <is>
          <t>No</t>
        </is>
      </c>
      <c r="P44" s="51" t="inlineStr">
        <is>
          <t>No</t>
        </is>
      </c>
      <c r="Q44" s="52" t="inlineStr">
        <is>
          <t>Feb 2025: canceled 2022 diversity targets, ended diverse-slate requirements, dropped its IPO board-diversity rule, and scrubbed equity pages from its site after Trump's DEI order. Shareholders still rejected an anti-DEI proposal.</t>
        </is>
      </c>
    </row>
    <row r="45" ht="15" customHeight="1" s="42">
      <c r="A45" s="57" t="inlineStr">
        <is>
          <t>American Express</t>
        </is>
      </c>
      <c r="B45" s="58" t="inlineStr">
        <is>
          <t>AXP</t>
        </is>
      </c>
      <c r="C45" s="59" t="inlineStr">
        <is>
          <t>Financial Services</t>
        </is>
      </c>
      <c r="D45" s="58" t="n">
        <v>65.90000000000001</v>
      </c>
      <c r="E45" s="58" t="n">
        <v>100</v>
      </c>
      <c r="F45" s="58" t="n">
        <v>2024</v>
      </c>
      <c r="G45" s="58" t="inlineStr">
        <is>
          <t>No</t>
        </is>
      </c>
      <c r="H45" s="60">
        <f>MIN(20,SUMIFS(Action_Log!$F:$F,Action_Log!$A:$A,$A45,Action_Log!$D:$D,"Cosmetic")+SUMIFS(Action_Log!$F:$F,Action_Log!$A:$A,$A45,Action_Log!$D:$D,"Commercial"))+SUMIFS(Action_Log!$F:$F,Action_Log!$A:$A,$A45,Action_Log!$D:$D,"Civic")+SUMIFS(Action_Log!$F:$F,Action_Log!$A:$A,$A45,Action_Log!$D:$D,"Financial")+SUMIFS(Action_Log!$F:$F,Action_Log!$A:$A,$A45,Action_Log!$D:$D,"Structural")</f>
        <v/>
      </c>
      <c r="I45" s="61">
        <f>SUMIFS(Action_Log!$F:$F,Action_Log!$A:$A,$A45,Action_Log!$E:$E,"Negative")</f>
        <v/>
      </c>
      <c r="J45" s="62">
        <f>MAX(0,MIN(100,50+H45+I45))</f>
        <v/>
      </c>
      <c r="K45" s="63">
        <f>IF(J45&gt;=80,"Champion",IF(J45&gt;=65,"Ally",IF(J45&gt;=50,"Neutral",IF(J45&gt;=35,"Performative",IF(J45&gt;=20,"Harmful","Adversarial")))))</f>
        <v/>
      </c>
      <c r="L45" s="58" t="inlineStr">
        <is>
          <t>Yes</t>
        </is>
      </c>
      <c r="M45" s="58" t="inlineStr">
        <is>
          <t>Yes</t>
        </is>
      </c>
      <c r="N45" s="58" t="inlineStr">
        <is>
          <t>No</t>
        </is>
      </c>
      <c r="O45" s="58" t="inlineStr">
        <is>
          <t>No</t>
        </is>
      </c>
      <c r="P45" s="58" t="inlineStr">
        <is>
          <t>No</t>
        </is>
      </c>
      <c r="Q45" s="59" t="inlineStr">
        <is>
          <t>Dropped DEI criteria from board selection and trimmed diversity language under investor pressure in 2025, after a prior $3B DEI spending commitment. PRIDE network and benefits remain.</t>
        </is>
      </c>
    </row>
    <row r="46" ht="15" customHeight="1" s="42">
      <c r="A46" s="50" t="inlineStr">
        <is>
          <t>Visa</t>
        </is>
      </c>
      <c r="B46" s="51" t="inlineStr">
        <is>
          <t>V</t>
        </is>
      </c>
      <c r="C46" s="52" t="inlineStr">
        <is>
          <t>Financial Services</t>
        </is>
      </c>
      <c r="D46" s="51" t="n">
        <v>35.9</v>
      </c>
      <c r="E46" s="51" t="n">
        <v>100</v>
      </c>
      <c r="F46" s="51" t="n">
        <v>2024</v>
      </c>
      <c r="G46" s="51" t="inlineStr">
        <is>
          <t>Yes</t>
        </is>
      </c>
      <c r="H46" s="53">
        <f>MIN(20,SUMIFS(Action_Log!$F:$F,Action_Log!$A:$A,$A46,Action_Log!$D:$D,"Cosmetic")+SUMIFS(Action_Log!$F:$F,Action_Log!$A:$A,$A46,Action_Log!$D:$D,"Commercial"))+SUMIFS(Action_Log!$F:$F,Action_Log!$A:$A,$A46,Action_Log!$D:$D,"Civic")+SUMIFS(Action_Log!$F:$F,Action_Log!$A:$A,$A46,Action_Log!$D:$D,"Financial")+SUMIFS(Action_Log!$F:$F,Action_Log!$A:$A,$A46,Action_Log!$D:$D,"Structural")</f>
        <v/>
      </c>
      <c r="I46" s="54">
        <f>SUMIFS(Action_Log!$F:$F,Action_Log!$A:$A,$A46,Action_Log!$E:$E,"Negative")</f>
        <v/>
      </c>
      <c r="J46" s="55">
        <f>MAX(0,MIN(100,50+H46+I46))</f>
        <v/>
      </c>
      <c r="K46" s="56">
        <f>IF(J46&gt;=80,"Champion",IF(J46&gt;=65,"Ally",IF(J46&gt;=50,"Neutral",IF(J46&gt;=35,"Performative",IF(J46&gt;=20,"Harmful","Adversarial")))))</f>
        <v/>
      </c>
      <c r="L46" s="51" t="inlineStr">
        <is>
          <t>No</t>
        </is>
      </c>
      <c r="M46" s="51" t="inlineStr">
        <is>
          <t>No</t>
        </is>
      </c>
      <c r="N46" s="51" t="inlineStr">
        <is>
          <t>No</t>
        </is>
      </c>
      <c r="O46" s="51" t="inlineStr">
        <is>
          <t>No</t>
        </is>
      </c>
      <c r="P46" s="51" t="inlineStr">
        <is>
          <t>No</t>
        </is>
      </c>
      <c r="Q46" s="52" t="inlineStr">
        <is>
          <t>Quietly steady: shareholders rejected an anti-DEI proposal, no documented program rollbacks or Pride withdrawals, continued ERG and inclusive policies — with characteristically low public volume.</t>
        </is>
      </c>
    </row>
    <row r="47" ht="15" customHeight="1" s="42">
      <c r="A47" s="57" t="inlineStr">
        <is>
          <t>Mastercard</t>
        </is>
      </c>
      <c r="B47" s="58" t="inlineStr">
        <is>
          <t>MA</t>
        </is>
      </c>
      <c r="C47" s="59" t="inlineStr">
        <is>
          <t>Financial Services</t>
        </is>
      </c>
      <c r="D47" s="58" t="n">
        <v>28.2</v>
      </c>
      <c r="E47" s="58" t="n">
        <v>100</v>
      </c>
      <c r="F47" s="58" t="n">
        <v>2024</v>
      </c>
      <c r="G47" s="58" t="inlineStr">
        <is>
          <t>No</t>
        </is>
      </c>
      <c r="H47" s="60">
        <f>MIN(20,SUMIFS(Action_Log!$F:$F,Action_Log!$A:$A,$A47,Action_Log!$D:$D,"Cosmetic")+SUMIFS(Action_Log!$F:$F,Action_Log!$A:$A,$A47,Action_Log!$D:$D,"Commercial"))+SUMIFS(Action_Log!$F:$F,Action_Log!$A:$A,$A47,Action_Log!$D:$D,"Civic")+SUMIFS(Action_Log!$F:$F,Action_Log!$A:$A,$A47,Action_Log!$D:$D,"Financial")+SUMIFS(Action_Log!$F:$F,Action_Log!$A:$A,$A47,Action_Log!$D:$D,"Structural")</f>
        <v/>
      </c>
      <c r="I47" s="61">
        <f>SUMIFS(Action_Log!$F:$F,Action_Log!$A:$A,$A47,Action_Log!$E:$E,"Negative")</f>
        <v/>
      </c>
      <c r="J47" s="62">
        <f>MAX(0,MIN(100,50+H47+I47))</f>
        <v/>
      </c>
      <c r="K47" s="63">
        <f>IF(J47&gt;=80,"Champion",IF(J47&gt;=65,"Ally",IF(J47&gt;=50,"Neutral",IF(J47&gt;=35,"Performative",IF(J47&gt;=20,"Harmful","Adversarial")))))</f>
        <v/>
      </c>
      <c r="L47" s="58" t="inlineStr">
        <is>
          <t>Yes</t>
        </is>
      </c>
      <c r="M47" s="58" t="inlineStr">
        <is>
          <t>Yes</t>
        </is>
      </c>
      <c r="N47" s="58" t="inlineStr">
        <is>
          <t>No</t>
        </is>
      </c>
      <c r="O47" s="58" t="inlineStr">
        <is>
          <t>No</t>
        </is>
      </c>
      <c r="P47" s="58" t="inlineStr">
        <is>
          <t>No</t>
        </is>
      </c>
      <c r="Q47" s="59" t="inlineStr">
        <is>
          <t>Mixed signal-sender: pioneered the True Name card for trans/nonbinary customers and is increasing Pride spending in 2026 (≈100 employees marching), but withdrew its NYC Pride Platinum ($175K) sponsorship in 2025.</t>
        </is>
      </c>
    </row>
    <row r="48" ht="15" customHeight="1" s="42">
      <c r="A48" s="50" t="inlineStr">
        <is>
          <t>Charles Schwab</t>
        </is>
      </c>
      <c r="B48" s="51" t="inlineStr">
        <is>
          <t>SCHW</t>
        </is>
      </c>
      <c r="C48" s="52" t="inlineStr">
        <is>
          <t>Financial Services</t>
        </is>
      </c>
      <c r="D48" s="51" t="n">
        <v>19.6</v>
      </c>
      <c r="E48" s="51" t="inlineStr">
        <is>
          <t>Not rated</t>
        </is>
      </c>
      <c r="F48" s="51" t="inlineStr">
        <is>
          <t>—</t>
        </is>
      </c>
      <c r="G48" s="51" t="inlineStr">
        <is>
          <t>No</t>
        </is>
      </c>
      <c r="H48" s="53">
        <f>MIN(20,SUMIFS(Action_Log!$F:$F,Action_Log!$A:$A,$A48,Action_Log!$D:$D,"Cosmetic")+SUMIFS(Action_Log!$F:$F,Action_Log!$A:$A,$A48,Action_Log!$D:$D,"Commercial"))+SUMIFS(Action_Log!$F:$F,Action_Log!$A:$A,$A48,Action_Log!$D:$D,"Civic")+SUMIFS(Action_Log!$F:$F,Action_Log!$A:$A,$A48,Action_Log!$D:$D,"Financial")+SUMIFS(Action_Log!$F:$F,Action_Log!$A:$A,$A48,Action_Log!$D:$D,"Structural")</f>
        <v/>
      </c>
      <c r="I48" s="54">
        <f>SUMIFS(Action_Log!$F:$F,Action_Log!$A:$A,$A48,Action_Log!$E:$E,"Negative")</f>
        <v/>
      </c>
      <c r="J48" s="55">
        <f>MAX(0,MIN(100,50+H48+I48))</f>
        <v/>
      </c>
      <c r="K48" s="56">
        <f>IF(J48&gt;=80,"Champion",IF(J48&gt;=65,"Ally",IF(J48&gt;=50,"Neutral",IF(J48&gt;=35,"Performative",IF(J48&gt;=20,"Harmful","Adversarial")))))</f>
        <v/>
      </c>
      <c r="L48" s="51" t="inlineStr">
        <is>
          <t>No</t>
        </is>
      </c>
      <c r="M48" s="51" t="inlineStr">
        <is>
          <t>No</t>
        </is>
      </c>
      <c r="N48" s="51" t="inlineStr">
        <is>
          <t>No</t>
        </is>
      </c>
      <c r="O48" s="51" t="inlineStr">
        <is>
          <t>No</t>
        </is>
      </c>
      <c r="P48" s="51" t="inlineStr">
        <is>
          <t>No</t>
        </is>
      </c>
      <c r="Q48" s="52" t="inlineStr">
        <is>
          <t>Minimal public LGBTQ+ engagement either way: no significant Pride programs or documented reversals; DEI language pared quietly in line with the sector.</t>
        </is>
      </c>
    </row>
    <row r="49" ht="15" customHeight="1" s="42">
      <c r="A49" s="57" t="inlineStr">
        <is>
          <t>Citigroup</t>
        </is>
      </c>
      <c r="B49" s="58" t="inlineStr">
        <is>
          <t>C</t>
        </is>
      </c>
      <c r="C49" s="59" t="inlineStr">
        <is>
          <t>Financial Services</t>
        </is>
      </c>
      <c r="D49" s="58" t="n">
        <v>81.09999999999999</v>
      </c>
      <c r="E49" s="58" t="n">
        <v>100</v>
      </c>
      <c r="F49" s="58" t="n">
        <v>2024</v>
      </c>
      <c r="G49" s="58" t="inlineStr">
        <is>
          <t>No</t>
        </is>
      </c>
      <c r="H49" s="60">
        <f>MIN(20,SUMIFS(Action_Log!$F:$F,Action_Log!$A:$A,$A49,Action_Log!$D:$D,"Cosmetic")+SUMIFS(Action_Log!$F:$F,Action_Log!$A:$A,$A49,Action_Log!$D:$D,"Commercial"))+SUMIFS(Action_Log!$F:$F,Action_Log!$A:$A,$A49,Action_Log!$D:$D,"Civic")+SUMIFS(Action_Log!$F:$F,Action_Log!$A:$A,$A49,Action_Log!$D:$D,"Financial")+SUMIFS(Action_Log!$F:$F,Action_Log!$A:$A,$A49,Action_Log!$D:$D,"Structural")</f>
        <v/>
      </c>
      <c r="I49" s="61">
        <f>SUMIFS(Action_Log!$F:$F,Action_Log!$A:$A,$A49,Action_Log!$E:$E,"Negative")</f>
        <v/>
      </c>
      <c r="J49" s="62">
        <f>MAX(0,MIN(100,50+H49+I49))</f>
        <v/>
      </c>
      <c r="K49" s="63">
        <f>IF(J49&gt;=80,"Champion",IF(J49&gt;=65,"Ally",IF(J49&gt;=50,"Neutral",IF(J49&gt;=35,"Performative",IF(J49&gt;=20,"Harmful","Adversarial")))))</f>
        <v/>
      </c>
      <c r="L49" s="58" t="inlineStr">
        <is>
          <t>Yes</t>
        </is>
      </c>
      <c r="M49" s="58" t="inlineStr">
        <is>
          <t>Yes</t>
        </is>
      </c>
      <c r="N49" s="58" t="inlineStr">
        <is>
          <t>No</t>
        </is>
      </c>
      <c r="O49" s="58" t="inlineStr">
        <is>
          <t>No</t>
        </is>
      </c>
      <c r="P49" s="58" t="inlineStr">
        <is>
          <t>No</t>
        </is>
      </c>
      <c r="Q49" s="59" t="inlineStr">
        <is>
          <t>Feb 2025: dropped aspirational diversity goals, ended board-diversity requirements, renamed its DEI team 'Talent Management and Engagement' — then scaled back its NYC Pride sponsorship citing economic caution.</t>
        </is>
      </c>
    </row>
    <row r="50" ht="15" customHeight="1" s="42">
      <c r="A50" s="50" t="inlineStr">
        <is>
          <t>Walt Disney Co.</t>
        </is>
      </c>
      <c r="B50" s="51" t="inlineStr">
        <is>
          <t>DIS</t>
        </is>
      </c>
      <c r="C50" s="52" t="inlineStr">
        <is>
          <t>Media &amp; Entertainment</t>
        </is>
      </c>
      <c r="D50" s="51" t="n">
        <v>91.40000000000001</v>
      </c>
      <c r="E50" s="51" t="n">
        <v>100</v>
      </c>
      <c r="F50" s="51" t="n">
        <v>2024</v>
      </c>
      <c r="G50" s="51" t="inlineStr">
        <is>
          <t>No</t>
        </is>
      </c>
      <c r="H50" s="53">
        <f>MIN(20,SUMIFS(Action_Log!$F:$F,Action_Log!$A:$A,$A50,Action_Log!$D:$D,"Cosmetic")+SUMIFS(Action_Log!$F:$F,Action_Log!$A:$A,$A50,Action_Log!$D:$D,"Commercial"))+SUMIFS(Action_Log!$F:$F,Action_Log!$A:$A,$A50,Action_Log!$D:$D,"Civic")+SUMIFS(Action_Log!$F:$F,Action_Log!$A:$A,$A50,Action_Log!$D:$D,"Financial")+SUMIFS(Action_Log!$F:$F,Action_Log!$A:$A,$A50,Action_Log!$D:$D,"Structural")</f>
        <v/>
      </c>
      <c r="I50" s="54">
        <f>SUMIFS(Action_Log!$F:$F,Action_Log!$A:$A,$A50,Action_Log!$E:$E,"Negative")</f>
        <v/>
      </c>
      <c r="J50" s="55">
        <f>MAX(0,MIN(100,50+H50+I50))</f>
        <v/>
      </c>
      <c r="K50" s="56">
        <f>IF(J50&gt;=80,"Champion",IF(J50&gt;=65,"Ally",IF(J50&gt;=50,"Neutral",IF(J50&gt;=35,"Performative",IF(J50&gt;=20,"Harmful","Adversarial")))))</f>
        <v/>
      </c>
      <c r="L50" s="51" t="inlineStr">
        <is>
          <t>Yes</t>
        </is>
      </c>
      <c r="M50" s="51" t="inlineStr">
        <is>
          <t>Yes</t>
        </is>
      </c>
      <c r="N50" s="51" t="inlineStr">
        <is>
          <t>No</t>
        </is>
      </c>
      <c r="O50" s="51" t="inlineStr">
        <is>
          <t>Yes</t>
        </is>
      </c>
      <c r="P50" s="51" t="inlineStr">
        <is>
          <t>No</t>
        </is>
      </c>
      <c r="Q50" s="52" t="inlineStr">
        <is>
          <t>Deep support and deep retreat coexist: Pride Nite, the Pride Collection and ERGs continue, but Feb 2025 ended Reimagine Tomorrow and DEI pay metrics, a trans storyline was cut from Pixar's 'Win or Lose,' and the 2022 Don't Say Gay response exposed donations to the bill's sponsors.</t>
        </is>
      </c>
    </row>
    <row r="51" ht="15" customHeight="1" s="42">
      <c r="A51" s="57" t="inlineStr">
        <is>
          <t>Netflix</t>
        </is>
      </c>
      <c r="B51" s="58" t="inlineStr">
        <is>
          <t>NFLX</t>
        </is>
      </c>
      <c r="C51" s="59" t="inlineStr">
        <is>
          <t>Media &amp; Entertainment</t>
        </is>
      </c>
      <c r="D51" s="58" t="n">
        <v>39</v>
      </c>
      <c r="E51" s="58" t="n">
        <v>100</v>
      </c>
      <c r="F51" s="58" t="n">
        <v>2024</v>
      </c>
      <c r="G51" s="58" t="inlineStr">
        <is>
          <t>Yes</t>
        </is>
      </c>
      <c r="H51" s="60">
        <f>MIN(20,SUMIFS(Action_Log!$F:$F,Action_Log!$A:$A,$A51,Action_Log!$D:$D,"Cosmetic")+SUMIFS(Action_Log!$F:$F,Action_Log!$A:$A,$A51,Action_Log!$D:$D,"Commercial"))+SUMIFS(Action_Log!$F:$F,Action_Log!$A:$A,$A51,Action_Log!$D:$D,"Civic")+SUMIFS(Action_Log!$F:$F,Action_Log!$A:$A,$A51,Action_Log!$D:$D,"Financial")+SUMIFS(Action_Log!$F:$F,Action_Log!$A:$A,$A51,Action_Log!$D:$D,"Structural")</f>
        <v/>
      </c>
      <c r="I51" s="61">
        <f>SUMIFS(Action_Log!$F:$F,Action_Log!$A:$A,$A51,Action_Log!$E:$E,"Negative")</f>
        <v/>
      </c>
      <c r="J51" s="62">
        <f>MAX(0,MIN(100,50+H51+I51))</f>
        <v/>
      </c>
      <c r="K51" s="63">
        <f>IF(J51&gt;=80,"Champion",IF(J51&gt;=65,"Ally",IF(J51&gt;=50,"Neutral",IF(J51&gt;=35,"Performative",IF(J51&gt;=20,"Harmful","Adversarial")))))</f>
        <v/>
      </c>
      <c r="L51" s="58" t="inlineStr">
        <is>
          <t>No</t>
        </is>
      </c>
      <c r="M51" s="58" t="inlineStr">
        <is>
          <t>No</t>
        </is>
      </c>
      <c r="N51" s="58" t="inlineStr">
        <is>
          <t>No</t>
        </is>
      </c>
      <c r="O51" s="58" t="inlineStr">
        <is>
          <t>No</t>
        </is>
      </c>
      <c r="P51" s="58" t="inlineStr">
        <is>
          <t>No</t>
        </is>
      </c>
      <c r="Q51" s="59" t="inlineStr">
        <is>
          <t>Heavy investment in LGBTQ+ storytelling (Heartstopper, Sex Education) and inclusive policies, with the 2021 Chappelle controversy — defending anti-trans content over employee protest — as the lasting stain. No 2025 rollback documented.</t>
        </is>
      </c>
    </row>
    <row r="52" ht="15" customHeight="1" s="42">
      <c r="A52" s="50" t="inlineStr">
        <is>
          <t>Warner Bros. Discovery</t>
        </is>
      </c>
      <c r="B52" s="51" t="inlineStr">
        <is>
          <t>WBD</t>
        </is>
      </c>
      <c r="C52" s="52" t="inlineStr">
        <is>
          <t>Media &amp; Entertainment</t>
        </is>
      </c>
      <c r="D52" s="51" t="n">
        <v>39.3</v>
      </c>
      <c r="E52" s="51" t="n">
        <v>100</v>
      </c>
      <c r="F52" s="51" t="n">
        <v>2024</v>
      </c>
      <c r="G52" s="51" t="inlineStr">
        <is>
          <t>No</t>
        </is>
      </c>
      <c r="H52" s="53">
        <f>MIN(20,SUMIFS(Action_Log!$F:$F,Action_Log!$A:$A,$A52,Action_Log!$D:$D,"Cosmetic")+SUMIFS(Action_Log!$F:$F,Action_Log!$A:$A,$A52,Action_Log!$D:$D,"Commercial"))+SUMIFS(Action_Log!$F:$F,Action_Log!$A:$A,$A52,Action_Log!$D:$D,"Civic")+SUMIFS(Action_Log!$F:$F,Action_Log!$A:$A,$A52,Action_Log!$D:$D,"Financial")+SUMIFS(Action_Log!$F:$F,Action_Log!$A:$A,$A52,Action_Log!$D:$D,"Structural")</f>
        <v/>
      </c>
      <c r="I52" s="54">
        <f>SUMIFS(Action_Log!$F:$F,Action_Log!$A:$A,$A52,Action_Log!$E:$E,"Negative")</f>
        <v/>
      </c>
      <c r="J52" s="55">
        <f>MAX(0,MIN(100,50+H52+I52))</f>
        <v/>
      </c>
      <c r="K52" s="56">
        <f>IF(J52&gt;=80,"Champion",IF(J52&gt;=65,"Ally",IF(J52&gt;=50,"Neutral",IF(J52&gt;=35,"Performative",IF(J52&gt;=20,"Harmful","Adversarial")))))</f>
        <v/>
      </c>
      <c r="L52" s="51" t="inlineStr">
        <is>
          <t>No</t>
        </is>
      </c>
      <c r="M52" s="51" t="inlineStr">
        <is>
          <t>No</t>
        </is>
      </c>
      <c r="N52" s="51" t="inlineStr">
        <is>
          <t>No</t>
        </is>
      </c>
      <c r="O52" s="51" t="inlineStr">
        <is>
          <t>No</t>
        </is>
      </c>
      <c r="P52" s="51" t="inlineStr">
        <is>
          <t>No</t>
        </is>
      </c>
      <c r="Q52" s="52" t="inlineStr">
        <is>
          <t>HBO's queer-programming legacy ('We're Here,' inclusive prestige content) continues; corporate posture is quiet with no major documented 2025 reversal, but reduced DEI visibility.</t>
        </is>
      </c>
    </row>
    <row r="53" ht="15" customHeight="1" s="42">
      <c r="A53" s="57" t="inlineStr">
        <is>
          <t>NBCUniversal</t>
        </is>
      </c>
      <c r="B53" s="58" t="inlineStr">
        <is>
          <t>CMCSA</t>
        </is>
      </c>
      <c r="C53" s="59" t="inlineStr">
        <is>
          <t>Media &amp; Entertainment</t>
        </is>
      </c>
      <c r="D53" s="58" t="n">
        <v>38.9</v>
      </c>
      <c r="E53" s="58" t="n">
        <v>100</v>
      </c>
      <c r="F53" s="58" t="n">
        <v>2024</v>
      </c>
      <c r="G53" s="58" t="inlineStr">
        <is>
          <t>No</t>
        </is>
      </c>
      <c r="H53" s="60">
        <f>MIN(20,SUMIFS(Action_Log!$F:$F,Action_Log!$A:$A,$A53,Action_Log!$D:$D,"Cosmetic")+SUMIFS(Action_Log!$F:$F,Action_Log!$A:$A,$A53,Action_Log!$D:$D,"Commercial"))+SUMIFS(Action_Log!$F:$F,Action_Log!$A:$A,$A53,Action_Log!$D:$D,"Civic")+SUMIFS(Action_Log!$F:$F,Action_Log!$A:$A,$A53,Action_Log!$D:$D,"Financial")+SUMIFS(Action_Log!$F:$F,Action_Log!$A:$A,$A53,Action_Log!$D:$D,"Structural")</f>
        <v/>
      </c>
      <c r="I53" s="61">
        <f>SUMIFS(Action_Log!$F:$F,Action_Log!$A:$A,$A53,Action_Log!$E:$E,"Negative")</f>
        <v/>
      </c>
      <c r="J53" s="62">
        <f>MAX(0,MIN(100,50+H53+I53))</f>
        <v/>
      </c>
      <c r="K53" s="63">
        <f>IF(J53&gt;=80,"Champion",IF(J53&gt;=65,"Ally",IF(J53&gt;=50,"Neutral",IF(J53&gt;=35,"Performative",IF(J53&gt;=20,"Harmful","Adversarial")))))</f>
        <v/>
      </c>
      <c r="L53" s="58" t="inlineStr">
        <is>
          <t>No</t>
        </is>
      </c>
      <c r="M53" s="58" t="inlineStr">
        <is>
          <t>No</t>
        </is>
      </c>
      <c r="N53" s="58" t="inlineStr">
        <is>
          <t>No</t>
        </is>
      </c>
      <c r="O53" s="58" t="inlineStr">
        <is>
          <t>No</t>
        </is>
      </c>
      <c r="P53" s="58" t="inlineStr">
        <is>
          <t>No</t>
        </is>
      </c>
      <c r="Q53" s="59" t="inlineStr">
        <is>
          <t>Runs NBC Out (a dedicated LGBTQ+ news vertical) and OUT@NBCU ERG; parent Comcast drew an FCC DEI probe in Feb 2025 and pulled SF Pride sponsorship. NBCU's own programs persist.</t>
        </is>
      </c>
    </row>
    <row r="54" ht="15" customHeight="1" s="42">
      <c r="A54" s="50" t="inlineStr">
        <is>
          <t>Paramount Global</t>
        </is>
      </c>
      <c r="B54" s="51" t="inlineStr">
        <is>
          <t>PARA</t>
        </is>
      </c>
      <c r="C54" s="52" t="inlineStr">
        <is>
          <t>Media &amp; Entertainment</t>
        </is>
      </c>
      <c r="D54" s="51" t="n">
        <v>29.2</v>
      </c>
      <c r="E54" s="51" t="n">
        <v>100</v>
      </c>
      <c r="F54" s="51" t="n">
        <v>2024</v>
      </c>
      <c r="G54" s="51" t="inlineStr">
        <is>
          <t>No</t>
        </is>
      </c>
      <c r="H54" s="53">
        <f>MIN(20,SUMIFS(Action_Log!$F:$F,Action_Log!$A:$A,$A54,Action_Log!$D:$D,"Cosmetic")+SUMIFS(Action_Log!$F:$F,Action_Log!$A:$A,$A54,Action_Log!$D:$D,"Commercial"))+SUMIFS(Action_Log!$F:$F,Action_Log!$A:$A,$A54,Action_Log!$D:$D,"Civic")+SUMIFS(Action_Log!$F:$F,Action_Log!$A:$A,$A54,Action_Log!$D:$D,"Financial")+SUMIFS(Action_Log!$F:$F,Action_Log!$A:$A,$A54,Action_Log!$D:$D,"Structural")</f>
        <v/>
      </c>
      <c r="I54" s="54">
        <f>SUMIFS(Action_Log!$F:$F,Action_Log!$A:$A,$A54,Action_Log!$E:$E,"Negative")</f>
        <v/>
      </c>
      <c r="J54" s="55">
        <f>MAX(0,MIN(100,50+H54+I54))</f>
        <v/>
      </c>
      <c r="K54" s="56">
        <f>IF(J54&gt;=80,"Champion",IF(J54&gt;=65,"Ally",IF(J54&gt;=50,"Neutral",IF(J54&gt;=35,"Performative",IF(J54&gt;=20,"Harmful","Adversarial")))))</f>
        <v/>
      </c>
      <c r="L54" s="51" t="inlineStr">
        <is>
          <t>Yes</t>
        </is>
      </c>
      <c r="M54" s="51" t="inlineStr">
        <is>
          <t>Yes</t>
        </is>
      </c>
      <c r="N54" s="51" t="inlineStr">
        <is>
          <t>No</t>
        </is>
      </c>
      <c r="O54" s="51" t="inlineStr">
        <is>
          <t>No</t>
        </is>
      </c>
      <c r="P54" s="51" t="inlineStr">
        <is>
          <t>No</t>
        </is>
      </c>
      <c r="Q54" s="52" t="inlineStr">
        <is>
          <t>Ended numerical DEI hiring goals and applicant demographic collection in Feb 2025 — announced by its two openly gay co-CEOs — as FCC chairman Carr threatened to block the Skydance merger over DEI. Logo TV/MTV queer legacy notwithstanding.</t>
        </is>
      </c>
    </row>
    <row r="55" ht="15" customHeight="1" s="42">
      <c r="A55" s="57" t="inlineStr">
        <is>
          <t>Spotify</t>
        </is>
      </c>
      <c r="B55" s="58" t="inlineStr">
        <is>
          <t>SPOT</t>
        </is>
      </c>
      <c r="C55" s="59" t="inlineStr">
        <is>
          <t>Media &amp; Entertainment</t>
        </is>
      </c>
      <c r="D55" s="58" t="n">
        <v>16</v>
      </c>
      <c r="E55" s="58" t="inlineStr">
        <is>
          <t>Not rated</t>
        </is>
      </c>
      <c r="F55" s="58" t="inlineStr">
        <is>
          <t>—</t>
        </is>
      </c>
      <c r="G55" s="58" t="inlineStr">
        <is>
          <t>Never</t>
        </is>
      </c>
      <c r="H55" s="60">
        <f>MIN(20,SUMIFS(Action_Log!$F:$F,Action_Log!$A:$A,$A55,Action_Log!$D:$D,"Cosmetic")+SUMIFS(Action_Log!$F:$F,Action_Log!$A:$A,$A55,Action_Log!$D:$D,"Commercial"))+SUMIFS(Action_Log!$F:$F,Action_Log!$A:$A,$A55,Action_Log!$D:$D,"Civic")+SUMIFS(Action_Log!$F:$F,Action_Log!$A:$A,$A55,Action_Log!$D:$D,"Financial")+SUMIFS(Action_Log!$F:$F,Action_Log!$A:$A,$A55,Action_Log!$D:$D,"Structural")</f>
        <v/>
      </c>
      <c r="I55" s="61">
        <f>SUMIFS(Action_Log!$F:$F,Action_Log!$A:$A,$A55,Action_Log!$E:$E,"Negative")</f>
        <v/>
      </c>
      <c r="J55" s="62">
        <f>MAX(0,MIN(100,50+H55+I55))</f>
        <v/>
      </c>
      <c r="K55" s="63">
        <f>IF(J55&gt;=80,"Champion",IF(J55&gt;=65,"Ally",IF(J55&gt;=50,"Neutral",IF(J55&gt;=35,"Performative",IF(J55&gt;=20,"Harmful","Adversarial")))))</f>
        <v/>
      </c>
      <c r="L55" s="58" t="inlineStr">
        <is>
          <t>No</t>
        </is>
      </c>
      <c r="M55" s="58" t="inlineStr">
        <is>
          <t>No</t>
        </is>
      </c>
      <c r="N55" s="58" t="inlineStr">
        <is>
          <t>No</t>
        </is>
      </c>
      <c r="O55" s="58" t="inlineStr">
        <is>
          <t>No</t>
        </is>
      </c>
      <c r="P55" s="58" t="inlineStr">
        <is>
          <t>No</t>
        </is>
      </c>
      <c r="Q55" s="59" t="inlineStr">
        <is>
          <t>Annual Pride hubs/playlists and queer-artist campaigns, against the standing criticism that it platforms and pays for anti-trans content (Joe Rogan deal). Branding outweighs structural commitment.</t>
        </is>
      </c>
    </row>
    <row r="56" ht="15" customHeight="1" s="42">
      <c r="A56" s="50" t="inlineStr">
        <is>
          <t>Live Nation</t>
        </is>
      </c>
      <c r="B56" s="51" t="inlineStr">
        <is>
          <t>LYV</t>
        </is>
      </c>
      <c r="C56" s="52" t="inlineStr">
        <is>
          <t>Media &amp; Entertainment</t>
        </is>
      </c>
      <c r="D56" s="51" t="n">
        <v>23.2</v>
      </c>
      <c r="E56" s="51" t="inlineStr">
        <is>
          <t>Not rated</t>
        </is>
      </c>
      <c r="F56" s="51" t="inlineStr">
        <is>
          <t>—</t>
        </is>
      </c>
      <c r="G56" s="51" t="inlineStr">
        <is>
          <t>Never</t>
        </is>
      </c>
      <c r="H56" s="53">
        <f>MIN(20,SUMIFS(Action_Log!$F:$F,Action_Log!$A:$A,$A56,Action_Log!$D:$D,"Cosmetic")+SUMIFS(Action_Log!$F:$F,Action_Log!$A:$A,$A56,Action_Log!$D:$D,"Commercial"))+SUMIFS(Action_Log!$F:$F,Action_Log!$A:$A,$A56,Action_Log!$D:$D,"Civic")+SUMIFS(Action_Log!$F:$F,Action_Log!$A:$A,$A56,Action_Log!$D:$D,"Financial")+SUMIFS(Action_Log!$F:$F,Action_Log!$A:$A,$A56,Action_Log!$D:$D,"Structural")</f>
        <v/>
      </c>
      <c r="I56" s="54">
        <f>SUMIFS(Action_Log!$F:$F,Action_Log!$A:$A,$A56,Action_Log!$E:$E,"Negative")</f>
        <v/>
      </c>
      <c r="J56" s="55">
        <f>MAX(0,MIN(100,50+H56+I56))</f>
        <v/>
      </c>
      <c r="K56" s="56">
        <f>IF(J56&gt;=80,"Champion",IF(J56&gt;=65,"Ally",IF(J56&gt;=50,"Neutral",IF(J56&gt;=35,"Performative",IF(J56&gt;=20,"Harmful","Adversarial")))))</f>
        <v/>
      </c>
      <c r="L56" s="51" t="inlineStr">
        <is>
          <t>No</t>
        </is>
      </c>
      <c r="M56" s="51" t="inlineStr">
        <is>
          <t>No</t>
        </is>
      </c>
      <c r="N56" s="51" t="inlineStr">
        <is>
          <t>No</t>
        </is>
      </c>
      <c r="O56" s="51" t="inlineStr">
        <is>
          <t>No</t>
        </is>
      </c>
      <c r="P56" s="51" t="inlineStr">
        <is>
          <t>No</t>
        </is>
      </c>
      <c r="Q56" s="52" t="inlineStr">
        <is>
          <t>Produces and sponsors Pride-season concerts and festivals and benefits commercially from LGBTQ+ artists; little structural policy visibility either way.</t>
        </is>
      </c>
    </row>
    <row r="57" ht="15" customHeight="1" s="42">
      <c r="A57" s="57" t="inlineStr">
        <is>
          <t>General Motors</t>
        </is>
      </c>
      <c r="B57" s="58" t="inlineStr">
        <is>
          <t>GM</t>
        </is>
      </c>
      <c r="C57" s="59" t="inlineStr">
        <is>
          <t>Automotive</t>
        </is>
      </c>
      <c r="D57" s="58" t="n">
        <v>187.4</v>
      </c>
      <c r="E57" s="58" t="n">
        <v>100</v>
      </c>
      <c r="F57" s="58" t="n">
        <v>2024</v>
      </c>
      <c r="G57" s="58" t="inlineStr">
        <is>
          <t>No</t>
        </is>
      </c>
      <c r="H57" s="60">
        <f>MIN(20,SUMIFS(Action_Log!$F:$F,Action_Log!$A:$A,$A57,Action_Log!$D:$D,"Cosmetic")+SUMIFS(Action_Log!$F:$F,Action_Log!$A:$A,$A57,Action_Log!$D:$D,"Commercial"))+SUMIFS(Action_Log!$F:$F,Action_Log!$A:$A,$A57,Action_Log!$D:$D,"Civic")+SUMIFS(Action_Log!$F:$F,Action_Log!$A:$A,$A57,Action_Log!$D:$D,"Financial")+SUMIFS(Action_Log!$F:$F,Action_Log!$A:$A,$A57,Action_Log!$D:$D,"Structural")</f>
        <v/>
      </c>
      <c r="I57" s="61">
        <f>SUMIFS(Action_Log!$F:$F,Action_Log!$A:$A,$A57,Action_Log!$E:$E,"Negative")</f>
        <v/>
      </c>
      <c r="J57" s="62">
        <f>MAX(0,MIN(100,50+H57+I57))</f>
        <v/>
      </c>
      <c r="K57" s="63">
        <f>IF(J57&gt;=80,"Champion",IF(J57&gt;=65,"Ally",IF(J57&gt;=50,"Neutral",IF(J57&gt;=35,"Performative",IF(J57&gt;=20,"Harmful","Adversarial")))))</f>
        <v/>
      </c>
      <c r="L57" s="58" t="inlineStr">
        <is>
          <t>Yes</t>
        </is>
      </c>
      <c r="M57" s="58" t="inlineStr">
        <is>
          <t>Yes</t>
        </is>
      </c>
      <c r="N57" s="58" t="inlineStr">
        <is>
          <t>No</t>
        </is>
      </c>
      <c r="O57" s="58" t="inlineStr">
        <is>
          <t>No</t>
        </is>
      </c>
      <c r="P57" s="58" t="inlineStr">
        <is>
          <t>No</t>
        </is>
      </c>
      <c r="Q57" s="59" t="inlineStr">
        <is>
          <t>Dropped DEI references from its 2025 annual filing in the sector-wide retreat; GM PLUS ERG and inclusive benefits persist. Quieter on Pride than peers in both directions. Documented anti-LGBTQ+ political giving lowers the score (-30); see Political_Donations sheet.</t>
        </is>
      </c>
    </row>
    <row r="58" ht="15" customHeight="1" s="42">
      <c r="A58" s="50" t="inlineStr">
        <is>
          <t>Ford</t>
        </is>
      </c>
      <c r="B58" s="51" t="inlineStr">
        <is>
          <t>F</t>
        </is>
      </c>
      <c r="C58" s="52" t="inlineStr">
        <is>
          <t>Automotive</t>
        </is>
      </c>
      <c r="D58" s="51" t="n">
        <v>185</v>
      </c>
      <c r="E58" s="51" t="n">
        <v>75</v>
      </c>
      <c r="F58" s="51" t="n">
        <v>2025</v>
      </c>
      <c r="G58" s="51" t="inlineStr">
        <is>
          <t>No</t>
        </is>
      </c>
      <c r="H58" s="53">
        <f>MIN(20,SUMIFS(Action_Log!$F:$F,Action_Log!$A:$A,$A58,Action_Log!$D:$D,"Cosmetic")+SUMIFS(Action_Log!$F:$F,Action_Log!$A:$A,$A58,Action_Log!$D:$D,"Commercial"))+SUMIFS(Action_Log!$F:$F,Action_Log!$A:$A,$A58,Action_Log!$D:$D,"Civic")+SUMIFS(Action_Log!$F:$F,Action_Log!$A:$A,$A58,Action_Log!$D:$D,"Financial")+SUMIFS(Action_Log!$F:$F,Action_Log!$A:$A,$A58,Action_Log!$D:$D,"Structural")</f>
        <v/>
      </c>
      <c r="I58" s="54">
        <f>SUMIFS(Action_Log!$F:$F,Action_Log!$A:$A,$A58,Action_Log!$E:$E,"Negative")</f>
        <v/>
      </c>
      <c r="J58" s="55">
        <f>MAX(0,MIN(100,50+H58+I58))</f>
        <v/>
      </c>
      <c r="K58" s="56">
        <f>IF(J58&gt;=80,"Champion",IF(J58&gt;=65,"Ally",IF(J58&gt;=50,"Neutral",IF(J58&gt;=35,"Performative",IF(J58&gt;=20,"Harmful","Adversarial")))))</f>
        <v/>
      </c>
      <c r="L58" s="51" t="inlineStr">
        <is>
          <t>No</t>
        </is>
      </c>
      <c r="M58" s="51" t="inlineStr">
        <is>
          <t>Yes</t>
        </is>
      </c>
      <c r="N58" s="51" t="inlineStr">
        <is>
          <t>No</t>
        </is>
      </c>
      <c r="O58" s="51" t="inlineStr">
        <is>
          <t>No</t>
        </is>
      </c>
      <c r="P58" s="51" t="inlineStr">
        <is>
          <t>No</t>
        </is>
      </c>
      <c r="Q58" s="52" t="inlineStr">
        <is>
          <t>Aug 2024: quit the HRC CEI after 20+ years of top scores and pulled back from 'external culture surveys' under the Starbuck campaign — one of seven companies HRC formally docked -25. GLOBE ERG survives. Reversal predates Jan 2025 but defines the record.</t>
        </is>
      </c>
    </row>
    <row r="59" ht="15" customHeight="1" s="42">
      <c r="A59" s="57" t="inlineStr">
        <is>
          <t>Tesla</t>
        </is>
      </c>
      <c r="B59" s="58" t="inlineStr">
        <is>
          <t>TSLA</t>
        </is>
      </c>
      <c r="C59" s="59" t="inlineStr">
        <is>
          <t>Automotive</t>
        </is>
      </c>
      <c r="D59" s="58" t="n">
        <v>97.7</v>
      </c>
      <c r="E59" s="58" t="inlineStr">
        <is>
          <t>Not rated</t>
        </is>
      </c>
      <c r="F59" s="58" t="inlineStr">
        <is>
          <t>—</t>
        </is>
      </c>
      <c r="G59" s="58" t="inlineStr">
        <is>
          <t>Never</t>
        </is>
      </c>
      <c r="H59" s="60">
        <f>MIN(20,SUMIFS(Action_Log!$F:$F,Action_Log!$A:$A,$A59,Action_Log!$D:$D,"Cosmetic")+SUMIFS(Action_Log!$F:$F,Action_Log!$A:$A,$A59,Action_Log!$D:$D,"Commercial"))+SUMIFS(Action_Log!$F:$F,Action_Log!$A:$A,$A59,Action_Log!$D:$D,"Civic")+SUMIFS(Action_Log!$F:$F,Action_Log!$A:$A,$A59,Action_Log!$D:$D,"Financial")+SUMIFS(Action_Log!$F:$F,Action_Log!$A:$A,$A59,Action_Log!$D:$D,"Structural")</f>
        <v/>
      </c>
      <c r="I59" s="61">
        <f>SUMIFS(Action_Log!$F:$F,Action_Log!$A:$A,$A59,Action_Log!$E:$E,"Negative")</f>
        <v/>
      </c>
      <c r="J59" s="62">
        <f>MAX(0,MIN(100,50+H59+I59))</f>
        <v/>
      </c>
      <c r="K59" s="63">
        <f>IF(J59&gt;=80,"Champion",IF(J59&gt;=65,"Ally",IF(J59&gt;=50,"Neutral",IF(J59&gt;=35,"Performative",IF(J59&gt;=20,"Harmful","Adversarial")))))</f>
        <v/>
      </c>
      <c r="L59" s="58" t="inlineStr">
        <is>
          <t>No</t>
        </is>
      </c>
      <c r="M59" s="58" t="inlineStr">
        <is>
          <t>No</t>
        </is>
      </c>
      <c r="N59" s="58" t="inlineStr">
        <is>
          <t>No</t>
        </is>
      </c>
      <c r="O59" s="58" t="inlineStr">
        <is>
          <t>Yes</t>
        </is>
      </c>
      <c r="P59" s="58" t="inlineStr">
        <is>
          <t>No</t>
        </is>
      </c>
      <c r="Q59" s="59" t="inlineStr">
        <is>
          <t>First mover in the DEI scrub (removed from 10-K in 2024 filing season under Musk, an outspoken DEI and 'cisgender'-slur critic with documented anti-trans rhetoric). No Pride support record at any point.</t>
        </is>
      </c>
    </row>
    <row r="60" ht="15" customHeight="1" s="42">
      <c r="A60" s="50" t="inlineStr">
        <is>
          <t>Toyota USA</t>
        </is>
      </c>
      <c r="B60" s="51" t="inlineStr">
        <is>
          <t>TM</t>
        </is>
      </c>
      <c r="C60" s="52" t="inlineStr">
        <is>
          <t>Automotive</t>
        </is>
      </c>
      <c r="D60" s="51" t="n">
        <v>307</v>
      </c>
      <c r="E60" s="51" t="n">
        <v>100</v>
      </c>
      <c r="F60" s="51" t="n">
        <v>2024</v>
      </c>
      <c r="G60" s="51" t="inlineStr">
        <is>
          <t>No</t>
        </is>
      </c>
      <c r="H60" s="53">
        <f>MIN(20,SUMIFS(Action_Log!$F:$F,Action_Log!$A:$A,$A60,Action_Log!$D:$D,"Cosmetic")+SUMIFS(Action_Log!$F:$F,Action_Log!$A:$A,$A60,Action_Log!$D:$D,"Commercial"))+SUMIFS(Action_Log!$F:$F,Action_Log!$A:$A,$A60,Action_Log!$D:$D,"Civic")+SUMIFS(Action_Log!$F:$F,Action_Log!$A:$A,$A60,Action_Log!$D:$D,"Financial")+SUMIFS(Action_Log!$F:$F,Action_Log!$A:$A,$A60,Action_Log!$D:$D,"Structural")</f>
        <v/>
      </c>
      <c r="I60" s="54">
        <f>SUMIFS(Action_Log!$F:$F,Action_Log!$A:$A,$A60,Action_Log!$E:$E,"Negative")</f>
        <v/>
      </c>
      <c r="J60" s="55">
        <f>MAX(0,MIN(100,50+H60+I60))</f>
        <v/>
      </c>
      <c r="K60" s="56">
        <f>IF(J60&gt;=80,"Champion",IF(J60&gt;=65,"Ally",IF(J60&gt;=50,"Neutral",IF(J60&gt;=35,"Performative",IF(J60&gt;=20,"Harmful","Adversarial")))))</f>
        <v/>
      </c>
      <c r="L60" s="51" t="inlineStr">
        <is>
          <t>No</t>
        </is>
      </c>
      <c r="M60" s="51" t="inlineStr">
        <is>
          <t>Yes</t>
        </is>
      </c>
      <c r="N60" s="51" t="inlineStr">
        <is>
          <t>No</t>
        </is>
      </c>
      <c r="O60" s="51" t="inlineStr">
        <is>
          <t>No</t>
        </is>
      </c>
      <c r="P60" s="51" t="inlineStr">
        <is>
          <t>No</t>
        </is>
      </c>
      <c r="Q60" s="52" t="inlineStr">
        <is>
          <t>Oct 2024 Starbuck-campaign capitulation: ended sponsorship of LGBTQ+ events, quit the HRC CEI, and narrowed ERGs to 'professional development' — after years of CEI 100s and visible Pride sponsorship. Documented anti-LGBTQ+ political giving lowers the score (-30); see Political_Donations sheet.</t>
        </is>
      </c>
    </row>
    <row r="61" ht="15" customHeight="1" s="42">
      <c r="A61" s="57" t="inlineStr">
        <is>
          <t>Honda USA</t>
        </is>
      </c>
      <c r="B61" s="58" t="inlineStr">
        <is>
          <t>HMC</t>
        </is>
      </c>
      <c r="C61" s="59" t="inlineStr">
        <is>
          <t>Automotive</t>
        </is>
      </c>
      <c r="D61" s="58" t="n">
        <v>138</v>
      </c>
      <c r="E61" s="58" t="n">
        <v>100</v>
      </c>
      <c r="F61" s="58" t="n">
        <v>2024</v>
      </c>
      <c r="G61" s="58" t="inlineStr">
        <is>
          <t>Yes</t>
        </is>
      </c>
      <c r="H61" s="60">
        <f>MIN(20,SUMIFS(Action_Log!$F:$F,Action_Log!$A:$A,$A61,Action_Log!$D:$D,"Cosmetic")+SUMIFS(Action_Log!$F:$F,Action_Log!$A:$A,$A61,Action_Log!$D:$D,"Commercial"))+SUMIFS(Action_Log!$F:$F,Action_Log!$A:$A,$A61,Action_Log!$D:$D,"Civic")+SUMIFS(Action_Log!$F:$F,Action_Log!$A:$A,$A61,Action_Log!$D:$D,"Financial")+SUMIFS(Action_Log!$F:$F,Action_Log!$A:$A,$A61,Action_Log!$D:$D,"Structural")</f>
        <v/>
      </c>
      <c r="I61" s="61">
        <f>SUMIFS(Action_Log!$F:$F,Action_Log!$A:$A,$A61,Action_Log!$E:$E,"Negative")</f>
        <v/>
      </c>
      <c r="J61" s="62">
        <f>MAX(0,MIN(100,50+H61+I61))</f>
        <v/>
      </c>
      <c r="K61" s="63">
        <f>IF(J61&gt;=80,"Champion",IF(J61&gt;=65,"Ally",IF(J61&gt;=50,"Neutral",IF(J61&gt;=35,"Performative",IF(J61&gt;=20,"Harmful","Adversarial")))))</f>
        <v/>
      </c>
      <c r="L61" s="58" t="inlineStr">
        <is>
          <t>No</t>
        </is>
      </c>
      <c r="M61" s="58" t="inlineStr">
        <is>
          <t>No</t>
        </is>
      </c>
      <c r="N61" s="58" t="inlineStr">
        <is>
          <t>No</t>
        </is>
      </c>
      <c r="O61" s="58" t="inlineStr">
        <is>
          <t>No</t>
        </is>
      </c>
      <c r="P61" s="58" t="inlineStr">
        <is>
          <t>No</t>
        </is>
      </c>
      <c r="Q61" s="59" t="inlineStr">
        <is>
          <t>Quiet steadiness: CEI 100 record and ERG support maintained; absent from rollback lists and from Pride headlines alike.</t>
        </is>
      </c>
    </row>
    <row r="62" ht="15" customHeight="1" s="42">
      <c r="A62" s="50" t="inlineStr">
        <is>
          <t>Stellantis</t>
        </is>
      </c>
      <c r="B62" s="51" t="inlineStr">
        <is>
          <t>STLA</t>
        </is>
      </c>
      <c r="C62" s="52" t="inlineStr">
        <is>
          <t>Automotive</t>
        </is>
      </c>
      <c r="D62" s="51" t="n">
        <v>170</v>
      </c>
      <c r="E62" s="51" t="n">
        <v>100</v>
      </c>
      <c r="F62" s="51" t="n">
        <v>2024</v>
      </c>
      <c r="G62" s="51" t="inlineStr">
        <is>
          <t>No</t>
        </is>
      </c>
      <c r="H62" s="53">
        <f>MIN(20,SUMIFS(Action_Log!$F:$F,Action_Log!$A:$A,$A62,Action_Log!$D:$D,"Cosmetic")+SUMIFS(Action_Log!$F:$F,Action_Log!$A:$A,$A62,Action_Log!$D:$D,"Commercial"))+SUMIFS(Action_Log!$F:$F,Action_Log!$A:$A,$A62,Action_Log!$D:$D,"Civic")+SUMIFS(Action_Log!$F:$F,Action_Log!$A:$A,$A62,Action_Log!$D:$D,"Financial")+SUMIFS(Action_Log!$F:$F,Action_Log!$A:$A,$A62,Action_Log!$D:$D,"Structural")</f>
        <v/>
      </c>
      <c r="I62" s="54">
        <f>SUMIFS(Action_Log!$F:$F,Action_Log!$A:$A,$A62,Action_Log!$E:$E,"Negative")</f>
        <v/>
      </c>
      <c r="J62" s="55">
        <f>MAX(0,MIN(100,50+H62+I62))</f>
        <v/>
      </c>
      <c r="K62" s="56">
        <f>IF(J62&gt;=80,"Champion",IF(J62&gt;=65,"Ally",IF(J62&gt;=50,"Neutral",IF(J62&gt;=35,"Performative",IF(J62&gt;=20,"Harmful","Adversarial")))))</f>
        <v/>
      </c>
      <c r="L62" s="51" t="inlineStr">
        <is>
          <t>No</t>
        </is>
      </c>
      <c r="M62" s="51" t="inlineStr">
        <is>
          <t>No</t>
        </is>
      </c>
      <c r="N62" s="51" t="inlineStr">
        <is>
          <t>No</t>
        </is>
      </c>
      <c r="O62" s="51" t="inlineStr">
        <is>
          <t>No</t>
        </is>
      </c>
      <c r="P62" s="51" t="inlineStr">
        <is>
          <t>No</t>
        </is>
      </c>
      <c r="Q62" s="52" t="inlineStr">
        <is>
          <t>Minimal distinct US Pride engagement; no major documented reversal. Jeep's occasional Pride nods aside, the record is thin in both directions.</t>
        </is>
      </c>
    </row>
    <row r="63" ht="15" customHeight="1" s="42">
      <c r="A63" s="57" t="inlineStr">
        <is>
          <t>CVS Health</t>
        </is>
      </c>
      <c r="B63" s="58" t="inlineStr">
        <is>
          <t>CVS</t>
        </is>
      </c>
      <c r="C63" s="59" t="inlineStr">
        <is>
          <t>Healthcare &amp; Pharma</t>
        </is>
      </c>
      <c r="D63" s="58" t="n">
        <v>372.8</v>
      </c>
      <c r="E63" s="58" t="n">
        <v>100</v>
      </c>
      <c r="F63" s="58" t="n">
        <v>2024</v>
      </c>
      <c r="G63" s="58" t="inlineStr">
        <is>
          <t>Yes</t>
        </is>
      </c>
      <c r="H63" s="60">
        <f>MIN(20,SUMIFS(Action_Log!$F:$F,Action_Log!$A:$A,$A63,Action_Log!$D:$D,"Cosmetic")+SUMIFS(Action_Log!$F:$F,Action_Log!$A:$A,$A63,Action_Log!$D:$D,"Commercial"))+SUMIFS(Action_Log!$F:$F,Action_Log!$A:$A,$A63,Action_Log!$D:$D,"Civic")+SUMIFS(Action_Log!$F:$F,Action_Log!$A:$A,$A63,Action_Log!$D:$D,"Financial")+SUMIFS(Action_Log!$F:$F,Action_Log!$A:$A,$A63,Action_Log!$D:$D,"Structural")</f>
        <v/>
      </c>
      <c r="I63" s="61">
        <f>SUMIFS(Action_Log!$F:$F,Action_Log!$A:$A,$A63,Action_Log!$E:$E,"Negative")</f>
        <v/>
      </c>
      <c r="J63" s="62">
        <f>MAX(0,MIN(100,50+H63+I63))</f>
        <v/>
      </c>
      <c r="K63" s="63">
        <f>IF(J63&gt;=80,"Champion",IF(J63&gt;=65,"Ally",IF(J63&gt;=50,"Neutral",IF(J63&gt;=35,"Performative",IF(J63&gt;=20,"Harmful","Adversarial")))))</f>
        <v/>
      </c>
      <c r="L63" s="58" t="inlineStr">
        <is>
          <t>No</t>
        </is>
      </c>
      <c r="M63" s="58" t="inlineStr">
        <is>
          <t>No</t>
        </is>
      </c>
      <c r="N63" s="58" t="inlineStr">
        <is>
          <t>No</t>
        </is>
      </c>
      <c r="O63" s="58" t="inlineStr">
        <is>
          <t>No</t>
        </is>
      </c>
      <c r="P63" s="58" t="inlineStr">
        <is>
          <t>No</t>
        </is>
      </c>
      <c r="Q63" s="59" t="inlineStr">
        <is>
          <t>Quiet holder: CEI 100 record, inclusive benefits and colleague resource groups maintained; absent from rollback lists. Low Pride-marketing profile. Documented anti-LGBTQ+ political giving lowers the score (-30); see Political_Donations sheet.</t>
        </is>
      </c>
    </row>
    <row r="64" ht="15" customHeight="1" s="42">
      <c r="A64" s="50" t="inlineStr">
        <is>
          <t>Walgreens</t>
        </is>
      </c>
      <c r="B64" s="51" t="inlineStr">
        <is>
          <t>WBA</t>
        </is>
      </c>
      <c r="C64" s="52" t="inlineStr">
        <is>
          <t>Healthcare &amp; Pharma</t>
        </is>
      </c>
      <c r="D64" s="51" t="n">
        <v>147.7</v>
      </c>
      <c r="E64" s="51" t="n">
        <v>100</v>
      </c>
      <c r="F64" s="51" t="n">
        <v>2024</v>
      </c>
      <c r="G64" s="51" t="inlineStr">
        <is>
          <t>No</t>
        </is>
      </c>
      <c r="H64" s="53">
        <f>MIN(20,SUMIFS(Action_Log!$F:$F,Action_Log!$A:$A,$A64,Action_Log!$D:$D,"Cosmetic")+SUMIFS(Action_Log!$F:$F,Action_Log!$A:$A,$A64,Action_Log!$D:$D,"Commercial"))+SUMIFS(Action_Log!$F:$F,Action_Log!$A:$A,$A64,Action_Log!$D:$D,"Civic")+SUMIFS(Action_Log!$F:$F,Action_Log!$A:$A,$A64,Action_Log!$D:$D,"Financial")+SUMIFS(Action_Log!$F:$F,Action_Log!$A:$A,$A64,Action_Log!$D:$D,"Structural")</f>
        <v/>
      </c>
      <c r="I64" s="54">
        <f>SUMIFS(Action_Log!$F:$F,Action_Log!$A:$A,$A64,Action_Log!$E:$E,"Negative")</f>
        <v/>
      </c>
      <c r="J64" s="55">
        <f>MAX(0,MIN(100,50+H64+I64))</f>
        <v/>
      </c>
      <c r="K64" s="56">
        <f>IF(J64&gt;=80,"Champion",IF(J64&gt;=65,"Ally",IF(J64&gt;=50,"Neutral",IF(J64&gt;=35,"Performative",IF(J64&gt;=20,"Harmful","Adversarial")))))</f>
        <v/>
      </c>
      <c r="L64" s="51" t="inlineStr">
        <is>
          <t>No</t>
        </is>
      </c>
      <c r="M64" s="51" t="inlineStr">
        <is>
          <t>No</t>
        </is>
      </c>
      <c r="N64" s="51" t="inlineStr">
        <is>
          <t>No</t>
        </is>
      </c>
      <c r="O64" s="51" t="inlineStr">
        <is>
          <t>No</t>
        </is>
      </c>
      <c r="P64" s="51" t="inlineStr">
        <is>
          <t>No</t>
        </is>
      </c>
      <c r="Q64" s="52" t="inlineStr">
        <is>
          <t>CEI 100 history and inclusive benefits; corporate distress (store closures, take-private) has muted all cause engagement. No documented LGBTQ+ reversal.</t>
        </is>
      </c>
    </row>
    <row r="65" ht="15" customHeight="1" s="42">
      <c r="A65" s="57" t="inlineStr">
        <is>
          <t>Johnson &amp; Johnson</t>
        </is>
      </c>
      <c r="B65" s="58" t="inlineStr">
        <is>
          <t>JNJ</t>
        </is>
      </c>
      <c r="C65" s="59" t="inlineStr">
        <is>
          <t>Healthcare &amp; Pharma</t>
        </is>
      </c>
      <c r="D65" s="58" t="n">
        <v>88.8</v>
      </c>
      <c r="E65" s="58" t="n">
        <v>100</v>
      </c>
      <c r="F65" s="58" t="n">
        <v>2024</v>
      </c>
      <c r="G65" s="58" t="inlineStr">
        <is>
          <t>Yes</t>
        </is>
      </c>
      <c r="H65" s="60">
        <f>MIN(20,SUMIFS(Action_Log!$F:$F,Action_Log!$A:$A,$A65,Action_Log!$D:$D,"Cosmetic")+SUMIFS(Action_Log!$F:$F,Action_Log!$A:$A,$A65,Action_Log!$D:$D,"Commercial"))+SUMIFS(Action_Log!$F:$F,Action_Log!$A:$A,$A65,Action_Log!$D:$D,"Civic")+SUMIFS(Action_Log!$F:$F,Action_Log!$A:$A,$A65,Action_Log!$D:$D,"Financial")+SUMIFS(Action_Log!$F:$F,Action_Log!$A:$A,$A65,Action_Log!$D:$D,"Structural")</f>
        <v/>
      </c>
      <c r="I65" s="61">
        <f>SUMIFS(Action_Log!$F:$F,Action_Log!$A:$A,$A65,Action_Log!$E:$E,"Negative")</f>
        <v/>
      </c>
      <c r="J65" s="62">
        <f>MAX(0,MIN(100,50+H65+I65))</f>
        <v/>
      </c>
      <c r="K65" s="63">
        <f>IF(J65&gt;=80,"Champion",IF(J65&gt;=65,"Ally",IF(J65&gt;=50,"Neutral",IF(J65&gt;=35,"Performative",IF(J65&gt;=20,"Harmful","Adversarial")))))</f>
        <v/>
      </c>
      <c r="L65" s="58" t="inlineStr">
        <is>
          <t>No</t>
        </is>
      </c>
      <c r="M65" s="58" t="inlineStr">
        <is>
          <t>No</t>
        </is>
      </c>
      <c r="N65" s="58" t="inlineStr">
        <is>
          <t>No</t>
        </is>
      </c>
      <c r="O65" s="58" t="inlineStr">
        <is>
          <t>No</t>
        </is>
      </c>
      <c r="P65" s="58" t="inlineStr">
        <is>
          <t>No</t>
        </is>
      </c>
      <c r="Q65" s="59" t="inlineStr">
        <is>
          <t>Maintained Open&amp;Out ERG and inclusive benefits; softened some DEI language in 2025 filings like most of pharma, but no programmatic LGBTQ+ retreat documented.</t>
        </is>
      </c>
    </row>
    <row r="66" ht="15" customHeight="1" s="42">
      <c r="A66" s="50" t="inlineStr">
        <is>
          <t>Pfizer</t>
        </is>
      </c>
      <c r="B66" s="51" t="inlineStr">
        <is>
          <t>PFE</t>
        </is>
      </c>
      <c r="C66" s="52" t="inlineStr">
        <is>
          <t>Healthcare &amp; Pharma</t>
        </is>
      </c>
      <c r="D66" s="51" t="n">
        <v>63.6</v>
      </c>
      <c r="E66" s="51" t="n">
        <v>100</v>
      </c>
      <c r="F66" s="51" t="n">
        <v>2024</v>
      </c>
      <c r="G66" s="51" t="inlineStr">
        <is>
          <t>Yes</t>
        </is>
      </c>
      <c r="H66" s="53">
        <f>MIN(20,SUMIFS(Action_Log!$F:$F,Action_Log!$A:$A,$A66,Action_Log!$D:$D,"Cosmetic")+SUMIFS(Action_Log!$F:$F,Action_Log!$A:$A,$A66,Action_Log!$D:$D,"Commercial"))+SUMIFS(Action_Log!$F:$F,Action_Log!$A:$A,$A66,Action_Log!$D:$D,"Civic")+SUMIFS(Action_Log!$F:$F,Action_Log!$A:$A,$A66,Action_Log!$D:$D,"Financial")+SUMIFS(Action_Log!$F:$F,Action_Log!$A:$A,$A66,Action_Log!$D:$D,"Structural")</f>
        <v/>
      </c>
      <c r="I66" s="54">
        <f>SUMIFS(Action_Log!$F:$F,Action_Log!$A:$A,$A66,Action_Log!$E:$E,"Negative")</f>
        <v/>
      </c>
      <c r="J66" s="55">
        <f>MAX(0,MIN(100,50+H66+I66))</f>
        <v/>
      </c>
      <c r="K66" s="56">
        <f>IF(J66&gt;=80,"Champion",IF(J66&gt;=65,"Ally",IF(J66&gt;=50,"Neutral",IF(J66&gt;=35,"Performative",IF(J66&gt;=20,"Harmful","Adversarial")))))</f>
        <v/>
      </c>
      <c r="L66" s="51" t="inlineStr">
        <is>
          <t>No</t>
        </is>
      </c>
      <c r="M66" s="51" t="inlineStr">
        <is>
          <t>No</t>
        </is>
      </c>
      <c r="N66" s="51" t="inlineStr">
        <is>
          <t>No</t>
        </is>
      </c>
      <c r="O66" s="51" t="inlineStr">
        <is>
          <t>No</t>
        </is>
      </c>
      <c r="P66" s="51" t="inlineStr">
        <is>
          <t>No</t>
        </is>
      </c>
      <c r="Q66" s="52" t="inlineStr">
        <is>
          <t>Targeted by anti-DEI activists but kept its OPEN ERG, inclusive benefits and CEI engagement. No documented LGBTQ+ rollback. Documented anti-LGBTQ+ political giving lowers the score (-30); see Political_Donations sheet.</t>
        </is>
      </c>
    </row>
    <row r="67" ht="15" customHeight="1" s="42">
      <c r="A67" s="57" t="inlineStr">
        <is>
          <t>UnitedHealth Group</t>
        </is>
      </c>
      <c r="B67" s="58" t="inlineStr">
        <is>
          <t>UNH</t>
        </is>
      </c>
      <c r="C67" s="59" t="inlineStr">
        <is>
          <t>Healthcare &amp; Pharma</t>
        </is>
      </c>
      <c r="D67" s="58" t="n">
        <v>400.3</v>
      </c>
      <c r="E67" s="58" t="n">
        <v>100</v>
      </c>
      <c r="F67" s="58" t="n">
        <v>2024</v>
      </c>
      <c r="G67" s="58" t="inlineStr">
        <is>
          <t>No</t>
        </is>
      </c>
      <c r="H67" s="60">
        <f>MIN(20,SUMIFS(Action_Log!$F:$F,Action_Log!$A:$A,$A67,Action_Log!$D:$D,"Cosmetic")+SUMIFS(Action_Log!$F:$F,Action_Log!$A:$A,$A67,Action_Log!$D:$D,"Commercial"))+SUMIFS(Action_Log!$F:$F,Action_Log!$A:$A,$A67,Action_Log!$D:$D,"Civic")+SUMIFS(Action_Log!$F:$F,Action_Log!$A:$A,$A67,Action_Log!$D:$D,"Financial")+SUMIFS(Action_Log!$F:$F,Action_Log!$A:$A,$A67,Action_Log!$D:$D,"Structural")</f>
        <v/>
      </c>
      <c r="I67" s="61">
        <f>SUMIFS(Action_Log!$F:$F,Action_Log!$A:$A,$A67,Action_Log!$E:$E,"Negative")</f>
        <v/>
      </c>
      <c r="J67" s="62">
        <f>MAX(0,MIN(100,50+H67+I67))</f>
        <v/>
      </c>
      <c r="K67" s="63">
        <f>IF(J67&gt;=80,"Champion",IF(J67&gt;=65,"Ally",IF(J67&gt;=50,"Neutral",IF(J67&gt;=35,"Performative",IF(J67&gt;=20,"Harmful","Adversarial")))))</f>
        <v/>
      </c>
      <c r="L67" s="58" t="inlineStr">
        <is>
          <t>Yes</t>
        </is>
      </c>
      <c r="M67" s="58" t="inlineStr">
        <is>
          <t>Yes</t>
        </is>
      </c>
      <c r="N67" s="58" t="inlineStr">
        <is>
          <t>No</t>
        </is>
      </c>
      <c r="O67" s="58" t="inlineStr">
        <is>
          <t>No</t>
        </is>
      </c>
      <c r="P67" s="58" t="inlineStr">
        <is>
          <t>No</t>
        </is>
      </c>
      <c r="Q67" s="59" t="inlineStr">
        <is>
          <t>Scrubbed DEI mentions from much of its website in March 2025 — pages no longer load, a 2022 DEI blog post removed (TechCrunch). Benefits remain; the public commitment evaporated. Documented anti-LGBTQ+ political giving lowers the score (-30); see Political_Donations sheet.</t>
        </is>
      </c>
    </row>
    <row r="68" ht="15" customHeight="1" s="42">
      <c r="A68" s="50" t="inlineStr">
        <is>
          <t>Cigna</t>
        </is>
      </c>
      <c r="B68" s="51" t="inlineStr">
        <is>
          <t>CI</t>
        </is>
      </c>
      <c r="C68" s="52" t="inlineStr">
        <is>
          <t>Healthcare &amp; Pharma</t>
        </is>
      </c>
      <c r="D68" s="51" t="n">
        <v>247.1</v>
      </c>
      <c r="E68" s="51" t="n">
        <v>100</v>
      </c>
      <c r="F68" s="51" t="n">
        <v>2024</v>
      </c>
      <c r="G68" s="51" t="inlineStr">
        <is>
          <t>No</t>
        </is>
      </c>
      <c r="H68" s="53">
        <f>MIN(20,SUMIFS(Action_Log!$F:$F,Action_Log!$A:$A,$A68,Action_Log!$D:$D,"Cosmetic")+SUMIFS(Action_Log!$F:$F,Action_Log!$A:$A,$A68,Action_Log!$D:$D,"Commercial"))+SUMIFS(Action_Log!$F:$F,Action_Log!$A:$A,$A68,Action_Log!$D:$D,"Civic")+SUMIFS(Action_Log!$F:$F,Action_Log!$A:$A,$A68,Action_Log!$D:$D,"Financial")+SUMIFS(Action_Log!$F:$F,Action_Log!$A:$A,$A68,Action_Log!$D:$D,"Structural")</f>
        <v/>
      </c>
      <c r="I68" s="54">
        <f>SUMIFS(Action_Log!$F:$F,Action_Log!$A:$A,$A68,Action_Log!$E:$E,"Negative")</f>
        <v/>
      </c>
      <c r="J68" s="55">
        <f>MAX(0,MIN(100,50+H68+I68))</f>
        <v/>
      </c>
      <c r="K68" s="56">
        <f>IF(J68&gt;=80,"Champion",IF(J68&gt;=65,"Ally",IF(J68&gt;=50,"Neutral",IF(J68&gt;=35,"Performative",IF(J68&gt;=20,"Harmful","Adversarial")))))</f>
        <v/>
      </c>
      <c r="L68" s="51" t="inlineStr">
        <is>
          <t>Yes</t>
        </is>
      </c>
      <c r="M68" s="51" t="inlineStr">
        <is>
          <t>Yes</t>
        </is>
      </c>
      <c r="N68" s="51" t="inlineStr">
        <is>
          <t>No</t>
        </is>
      </c>
      <c r="O68" s="51" t="inlineStr">
        <is>
          <t>No</t>
        </is>
      </c>
      <c r="P68" s="51" t="inlineStr">
        <is>
          <t>No</t>
        </is>
      </c>
      <c r="Q68" s="52" t="inlineStr">
        <is>
          <t>Tucked DEI strategy changes into its 2025 annual report alongside UnitedHealth and Humana (Modern Healthcare) while keeping gender-affirming-care clinical resources public. A hedge, leaning retreat. Documented anti-LGBTQ+ political giving lowers the score (-30); see Political_Donations sheet.</t>
        </is>
      </c>
    </row>
    <row r="69" ht="15" customHeight="1" s="42">
      <c r="A69" s="57" t="inlineStr">
        <is>
          <t>Humana</t>
        </is>
      </c>
      <c r="B69" s="58" t="inlineStr">
        <is>
          <t>HUM</t>
        </is>
      </c>
      <c r="C69" s="59" t="inlineStr">
        <is>
          <t>Healthcare &amp; Pharma</t>
        </is>
      </c>
      <c r="D69" s="58" t="n">
        <v>117.8</v>
      </c>
      <c r="E69" s="58" t="n">
        <v>100</v>
      </c>
      <c r="F69" s="58" t="n">
        <v>2024</v>
      </c>
      <c r="G69" s="58" t="inlineStr">
        <is>
          <t>No</t>
        </is>
      </c>
      <c r="H69" s="60">
        <f>MIN(20,SUMIFS(Action_Log!$F:$F,Action_Log!$A:$A,$A69,Action_Log!$D:$D,"Cosmetic")+SUMIFS(Action_Log!$F:$F,Action_Log!$A:$A,$A69,Action_Log!$D:$D,"Commercial"))+SUMIFS(Action_Log!$F:$F,Action_Log!$A:$A,$A69,Action_Log!$D:$D,"Civic")+SUMIFS(Action_Log!$F:$F,Action_Log!$A:$A,$A69,Action_Log!$D:$D,"Financial")+SUMIFS(Action_Log!$F:$F,Action_Log!$A:$A,$A69,Action_Log!$D:$D,"Structural")</f>
        <v/>
      </c>
      <c r="I69" s="61">
        <f>SUMIFS(Action_Log!$F:$F,Action_Log!$A:$A,$A69,Action_Log!$E:$E,"Negative")</f>
        <v/>
      </c>
      <c r="J69" s="62">
        <f>MAX(0,MIN(100,50+H69+I69))</f>
        <v/>
      </c>
      <c r="K69" s="63">
        <f>IF(J69&gt;=80,"Champion",IF(J69&gt;=65,"Ally",IF(J69&gt;=50,"Neutral",IF(J69&gt;=35,"Performative",IF(J69&gt;=20,"Harmful","Adversarial")))))</f>
        <v/>
      </c>
      <c r="L69" s="58" t="inlineStr">
        <is>
          <t>Yes</t>
        </is>
      </c>
      <c r="M69" s="58" t="inlineStr">
        <is>
          <t>Yes</t>
        </is>
      </c>
      <c r="N69" s="58" t="inlineStr">
        <is>
          <t>No</t>
        </is>
      </c>
      <c r="O69" s="58" t="inlineStr">
        <is>
          <t>No</t>
        </is>
      </c>
      <c r="P69" s="58" t="inlineStr">
        <is>
          <t>No</t>
        </is>
      </c>
      <c r="Q69" s="59" t="inlineStr">
        <is>
          <t>Joined the insurer pattern of tucking DEI changes into 2025 annual-report language. Inclusive benefits remain; public commitment language thinned.</t>
        </is>
      </c>
    </row>
    <row r="70" ht="15" customHeight="1" s="42">
      <c r="A70" s="50" t="inlineStr">
        <is>
          <t>ExxonMobil</t>
        </is>
      </c>
      <c r="B70" s="51" t="inlineStr">
        <is>
          <t>XOM</t>
        </is>
      </c>
      <c r="C70" s="52" t="inlineStr">
        <is>
          <t>Energy</t>
        </is>
      </c>
      <c r="D70" s="51" t="n">
        <v>339.2</v>
      </c>
      <c r="E70" s="51" t="n">
        <v>85</v>
      </c>
      <c r="F70" s="51" t="n">
        <v>2024</v>
      </c>
      <c r="G70" s="51" t="inlineStr">
        <is>
          <t>No</t>
        </is>
      </c>
      <c r="H70" s="53">
        <f>MIN(20,SUMIFS(Action_Log!$F:$F,Action_Log!$A:$A,$A70,Action_Log!$D:$D,"Cosmetic")+SUMIFS(Action_Log!$F:$F,Action_Log!$A:$A,$A70,Action_Log!$D:$D,"Commercial"))+SUMIFS(Action_Log!$F:$F,Action_Log!$A:$A,$A70,Action_Log!$D:$D,"Civic")+SUMIFS(Action_Log!$F:$F,Action_Log!$A:$A,$A70,Action_Log!$D:$D,"Financial")+SUMIFS(Action_Log!$F:$F,Action_Log!$A:$A,$A70,Action_Log!$D:$D,"Structural")</f>
        <v/>
      </c>
      <c r="I70" s="54">
        <f>SUMIFS(Action_Log!$F:$F,Action_Log!$A:$A,$A70,Action_Log!$E:$E,"Negative")</f>
        <v/>
      </c>
      <c r="J70" s="55">
        <f>MAX(0,MIN(100,50+H70+I70))</f>
        <v/>
      </c>
      <c r="K70" s="56">
        <f>IF(J70&gt;=80,"Champion",IF(J70&gt;=65,"Ally",IF(J70&gt;=50,"Neutral",IF(J70&gt;=35,"Performative",IF(J70&gt;=20,"Harmful","Adversarial")))))</f>
        <v/>
      </c>
      <c r="L70" s="51" t="inlineStr">
        <is>
          <t>No</t>
        </is>
      </c>
      <c r="M70" s="51" t="inlineStr">
        <is>
          <t>No</t>
        </is>
      </c>
      <c r="N70" s="51" t="inlineStr">
        <is>
          <t>No</t>
        </is>
      </c>
      <c r="O70" s="51" t="inlineStr">
        <is>
          <t>No</t>
        </is>
      </c>
      <c r="P70" s="51" t="inlineStr">
        <is>
          <t>No</t>
        </is>
      </c>
      <c r="Q70" s="52" t="inlineStr">
        <is>
          <t>The legacy laggard: rescinded Mobil's domestic-partner benefits after the 1999 merger, refused LGBTQ+ protections for 15+ years (HRC's only negative CEI score), added them in 2015 only under federal-contractor mandate, and banned the Pride flag from its flagpoles in 2022.</t>
        </is>
      </c>
    </row>
    <row r="71" ht="15" customHeight="1" s="42">
      <c r="A71" s="57" t="inlineStr">
        <is>
          <t>Chevron</t>
        </is>
      </c>
      <c r="B71" s="58" t="inlineStr">
        <is>
          <t>CVX</t>
        </is>
      </c>
      <c r="C71" s="59" t="inlineStr">
        <is>
          <t>Energy</t>
        </is>
      </c>
      <c r="D71" s="58" t="n">
        <v>193.4</v>
      </c>
      <c r="E71" s="58" t="n">
        <v>100</v>
      </c>
      <c r="F71" s="58" t="n">
        <v>2024</v>
      </c>
      <c r="G71" s="58" t="inlineStr">
        <is>
          <t>Yes</t>
        </is>
      </c>
      <c r="H71" s="60">
        <f>MIN(20,SUMIFS(Action_Log!$F:$F,Action_Log!$A:$A,$A71,Action_Log!$D:$D,"Cosmetic")+SUMIFS(Action_Log!$F:$F,Action_Log!$A:$A,$A71,Action_Log!$D:$D,"Commercial"))+SUMIFS(Action_Log!$F:$F,Action_Log!$A:$A,$A71,Action_Log!$D:$D,"Civic")+SUMIFS(Action_Log!$F:$F,Action_Log!$A:$A,$A71,Action_Log!$D:$D,"Financial")+SUMIFS(Action_Log!$F:$F,Action_Log!$A:$A,$A71,Action_Log!$D:$D,"Structural")</f>
        <v/>
      </c>
      <c r="I71" s="61">
        <f>SUMIFS(Action_Log!$F:$F,Action_Log!$A:$A,$A71,Action_Log!$E:$E,"Negative")</f>
        <v/>
      </c>
      <c r="J71" s="62">
        <f>MAX(0,MIN(100,50+H71+I71))</f>
        <v/>
      </c>
      <c r="K71" s="63">
        <f>IF(J71&gt;=80,"Champion",IF(J71&gt;=65,"Ally",IF(J71&gt;=50,"Neutral",IF(J71&gt;=35,"Performative",IF(J71&gt;=20,"Harmful","Adversarial")))))</f>
        <v/>
      </c>
      <c r="L71" s="58" t="inlineStr">
        <is>
          <t>No</t>
        </is>
      </c>
      <c r="M71" s="58" t="inlineStr">
        <is>
          <t>No</t>
        </is>
      </c>
      <c r="N71" s="58" t="inlineStr">
        <is>
          <t>No</t>
        </is>
      </c>
      <c r="O71" s="58" t="inlineStr">
        <is>
          <t>No</t>
        </is>
      </c>
      <c r="P71" s="58" t="inlineStr">
        <is>
          <t>No</t>
        </is>
      </c>
      <c r="Q71" s="59" t="inlineStr">
        <is>
          <t>The energy outlier: long CEI 100 record, funded PRIDE ERG, early partner benefits among oil majors. Quiet but durable internal inclusion.</t>
        </is>
      </c>
    </row>
    <row r="72" ht="15" customHeight="1" s="42">
      <c r="A72" s="50" t="inlineStr">
        <is>
          <t>NextEra Energy</t>
        </is>
      </c>
      <c r="B72" s="51" t="inlineStr">
        <is>
          <t>NEE</t>
        </is>
      </c>
      <c r="C72" s="52" t="inlineStr">
        <is>
          <t>Energy</t>
        </is>
      </c>
      <c r="D72" s="51" t="n">
        <v>24.8</v>
      </c>
      <c r="E72" s="51" t="inlineStr">
        <is>
          <t>Not rated</t>
        </is>
      </c>
      <c r="F72" s="51" t="inlineStr">
        <is>
          <t>—</t>
        </is>
      </c>
      <c r="G72" s="51" t="inlineStr">
        <is>
          <t>Never</t>
        </is>
      </c>
      <c r="H72" s="53">
        <f>MIN(20,SUMIFS(Action_Log!$F:$F,Action_Log!$A:$A,$A72,Action_Log!$D:$D,"Cosmetic")+SUMIFS(Action_Log!$F:$F,Action_Log!$A:$A,$A72,Action_Log!$D:$D,"Commercial"))+SUMIFS(Action_Log!$F:$F,Action_Log!$A:$A,$A72,Action_Log!$D:$D,"Civic")+SUMIFS(Action_Log!$F:$F,Action_Log!$A:$A,$A72,Action_Log!$D:$D,"Financial")+SUMIFS(Action_Log!$F:$F,Action_Log!$A:$A,$A72,Action_Log!$D:$D,"Structural")</f>
        <v/>
      </c>
      <c r="I72" s="54">
        <f>SUMIFS(Action_Log!$F:$F,Action_Log!$A:$A,$A72,Action_Log!$E:$E,"Negative")</f>
        <v/>
      </c>
      <c r="J72" s="55">
        <f>MAX(0,MIN(100,50+H72+I72))</f>
        <v/>
      </c>
      <c r="K72" s="56">
        <f>IF(J72&gt;=80,"Champion",IF(J72&gt;=65,"Ally",IF(J72&gt;=50,"Neutral",IF(J72&gt;=35,"Performative",IF(J72&gt;=20,"Harmful","Adversarial")))))</f>
        <v/>
      </c>
      <c r="L72" s="51" t="inlineStr">
        <is>
          <t>No</t>
        </is>
      </c>
      <c r="M72" s="51" t="inlineStr">
        <is>
          <t>No</t>
        </is>
      </c>
      <c r="N72" s="51" t="inlineStr">
        <is>
          <t>No</t>
        </is>
      </c>
      <c r="O72" s="51" t="inlineStr">
        <is>
          <t>No</t>
        </is>
      </c>
      <c r="P72" s="51" t="inlineStr">
        <is>
          <t>No</t>
        </is>
      </c>
      <c r="Q72" s="52" t="inlineStr">
        <is>
          <t>No meaningful public LGBTQ+ record located in either direction. Documented anti-LGBTQ+ political giving lowers the score (-30); see Political_Donations sheet.</t>
        </is>
      </c>
    </row>
    <row r="73" ht="15" customHeight="1" s="42">
      <c r="A73" s="57" t="inlineStr">
        <is>
          <t>Southern Company</t>
        </is>
      </c>
      <c r="B73" s="58" t="inlineStr">
        <is>
          <t>SO</t>
        </is>
      </c>
      <c r="C73" s="59" t="inlineStr">
        <is>
          <t>Energy</t>
        </is>
      </c>
      <c r="D73" s="58" t="n">
        <v>26.7</v>
      </c>
      <c r="E73" s="58" t="inlineStr">
        <is>
          <t>Not rated</t>
        </is>
      </c>
      <c r="F73" s="58" t="inlineStr">
        <is>
          <t>—</t>
        </is>
      </c>
      <c r="G73" s="58" t="inlineStr">
        <is>
          <t>Never</t>
        </is>
      </c>
      <c r="H73" s="60">
        <f>MIN(20,SUMIFS(Action_Log!$F:$F,Action_Log!$A:$A,$A73,Action_Log!$D:$D,"Cosmetic")+SUMIFS(Action_Log!$F:$F,Action_Log!$A:$A,$A73,Action_Log!$D:$D,"Commercial"))+SUMIFS(Action_Log!$F:$F,Action_Log!$A:$A,$A73,Action_Log!$D:$D,"Civic")+SUMIFS(Action_Log!$F:$F,Action_Log!$A:$A,$A73,Action_Log!$D:$D,"Financial")+SUMIFS(Action_Log!$F:$F,Action_Log!$A:$A,$A73,Action_Log!$D:$D,"Structural")</f>
        <v/>
      </c>
      <c r="I73" s="61">
        <f>SUMIFS(Action_Log!$F:$F,Action_Log!$A:$A,$A73,Action_Log!$E:$E,"Negative")</f>
        <v/>
      </c>
      <c r="J73" s="62">
        <f>MAX(0,MIN(100,50+H73+I73))</f>
        <v/>
      </c>
      <c r="K73" s="63">
        <f>IF(J73&gt;=80,"Champion",IF(J73&gt;=65,"Ally",IF(J73&gt;=50,"Neutral",IF(J73&gt;=35,"Performative",IF(J73&gt;=20,"Harmful","Adversarial")))))</f>
        <v/>
      </c>
      <c r="L73" s="58" t="inlineStr">
        <is>
          <t>No</t>
        </is>
      </c>
      <c r="M73" s="58" t="inlineStr">
        <is>
          <t>No</t>
        </is>
      </c>
      <c r="N73" s="58" t="inlineStr">
        <is>
          <t>No</t>
        </is>
      </c>
      <c r="O73" s="58" t="inlineStr">
        <is>
          <t>No</t>
        </is>
      </c>
      <c r="P73" s="58" t="inlineStr">
        <is>
          <t>No</t>
        </is>
      </c>
      <c r="Q73" s="59" t="inlineStr">
        <is>
          <t>No meaningful public LGBTQ+ record located in either direction.</t>
        </is>
      </c>
    </row>
    <row r="74" ht="15" customHeight="1" s="42">
      <c r="A74" s="50" t="inlineStr">
        <is>
          <t>Marriott</t>
        </is>
      </c>
      <c r="B74" s="51" t="inlineStr">
        <is>
          <t>MAR</t>
        </is>
      </c>
      <c r="C74" s="52" t="inlineStr">
        <is>
          <t>Hospitality &amp; Travel</t>
        </is>
      </c>
      <c r="D74" s="51" t="n">
        <v>25.1</v>
      </c>
      <c r="E74" s="51" t="n">
        <v>100</v>
      </c>
      <c r="F74" s="51" t="n">
        <v>2025</v>
      </c>
      <c r="G74" s="51" t="inlineStr">
        <is>
          <t>Yes</t>
        </is>
      </c>
      <c r="H74" s="53">
        <f>MIN(20,SUMIFS(Action_Log!$F:$F,Action_Log!$A:$A,$A74,Action_Log!$D:$D,"Cosmetic")+SUMIFS(Action_Log!$F:$F,Action_Log!$A:$A,$A74,Action_Log!$D:$D,"Commercial"))+SUMIFS(Action_Log!$F:$F,Action_Log!$A:$A,$A74,Action_Log!$D:$D,"Civic")+SUMIFS(Action_Log!$F:$F,Action_Log!$A:$A,$A74,Action_Log!$D:$D,"Financial")+SUMIFS(Action_Log!$F:$F,Action_Log!$A:$A,$A74,Action_Log!$D:$D,"Structural")</f>
        <v/>
      </c>
      <c r="I74" s="54">
        <f>SUMIFS(Action_Log!$F:$F,Action_Log!$A:$A,$A74,Action_Log!$E:$E,"Negative")</f>
        <v/>
      </c>
      <c r="J74" s="55">
        <f>MAX(0,MIN(100,50+H74+I74))</f>
        <v/>
      </c>
      <c r="K74" s="56">
        <f>IF(J74&gt;=80,"Champion",IF(J74&gt;=65,"Ally",IF(J74&gt;=50,"Neutral",IF(J74&gt;=35,"Performative",IF(J74&gt;=20,"Harmful","Adversarial")))))</f>
        <v/>
      </c>
      <c r="L74" s="51" t="inlineStr">
        <is>
          <t>No</t>
        </is>
      </c>
      <c r="M74" s="51" t="inlineStr">
        <is>
          <t>No</t>
        </is>
      </c>
      <c r="N74" s="51" t="inlineStr">
        <is>
          <t>No</t>
        </is>
      </c>
      <c r="O74" s="51" t="inlineStr">
        <is>
          <t>No</t>
        </is>
      </c>
      <c r="P74" s="51" t="inlineStr">
        <is>
          <t>No</t>
        </is>
      </c>
      <c r="Q74" s="52" t="inlineStr">
        <is>
          <t>Hospitality's standard-bearer: #LoveTravels platform since 2014, 25 years of CEI engagement, and leadership that publicly reaffirmed inclusion as 'core to who we are' through the 2025 backlash.</t>
        </is>
      </c>
    </row>
    <row r="75" ht="15" customHeight="1" s="42">
      <c r="A75" s="57" t="inlineStr">
        <is>
          <t>Hilton</t>
        </is>
      </c>
      <c r="B75" s="58" t="inlineStr">
        <is>
          <t>HLT</t>
        </is>
      </c>
      <c r="C75" s="59" t="inlineStr">
        <is>
          <t>Hospitality &amp; Travel</t>
        </is>
      </c>
      <c r="D75" s="58" t="n">
        <v>11.2</v>
      </c>
      <c r="E75" s="58" t="n">
        <v>100</v>
      </c>
      <c r="F75" s="58" t="n">
        <v>2024</v>
      </c>
      <c r="G75" s="58" t="inlineStr">
        <is>
          <t>Yes</t>
        </is>
      </c>
      <c r="H75" s="60">
        <f>MIN(20,SUMIFS(Action_Log!$F:$F,Action_Log!$A:$A,$A75,Action_Log!$D:$D,"Cosmetic")+SUMIFS(Action_Log!$F:$F,Action_Log!$A:$A,$A75,Action_Log!$D:$D,"Commercial"))+SUMIFS(Action_Log!$F:$F,Action_Log!$A:$A,$A75,Action_Log!$D:$D,"Civic")+SUMIFS(Action_Log!$F:$F,Action_Log!$A:$A,$A75,Action_Log!$D:$D,"Financial")+SUMIFS(Action_Log!$F:$F,Action_Log!$A:$A,$A75,Action_Log!$D:$D,"Structural")</f>
        <v/>
      </c>
      <c r="I75" s="61">
        <f>SUMIFS(Action_Log!$F:$F,Action_Log!$A:$A,$A75,Action_Log!$E:$E,"Negative")</f>
        <v/>
      </c>
      <c r="J75" s="62">
        <f>MAX(0,MIN(100,50+H75+I75))</f>
        <v/>
      </c>
      <c r="K75" s="63">
        <f>IF(J75&gt;=80,"Champion",IF(J75&gt;=65,"Ally",IF(J75&gt;=50,"Neutral",IF(J75&gt;=35,"Performative",IF(J75&gt;=20,"Harmful","Adversarial")))))</f>
        <v/>
      </c>
      <c r="L75" s="58" t="inlineStr">
        <is>
          <t>No</t>
        </is>
      </c>
      <c r="M75" s="58" t="inlineStr">
        <is>
          <t>No</t>
        </is>
      </c>
      <c r="N75" s="58" t="inlineStr">
        <is>
          <t>No</t>
        </is>
      </c>
      <c r="O75" s="58" t="inlineStr">
        <is>
          <t>No</t>
        </is>
      </c>
      <c r="P75" s="58" t="inlineStr">
        <is>
          <t>No</t>
        </is>
      </c>
      <c r="Q75" s="59" t="inlineStr">
        <is>
          <t>Maintained Pride engagement through the trough — a WorldPride 2025 supporter with CEI 100 record and 'Stay Hilton. Go Out.' LGBTQ+ marketing heritage.</t>
        </is>
      </c>
    </row>
    <row r="76" ht="15" customHeight="1" s="42">
      <c r="A76" s="50" t="inlineStr">
        <is>
          <t>Delta Air Lines</t>
        </is>
      </c>
      <c r="B76" s="51" t="inlineStr">
        <is>
          <t>DAL</t>
        </is>
      </c>
      <c r="C76" s="52" t="inlineStr">
        <is>
          <t>Hospitality &amp; Travel</t>
        </is>
      </c>
      <c r="D76" s="51" t="n">
        <v>61.6</v>
      </c>
      <c r="E76" s="51" t="n">
        <v>100</v>
      </c>
      <c r="F76" s="51" t="n">
        <v>2025</v>
      </c>
      <c r="G76" s="51" t="inlineStr">
        <is>
          <t>Yes</t>
        </is>
      </c>
      <c r="H76" s="53">
        <f>MIN(20,SUMIFS(Action_Log!$F:$F,Action_Log!$A:$A,$A76,Action_Log!$D:$D,"Cosmetic")+SUMIFS(Action_Log!$F:$F,Action_Log!$A:$A,$A76,Action_Log!$D:$D,"Commercial"))+SUMIFS(Action_Log!$F:$F,Action_Log!$A:$A,$A76,Action_Log!$D:$D,"Civic")+SUMIFS(Action_Log!$F:$F,Action_Log!$A:$A,$A76,Action_Log!$D:$D,"Financial")+SUMIFS(Action_Log!$F:$F,Action_Log!$A:$A,$A76,Action_Log!$D:$D,"Structural")</f>
        <v/>
      </c>
      <c r="I76" s="54">
        <f>SUMIFS(Action_Log!$F:$F,Action_Log!$A:$A,$A76,Action_Log!$E:$E,"Negative")</f>
        <v/>
      </c>
      <c r="J76" s="55">
        <f>MAX(0,MIN(100,50+H76+I76))</f>
        <v/>
      </c>
      <c r="K76" s="56">
        <f>IF(J76&gt;=80,"Champion",IF(J76&gt;=65,"Ally",IF(J76&gt;=50,"Neutral",IF(J76&gt;=35,"Performative",IF(J76&gt;=20,"Harmful","Adversarial")))))</f>
        <v/>
      </c>
      <c r="L76" s="51" t="inlineStr">
        <is>
          <t>No</t>
        </is>
      </c>
      <c r="M76" s="51" t="inlineStr">
        <is>
          <t>No</t>
        </is>
      </c>
      <c r="N76" s="51" t="inlineStr">
        <is>
          <t>No</t>
        </is>
      </c>
      <c r="O76" s="51" t="inlineStr">
        <is>
          <t>No</t>
        </is>
      </c>
      <c r="P76" s="51" t="inlineStr">
        <is>
          <t>No</t>
        </is>
      </c>
      <c r="Q76" s="52" t="inlineStr">
        <is>
          <t>Publicly committed to DEI when asked directly in 2025 ('our values are not for sale'-tier stance), marched at Pride events from NYC to Amsterdam and Brighton in 2025-26, and retains deep LGBTQ+ workforce culture. The airline that didn't blink.</t>
        </is>
      </c>
    </row>
    <row r="77" ht="15" customHeight="1" s="42">
      <c r="A77" s="57" t="inlineStr">
        <is>
          <t>American Airlines</t>
        </is>
      </c>
      <c r="B77" s="58" t="inlineStr">
        <is>
          <t>AAL</t>
        </is>
      </c>
      <c r="C77" s="59" t="inlineStr">
        <is>
          <t>Hospitality &amp; Travel</t>
        </is>
      </c>
      <c r="D77" s="58" t="n">
        <v>54.2</v>
      </c>
      <c r="E77" s="58" t="n">
        <v>100</v>
      </c>
      <c r="F77" s="58" t="n">
        <v>2024</v>
      </c>
      <c r="G77" s="58" t="inlineStr">
        <is>
          <t>Yes</t>
        </is>
      </c>
      <c r="H77" s="60">
        <f>MIN(20,SUMIFS(Action_Log!$F:$F,Action_Log!$A:$A,$A77,Action_Log!$D:$D,"Cosmetic")+SUMIFS(Action_Log!$F:$F,Action_Log!$A:$A,$A77,Action_Log!$D:$D,"Commercial"))+SUMIFS(Action_Log!$F:$F,Action_Log!$A:$A,$A77,Action_Log!$D:$D,"Civic")+SUMIFS(Action_Log!$F:$F,Action_Log!$A:$A,$A77,Action_Log!$D:$D,"Financial")+SUMIFS(Action_Log!$F:$F,Action_Log!$A:$A,$A77,Action_Log!$D:$D,"Structural")</f>
        <v/>
      </c>
      <c r="I77" s="61">
        <f>SUMIFS(Action_Log!$F:$F,Action_Log!$A:$A,$A77,Action_Log!$E:$E,"Negative")</f>
        <v/>
      </c>
      <c r="J77" s="62">
        <f>MAX(0,MIN(100,50+H77+I77))</f>
        <v/>
      </c>
      <c r="K77" s="63">
        <f>IF(J77&gt;=80,"Champion",IF(J77&gt;=65,"Ally",IF(J77&gt;=50,"Neutral",IF(J77&gt;=35,"Performative",IF(J77&gt;=20,"Harmful","Adversarial")))))</f>
        <v/>
      </c>
      <c r="L77" s="58" t="inlineStr">
        <is>
          <t>No</t>
        </is>
      </c>
      <c r="M77" s="58" t="inlineStr">
        <is>
          <t>No</t>
        </is>
      </c>
      <c r="N77" s="58" t="inlineStr">
        <is>
          <t>No</t>
        </is>
      </c>
      <c r="O77" s="58" t="inlineStr">
        <is>
          <t>No</t>
        </is>
      </c>
      <c r="P77" s="58" t="inlineStr">
        <is>
          <t>No</t>
        </is>
      </c>
      <c r="Q77" s="59" t="inlineStr">
        <is>
          <t>Board defended DEI against an anti-DEI shareholder proposal; PRIDE ERG (one of the industry's oldest) continues. Quieter than Delta but no retreat documented.</t>
        </is>
      </c>
    </row>
    <row r="78" ht="15" customHeight="1" s="42">
      <c r="A78" s="50" t="inlineStr">
        <is>
          <t>United Airlines</t>
        </is>
      </c>
      <c r="B78" s="51" t="inlineStr">
        <is>
          <t>UAL</t>
        </is>
      </c>
      <c r="C78" s="52" t="inlineStr">
        <is>
          <t>Hospitality &amp; Travel</t>
        </is>
      </c>
      <c r="D78" s="51" t="n">
        <v>57.1</v>
      </c>
      <c r="E78" s="51" t="n">
        <v>100</v>
      </c>
      <c r="F78" s="51" t="n">
        <v>2024</v>
      </c>
      <c r="G78" s="51" t="inlineStr">
        <is>
          <t>Yes</t>
        </is>
      </c>
      <c r="H78" s="53">
        <f>MIN(20,SUMIFS(Action_Log!$F:$F,Action_Log!$A:$A,$A78,Action_Log!$D:$D,"Cosmetic")+SUMIFS(Action_Log!$F:$F,Action_Log!$A:$A,$A78,Action_Log!$D:$D,"Commercial"))+SUMIFS(Action_Log!$F:$F,Action_Log!$A:$A,$A78,Action_Log!$D:$D,"Civic")+SUMIFS(Action_Log!$F:$F,Action_Log!$A:$A,$A78,Action_Log!$D:$D,"Financial")+SUMIFS(Action_Log!$F:$F,Action_Log!$A:$A,$A78,Action_Log!$D:$D,"Structural")</f>
        <v/>
      </c>
      <c r="I78" s="54">
        <f>SUMIFS(Action_Log!$F:$F,Action_Log!$A:$A,$A78,Action_Log!$E:$E,"Negative")</f>
        <v/>
      </c>
      <c r="J78" s="55">
        <f>MAX(0,MIN(100,50+H78+I78))</f>
        <v/>
      </c>
      <c r="K78" s="56">
        <f>IF(J78&gt;=80,"Champion",IF(J78&gt;=65,"Ally",IF(J78&gt;=50,"Neutral",IF(J78&gt;=35,"Performative",IF(J78&gt;=20,"Harmful","Adversarial")))))</f>
        <v/>
      </c>
      <c r="L78" s="51" t="inlineStr">
        <is>
          <t>No</t>
        </is>
      </c>
      <c r="M78" s="51" t="inlineStr">
        <is>
          <t>No</t>
        </is>
      </c>
      <c r="N78" s="51" t="inlineStr">
        <is>
          <t>No</t>
        </is>
      </c>
      <c r="O78" s="51" t="inlineStr">
        <is>
          <t>No</t>
        </is>
      </c>
      <c r="P78" s="51" t="inlineStr">
        <is>
          <t>No</t>
        </is>
      </c>
      <c r="Q78" s="52" t="inlineStr">
        <is>
          <t>WorldPride 2025 supporter; continued Pride engagement and ERG support through the backlash. No retreat documented.</t>
        </is>
      </c>
    </row>
    <row r="79" ht="15" customHeight="1" s="42">
      <c r="A79" s="57" t="inlineStr">
        <is>
          <t>Airbnb</t>
        </is>
      </c>
      <c r="B79" s="58" t="inlineStr">
        <is>
          <t>ABNB</t>
        </is>
      </c>
      <c r="C79" s="59" t="inlineStr">
        <is>
          <t>Hospitality &amp; Travel</t>
        </is>
      </c>
      <c r="D79" s="58" t="n">
        <v>11.1</v>
      </c>
      <c r="E79" s="58" t="n">
        <v>100</v>
      </c>
      <c r="F79" s="58" t="n">
        <v>2024</v>
      </c>
      <c r="G79" s="58" t="inlineStr">
        <is>
          <t>Yes</t>
        </is>
      </c>
      <c r="H79" s="60">
        <f>MIN(20,SUMIFS(Action_Log!$F:$F,Action_Log!$A:$A,$A79,Action_Log!$D:$D,"Cosmetic")+SUMIFS(Action_Log!$F:$F,Action_Log!$A:$A,$A79,Action_Log!$D:$D,"Commercial"))+SUMIFS(Action_Log!$F:$F,Action_Log!$A:$A,$A79,Action_Log!$D:$D,"Civic")+SUMIFS(Action_Log!$F:$F,Action_Log!$A:$A,$A79,Action_Log!$D:$D,"Financial")+SUMIFS(Action_Log!$F:$F,Action_Log!$A:$A,$A79,Action_Log!$D:$D,"Structural")</f>
        <v/>
      </c>
      <c r="I79" s="61">
        <f>SUMIFS(Action_Log!$F:$F,Action_Log!$A:$A,$A79,Action_Log!$E:$E,"Negative")</f>
        <v/>
      </c>
      <c r="J79" s="62">
        <f>MAX(0,MIN(100,50+H79+I79))</f>
        <v/>
      </c>
      <c r="K79" s="63">
        <f>IF(J79&gt;=80,"Champion",IF(J79&gt;=65,"Ally",IF(J79&gt;=50,"Neutral",IF(J79&gt;=35,"Performative",IF(J79&gt;=20,"Harmful","Adversarial")))))</f>
        <v/>
      </c>
      <c r="L79" s="58" t="inlineStr">
        <is>
          <t>No</t>
        </is>
      </c>
      <c r="M79" s="58" t="inlineStr">
        <is>
          <t>No</t>
        </is>
      </c>
      <c r="N79" s="58" t="inlineStr">
        <is>
          <t>No</t>
        </is>
      </c>
      <c r="O79" s="58" t="inlineStr">
        <is>
          <t>No</t>
        </is>
      </c>
      <c r="P79" s="58" t="inlineStr">
        <is>
          <t>No</t>
        </is>
      </c>
      <c r="Q79" s="59" t="inlineStr">
        <is>
          <t>Platform-level inclusion is the product: a binding Community Commitment nondiscrimination policy for all users, LGBTQ+ travel-safety features, and marriage-equality campaign history ('Until We All Belong'). No retreat documented.</t>
        </is>
      </c>
    </row>
    <row r="80" ht="15" customHeight="1" s="42">
      <c r="A80" s="50" t="inlineStr">
        <is>
          <t>Expedia</t>
        </is>
      </c>
      <c r="B80" s="51" t="inlineStr">
        <is>
          <t>EXPE</t>
        </is>
      </c>
      <c r="C80" s="52" t="inlineStr">
        <is>
          <t>Hospitality &amp; Travel</t>
        </is>
      </c>
      <c r="D80" s="51" t="n">
        <v>13.7</v>
      </c>
      <c r="E80" s="51" t="n">
        <v>100</v>
      </c>
      <c r="F80" s="51" t="n">
        <v>2024</v>
      </c>
      <c r="G80" s="51" t="inlineStr">
        <is>
          <t>No</t>
        </is>
      </c>
      <c r="H80" s="53">
        <f>MIN(20,SUMIFS(Action_Log!$F:$F,Action_Log!$A:$A,$A80,Action_Log!$D:$D,"Cosmetic")+SUMIFS(Action_Log!$F:$F,Action_Log!$A:$A,$A80,Action_Log!$D:$D,"Commercial"))+SUMIFS(Action_Log!$F:$F,Action_Log!$A:$A,$A80,Action_Log!$D:$D,"Civic")+SUMIFS(Action_Log!$F:$F,Action_Log!$A:$A,$A80,Action_Log!$D:$D,"Financial")+SUMIFS(Action_Log!$F:$F,Action_Log!$A:$A,$A80,Action_Log!$D:$D,"Structural")</f>
        <v/>
      </c>
      <c r="I80" s="54">
        <f>SUMIFS(Action_Log!$F:$F,Action_Log!$A:$A,$A80,Action_Log!$E:$E,"Negative")</f>
        <v/>
      </c>
      <c r="J80" s="55">
        <f>MAX(0,MIN(100,50+H80+I80))</f>
        <v/>
      </c>
      <c r="K80" s="56">
        <f>IF(J80&gt;=80,"Champion",IF(J80&gt;=65,"Ally",IF(J80&gt;=50,"Neutral",IF(J80&gt;=35,"Performative",IF(J80&gt;=20,"Harmful","Adversarial")))))</f>
        <v/>
      </c>
      <c r="L80" s="51" t="inlineStr">
        <is>
          <t>No</t>
        </is>
      </c>
      <c r="M80" s="51" t="inlineStr">
        <is>
          <t>No</t>
        </is>
      </c>
      <c r="N80" s="51" t="inlineStr">
        <is>
          <t>No</t>
        </is>
      </c>
      <c r="O80" s="51" t="inlineStr">
        <is>
          <t>No</t>
        </is>
      </c>
      <c r="P80" s="51" t="inlineStr">
        <is>
          <t>No</t>
        </is>
      </c>
      <c r="Q80" s="52" t="inlineStr">
        <is>
          <t>Inherited Orbitz's pioneering LGBT-travel marketing legacy; maintains inclusive policies with modest current visibility. No retreat documented.</t>
        </is>
      </c>
    </row>
    <row r="81" ht="15" customHeight="1" s="42">
      <c r="A81" s="57" t="inlineStr">
        <is>
          <t>Procter &amp; Gamble</t>
        </is>
      </c>
      <c r="B81" s="58" t="inlineStr">
        <is>
          <t>PG</t>
        </is>
      </c>
      <c r="C81" s="59" t="inlineStr">
        <is>
          <t>Consumer Goods</t>
        </is>
      </c>
      <c r="D81" s="58" t="n">
        <v>84</v>
      </c>
      <c r="E81" s="58" t="n">
        <v>100</v>
      </c>
      <c r="F81" s="58" t="n">
        <v>2025</v>
      </c>
      <c r="G81" s="58" t="inlineStr">
        <is>
          <t>Yes</t>
        </is>
      </c>
      <c r="H81" s="60">
        <f>MIN(20,SUMIFS(Action_Log!$F:$F,Action_Log!$A:$A,$A81,Action_Log!$D:$D,"Cosmetic")+SUMIFS(Action_Log!$F:$F,Action_Log!$A:$A,$A81,Action_Log!$D:$D,"Commercial"))+SUMIFS(Action_Log!$F:$F,Action_Log!$A:$A,$A81,Action_Log!$D:$D,"Civic")+SUMIFS(Action_Log!$F:$F,Action_Log!$A:$A,$A81,Action_Log!$D:$D,"Financial")+SUMIFS(Action_Log!$F:$F,Action_Log!$A:$A,$A81,Action_Log!$D:$D,"Structural")</f>
        <v/>
      </c>
      <c r="I81" s="61">
        <f>SUMIFS(Action_Log!$F:$F,Action_Log!$A:$A,$A81,Action_Log!$E:$E,"Negative")</f>
        <v/>
      </c>
      <c r="J81" s="62">
        <f>MAX(0,MIN(100,50+H81+I81))</f>
        <v/>
      </c>
      <c r="K81" s="63">
        <f>IF(J81&gt;=80,"Champion",IF(J81&gt;=65,"Ally",IF(J81&gt;=50,"Neutral",IF(J81&gt;=35,"Performative",IF(J81&gt;=20,"Harmful","Adversarial")))))</f>
        <v/>
      </c>
      <c r="L81" s="58" t="inlineStr">
        <is>
          <t>No</t>
        </is>
      </c>
      <c r="M81" s="58" t="inlineStr">
        <is>
          <t>No</t>
        </is>
      </c>
      <c r="N81" s="58" t="inlineStr">
        <is>
          <t>No</t>
        </is>
      </c>
      <c r="O81" s="58" t="inlineStr">
        <is>
          <t>No</t>
        </is>
      </c>
      <c r="P81" s="58" t="inlineStr">
        <is>
          <t>No</t>
        </is>
      </c>
      <c r="Q81" s="59" t="inlineStr">
        <is>
          <t>Doubled down while peers fled: 'This cannot change' on workforce inclusion, CEI 100 in 2025, GLAAD research partnership on LGBTQ+ ad visibility, and queer-inclusive brand campaigns (Pantene, Gillette) sustained.</t>
        </is>
      </c>
    </row>
    <row r="82" ht="15" customHeight="1" s="42">
      <c r="A82" s="50" t="inlineStr">
        <is>
          <t>Unilever</t>
        </is>
      </c>
      <c r="B82" s="51" t="inlineStr">
        <is>
          <t>UL</t>
        </is>
      </c>
      <c r="C82" s="52" t="inlineStr">
        <is>
          <t>Consumer Goods</t>
        </is>
      </c>
      <c r="D82" s="51" t="n">
        <v>65.7</v>
      </c>
      <c r="E82" s="51" t="n">
        <v>100</v>
      </c>
      <c r="F82" s="51" t="n">
        <v>2024</v>
      </c>
      <c r="G82" s="51" t="inlineStr">
        <is>
          <t>Yes</t>
        </is>
      </c>
      <c r="H82" s="53">
        <f>MIN(20,SUMIFS(Action_Log!$F:$F,Action_Log!$A:$A,$A82,Action_Log!$D:$D,"Cosmetic")+SUMIFS(Action_Log!$F:$F,Action_Log!$A:$A,$A82,Action_Log!$D:$D,"Commercial"))+SUMIFS(Action_Log!$F:$F,Action_Log!$A:$A,$A82,Action_Log!$D:$D,"Civic")+SUMIFS(Action_Log!$F:$F,Action_Log!$A:$A,$A82,Action_Log!$D:$D,"Financial")+SUMIFS(Action_Log!$F:$F,Action_Log!$A:$A,$A82,Action_Log!$D:$D,"Structural")</f>
        <v/>
      </c>
      <c r="I82" s="54">
        <f>SUMIFS(Action_Log!$F:$F,Action_Log!$A:$A,$A82,Action_Log!$E:$E,"Negative")</f>
        <v/>
      </c>
      <c r="J82" s="55">
        <f>MAX(0,MIN(100,50+H82+I82))</f>
        <v/>
      </c>
      <c r="K82" s="56">
        <f>IF(J82&gt;=80,"Champion",IF(J82&gt;=65,"Ally",IF(J82&gt;=50,"Neutral",IF(J82&gt;=35,"Performative",IF(J82&gt;=20,"Harmful","Adversarial")))))</f>
        <v/>
      </c>
      <c r="L82" s="51" t="inlineStr">
        <is>
          <t>No</t>
        </is>
      </c>
      <c r="M82" s="51" t="inlineStr">
        <is>
          <t>No</t>
        </is>
      </c>
      <c r="N82" s="51" t="inlineStr">
        <is>
          <t>No</t>
        </is>
      </c>
      <c r="O82" s="51" t="inlineStr">
        <is>
          <t>No</t>
        </is>
      </c>
      <c r="P82" s="51" t="inlineStr">
        <is>
          <t>No</t>
        </is>
      </c>
      <c r="Q82" s="52" t="inlineStr">
        <is>
          <t>Brand-level support continues (Dove, Ben &amp; Jerry's long LGBTQ+ activism) though the 2025 dispute over muzzling Ben &amp; Jerry's political voice clouds the parent's credibility. No LGBTQ+-specific retreat documented.</t>
        </is>
      </c>
    </row>
    <row r="83" ht="15" customHeight="1" s="42">
      <c r="A83" s="57" t="inlineStr">
        <is>
          <t>Kellanova</t>
        </is>
      </c>
      <c r="B83" s="58" t="inlineStr">
        <is>
          <t>K</t>
        </is>
      </c>
      <c r="C83" s="59" t="inlineStr">
        <is>
          <t>Consumer Goods</t>
        </is>
      </c>
      <c r="D83" s="58" t="n">
        <v>12.9</v>
      </c>
      <c r="E83" s="58" t="n">
        <v>100</v>
      </c>
      <c r="F83" s="58" t="n">
        <v>2024</v>
      </c>
      <c r="G83" s="58" t="inlineStr">
        <is>
          <t>Yes</t>
        </is>
      </c>
      <c r="H83" s="60">
        <f>MIN(20,SUMIFS(Action_Log!$F:$F,Action_Log!$A:$A,$A83,Action_Log!$D:$D,"Cosmetic")+SUMIFS(Action_Log!$F:$F,Action_Log!$A:$A,$A83,Action_Log!$D:$D,"Commercial"))+SUMIFS(Action_Log!$F:$F,Action_Log!$A:$A,$A83,Action_Log!$D:$D,"Civic")+SUMIFS(Action_Log!$F:$F,Action_Log!$A:$A,$A83,Action_Log!$D:$D,"Financial")+SUMIFS(Action_Log!$F:$F,Action_Log!$A:$A,$A83,Action_Log!$D:$D,"Structural")</f>
        <v/>
      </c>
      <c r="I83" s="61">
        <f>SUMIFS(Action_Log!$F:$F,Action_Log!$A:$A,$A83,Action_Log!$E:$E,"Negative")</f>
        <v/>
      </c>
      <c r="J83" s="62">
        <f>MAX(0,MIN(100,50+H83+I83))</f>
        <v/>
      </c>
      <c r="K83" s="63">
        <f>IF(J83&gt;=80,"Champion",IF(J83&gt;=65,"Ally",IF(J83&gt;=50,"Neutral",IF(J83&gt;=35,"Performative",IF(J83&gt;=20,"Harmful","Adversarial")))))</f>
        <v/>
      </c>
      <c r="L83" s="58" t="inlineStr">
        <is>
          <t>No</t>
        </is>
      </c>
      <c r="M83" s="58" t="inlineStr">
        <is>
          <t>No</t>
        </is>
      </c>
      <c r="N83" s="58" t="inlineStr">
        <is>
          <t>No</t>
        </is>
      </c>
      <c r="O83" s="58" t="inlineStr">
        <is>
          <t>No</t>
        </is>
      </c>
      <c r="P83" s="58" t="inlineStr">
        <is>
          <t>No</t>
        </is>
      </c>
      <c r="Q83" s="59" t="inlineStr">
        <is>
          <t>Made the 'Together With Pride' GLAAD-benefiting cereal (2021, as Kellogg's) and has kept inclusive policies without joining the retreat. Modest but genuine.</t>
        </is>
      </c>
    </row>
    <row r="84" ht="15" customHeight="1" s="42">
      <c r="A84" s="50" t="inlineStr">
        <is>
          <t>General Mills</t>
        </is>
      </c>
      <c r="B84" s="51" t="inlineStr">
        <is>
          <t>GIS</t>
        </is>
      </c>
      <c r="C84" s="52" t="inlineStr">
        <is>
          <t>Consumer Goods</t>
        </is>
      </c>
      <c r="D84" s="51" t="n">
        <v>19.9</v>
      </c>
      <c r="E84" s="51" t="n">
        <v>100</v>
      </c>
      <c r="F84" s="51" t="n">
        <v>2024</v>
      </c>
      <c r="G84" s="51" t="inlineStr">
        <is>
          <t>Yes</t>
        </is>
      </c>
      <c r="H84" s="53">
        <f>MIN(20,SUMIFS(Action_Log!$F:$F,Action_Log!$A:$A,$A84,Action_Log!$D:$D,"Cosmetic")+SUMIFS(Action_Log!$F:$F,Action_Log!$A:$A,$A84,Action_Log!$D:$D,"Commercial"))+SUMIFS(Action_Log!$F:$F,Action_Log!$A:$A,$A84,Action_Log!$D:$D,"Civic")+SUMIFS(Action_Log!$F:$F,Action_Log!$A:$A,$A84,Action_Log!$D:$D,"Financial")+SUMIFS(Action_Log!$F:$F,Action_Log!$A:$A,$A84,Action_Log!$D:$D,"Structural")</f>
        <v/>
      </c>
      <c r="I84" s="54">
        <f>SUMIFS(Action_Log!$F:$F,Action_Log!$A:$A,$A84,Action_Log!$E:$E,"Negative")</f>
        <v/>
      </c>
      <c r="J84" s="55">
        <f>MAX(0,MIN(100,50+H84+I84))</f>
        <v/>
      </c>
      <c r="K84" s="56">
        <f>IF(J84&gt;=80,"Champion",IF(J84&gt;=65,"Ally",IF(J84&gt;=50,"Neutral",IF(J84&gt;=35,"Performative",IF(J84&gt;=20,"Harmful","Adversarial")))))</f>
        <v/>
      </c>
      <c r="L84" s="51" t="inlineStr">
        <is>
          <t>No</t>
        </is>
      </c>
      <c r="M84" s="51" t="inlineStr">
        <is>
          <t>No</t>
        </is>
      </c>
      <c r="N84" s="51" t="inlineStr">
        <is>
          <t>No</t>
        </is>
      </c>
      <c r="O84" s="51" t="inlineStr">
        <is>
          <t>No</t>
        </is>
      </c>
      <c r="P84" s="51" t="inlineStr">
        <is>
          <t>No</t>
        </is>
      </c>
      <c r="Q84" s="52" t="inlineStr">
        <is>
          <t>Twin Cities-headquartered holder: long CEI 100 record, betty Crocker/Lucky Charms inclusive campaigns history, no documented retreat — notable given hometown Target's collapse.</t>
        </is>
      </c>
    </row>
    <row r="85" ht="15" customHeight="1" s="42">
      <c r="A85" s="57" t="inlineStr">
        <is>
          <t>Colgate-Palmolive</t>
        </is>
      </c>
      <c r="B85" s="58" t="inlineStr">
        <is>
          <t>CL</t>
        </is>
      </c>
      <c r="C85" s="59" t="inlineStr">
        <is>
          <t>Consumer Goods</t>
        </is>
      </c>
      <c r="D85" s="58" t="n">
        <v>20.1</v>
      </c>
      <c r="E85" s="58" t="n">
        <v>100</v>
      </c>
      <c r="F85" s="58" t="n">
        <v>2024</v>
      </c>
      <c r="G85" s="58" t="inlineStr">
        <is>
          <t>Yes</t>
        </is>
      </c>
      <c r="H85" s="60">
        <f>MIN(20,SUMIFS(Action_Log!$F:$F,Action_Log!$A:$A,$A85,Action_Log!$D:$D,"Cosmetic")+SUMIFS(Action_Log!$F:$F,Action_Log!$A:$A,$A85,Action_Log!$D:$D,"Commercial"))+SUMIFS(Action_Log!$F:$F,Action_Log!$A:$A,$A85,Action_Log!$D:$D,"Civic")+SUMIFS(Action_Log!$F:$F,Action_Log!$A:$A,$A85,Action_Log!$D:$D,"Financial")+SUMIFS(Action_Log!$F:$F,Action_Log!$A:$A,$A85,Action_Log!$D:$D,"Structural")</f>
        <v/>
      </c>
      <c r="I85" s="61">
        <f>SUMIFS(Action_Log!$F:$F,Action_Log!$A:$A,$A85,Action_Log!$E:$E,"Negative")</f>
        <v/>
      </c>
      <c r="J85" s="62">
        <f>MAX(0,MIN(100,50+H85+I85))</f>
        <v/>
      </c>
      <c r="K85" s="63">
        <f>IF(J85&gt;=80,"Champion",IF(J85&gt;=65,"Ally",IF(J85&gt;=50,"Neutral",IF(J85&gt;=35,"Performative",IF(J85&gt;=20,"Harmful","Adversarial")))))</f>
        <v/>
      </c>
      <c r="L85" s="58" t="inlineStr">
        <is>
          <t>No</t>
        </is>
      </c>
      <c r="M85" s="58" t="inlineStr">
        <is>
          <t>No</t>
        </is>
      </c>
      <c r="N85" s="58" t="inlineStr">
        <is>
          <t>No</t>
        </is>
      </c>
      <c r="O85" s="58" t="inlineStr">
        <is>
          <t>No</t>
        </is>
      </c>
      <c r="P85" s="58" t="inlineStr">
        <is>
          <t>No</t>
        </is>
      </c>
      <c r="Q85" s="59" t="inlineStr">
        <is>
          <t>Quiet CEI 100 stalwart with inclusive benefits; minimal Pride marketing, no documented retreat.</t>
        </is>
      </c>
    </row>
    <row r="86" ht="23.25" customHeight="1" s="42">
      <c r="A86" s="50" t="inlineStr">
        <is>
          <t>Lockheed Martin</t>
        </is>
      </c>
      <c r="B86" s="51" t="inlineStr">
        <is>
          <t>LMT</t>
        </is>
      </c>
      <c r="C86" s="52" t="inlineStr">
        <is>
          <t>Defense &amp; Gov Contracting</t>
        </is>
      </c>
      <c r="D86" s="51" t="n">
        <v>71</v>
      </c>
      <c r="E86" s="51" t="n">
        <v>100</v>
      </c>
      <c r="F86" s="51" t="n">
        <v>2024</v>
      </c>
      <c r="G86" s="51" t="inlineStr">
        <is>
          <t>No</t>
        </is>
      </c>
      <c r="H86" s="53">
        <f>MIN(20,SUMIFS(Action_Log!$F:$F,Action_Log!$A:$A,$A86,Action_Log!$D:$D,"Cosmetic")+SUMIFS(Action_Log!$F:$F,Action_Log!$A:$A,$A86,Action_Log!$D:$D,"Commercial"))+SUMIFS(Action_Log!$F:$F,Action_Log!$A:$A,$A86,Action_Log!$D:$D,"Civic")+SUMIFS(Action_Log!$F:$F,Action_Log!$A:$A,$A86,Action_Log!$D:$D,"Financial")+SUMIFS(Action_Log!$F:$F,Action_Log!$A:$A,$A86,Action_Log!$D:$D,"Structural")</f>
        <v/>
      </c>
      <c r="I86" s="54">
        <f>SUMIFS(Action_Log!$F:$F,Action_Log!$A:$A,$A86,Action_Log!$E:$E,"Negative")</f>
        <v/>
      </c>
      <c r="J86" s="55">
        <f>MAX(0,MIN(100,50+H86+I86))</f>
        <v/>
      </c>
      <c r="K86" s="56">
        <f>IF(J86&gt;=80,"Champion",IF(J86&gt;=65,"Ally",IF(J86&gt;=50,"Neutral",IF(J86&gt;=35,"Performative",IF(J86&gt;=20,"Harmful","Adversarial")))))</f>
        <v/>
      </c>
      <c r="L86" s="51" t="inlineStr">
        <is>
          <t>Yes</t>
        </is>
      </c>
      <c r="M86" s="51" t="inlineStr">
        <is>
          <t>Yes</t>
        </is>
      </c>
      <c r="N86" s="51" t="inlineStr">
        <is>
          <t>No</t>
        </is>
      </c>
      <c r="O86" s="51" t="inlineStr">
        <is>
          <t>No</t>
        </is>
      </c>
      <c r="P86" s="51" t="inlineStr">
        <is>
          <t>No</t>
        </is>
      </c>
      <c r="Q86" s="52" t="inlineStr">
        <is>
          <t>First major defense contractor to publicly announce compliance with Trump's anti-DEI executive order (Jan 2025), unwinding years of CEI 100 standing and ERG visibility.</t>
        </is>
      </c>
    </row>
    <row r="87" ht="23.25" customHeight="1" s="42">
      <c r="A87" s="57" t="inlineStr">
        <is>
          <t>RTX (Raytheon)</t>
        </is>
      </c>
      <c r="B87" s="58" t="inlineStr">
        <is>
          <t>RTX</t>
        </is>
      </c>
      <c r="C87" s="59" t="inlineStr">
        <is>
          <t>Defense &amp; Gov Contracting</t>
        </is>
      </c>
      <c r="D87" s="58" t="n">
        <v>80.7</v>
      </c>
      <c r="E87" s="58" t="n">
        <v>100</v>
      </c>
      <c r="F87" s="58" t="n">
        <v>2024</v>
      </c>
      <c r="G87" s="58" t="inlineStr">
        <is>
          <t>No</t>
        </is>
      </c>
      <c r="H87" s="60">
        <f>MIN(20,SUMIFS(Action_Log!$F:$F,Action_Log!$A:$A,$A87,Action_Log!$D:$D,"Cosmetic")+SUMIFS(Action_Log!$F:$F,Action_Log!$A:$A,$A87,Action_Log!$D:$D,"Commercial"))+SUMIFS(Action_Log!$F:$F,Action_Log!$A:$A,$A87,Action_Log!$D:$D,"Civic")+SUMIFS(Action_Log!$F:$F,Action_Log!$A:$A,$A87,Action_Log!$D:$D,"Financial")+SUMIFS(Action_Log!$F:$F,Action_Log!$A:$A,$A87,Action_Log!$D:$D,"Structural")</f>
        <v/>
      </c>
      <c r="I87" s="61">
        <f>SUMIFS(Action_Log!$F:$F,Action_Log!$A:$A,$A87,Action_Log!$E:$E,"Negative")</f>
        <v/>
      </c>
      <c r="J87" s="62">
        <f>MAX(0,MIN(100,50+H87+I87))</f>
        <v/>
      </c>
      <c r="K87" s="63">
        <f>IF(J87&gt;=80,"Champion",IF(J87&gt;=65,"Ally",IF(J87&gt;=50,"Neutral",IF(J87&gt;=35,"Performative",IF(J87&gt;=20,"Harmful","Adversarial")))))</f>
        <v/>
      </c>
      <c r="L87" s="58" t="inlineStr">
        <is>
          <t>Yes</t>
        </is>
      </c>
      <c r="M87" s="58" t="inlineStr">
        <is>
          <t>Yes</t>
        </is>
      </c>
      <c r="N87" s="58" t="inlineStr">
        <is>
          <t>No</t>
        </is>
      </c>
      <c r="O87" s="58" t="inlineStr">
        <is>
          <t>No</t>
        </is>
      </c>
      <c r="P87" s="58" t="inlineStr">
        <is>
          <t>No</t>
        </is>
      </c>
      <c r="Q87" s="59" t="inlineStr">
        <is>
          <t>Quietly removed its DEI webpages (now dead links) in the early-2025 defense-sector scramble. Previously CEI 100 with an active Pride ERG.</t>
        </is>
      </c>
    </row>
    <row r="88" ht="23.25" customHeight="1" s="42">
      <c r="A88" s="50" t="inlineStr">
        <is>
          <t>Boeing</t>
        </is>
      </c>
      <c r="B88" s="51" t="inlineStr">
        <is>
          <t>BA</t>
        </is>
      </c>
      <c r="C88" s="52" t="inlineStr">
        <is>
          <t>Defense &amp; Gov Contracting</t>
        </is>
      </c>
      <c r="D88" s="51" t="n">
        <v>66.5</v>
      </c>
      <c r="E88" s="51" t="n">
        <v>100</v>
      </c>
      <c r="F88" s="51" t="n">
        <v>2024</v>
      </c>
      <c r="G88" s="51" t="inlineStr">
        <is>
          <t>No</t>
        </is>
      </c>
      <c r="H88" s="53">
        <f>MIN(20,SUMIFS(Action_Log!$F:$F,Action_Log!$A:$A,$A88,Action_Log!$D:$D,"Cosmetic")+SUMIFS(Action_Log!$F:$F,Action_Log!$A:$A,$A88,Action_Log!$D:$D,"Commercial"))+SUMIFS(Action_Log!$F:$F,Action_Log!$A:$A,$A88,Action_Log!$D:$D,"Civic")+SUMIFS(Action_Log!$F:$F,Action_Log!$A:$A,$A88,Action_Log!$D:$D,"Financial")+SUMIFS(Action_Log!$F:$F,Action_Log!$A:$A,$A88,Action_Log!$D:$D,"Structural")</f>
        <v/>
      </c>
      <c r="I88" s="54">
        <f>SUMIFS(Action_Log!$F:$F,Action_Log!$A:$A,$A88,Action_Log!$E:$E,"Negative")</f>
        <v/>
      </c>
      <c r="J88" s="55">
        <f>MAX(0,MIN(100,50+H88+I88))</f>
        <v/>
      </c>
      <c r="K88" s="56">
        <f>IF(J88&gt;=80,"Champion",IF(J88&gt;=65,"Ally",IF(J88&gt;=50,"Neutral",IF(J88&gt;=35,"Performative",IF(J88&gt;=20,"Harmful","Adversarial")))))</f>
        <v/>
      </c>
      <c r="L88" s="51" t="inlineStr">
        <is>
          <t>Yes</t>
        </is>
      </c>
      <c r="M88" s="51" t="inlineStr">
        <is>
          <t>Yes</t>
        </is>
      </c>
      <c r="N88" s="51" t="inlineStr">
        <is>
          <t>No</t>
        </is>
      </c>
      <c r="O88" s="51" t="inlineStr">
        <is>
          <t>No</t>
        </is>
      </c>
      <c r="P88" s="51" t="inlineStr">
        <is>
          <t>No</t>
        </is>
      </c>
      <c r="Q88" s="52" t="inlineStr">
        <is>
          <t>Dismantled its global DEI department in Nov 2024 under new CEO Ortberg — before the inauguration — then joined the sector's webpage scrub. Previously CEI 100 with a Pride ERG. Documented anti-LGBTQ+ political giving lowers the score (-30); see Political_Donations sheet.</t>
        </is>
      </c>
    </row>
    <row r="89" ht="23.25" customHeight="1" s="42">
      <c r="A89" s="57" t="inlineStr">
        <is>
          <t>Palantir Technologies</t>
        </is>
      </c>
      <c r="B89" s="58" t="inlineStr">
        <is>
          <t>PLTR</t>
        </is>
      </c>
      <c r="C89" s="59" t="inlineStr">
        <is>
          <t>Defense &amp; Gov Contracting</t>
        </is>
      </c>
      <c r="D89" s="58" t="n">
        <v>2.9</v>
      </c>
      <c r="E89" s="58" t="inlineStr">
        <is>
          <t>Not rated</t>
        </is>
      </c>
      <c r="F89" s="58" t="inlineStr">
        <is>
          <t>—</t>
        </is>
      </c>
      <c r="G89" s="58" t="inlineStr">
        <is>
          <t>Never</t>
        </is>
      </c>
      <c r="H89" s="60">
        <f>MIN(20,SUMIFS(Action_Log!$F:$F,Action_Log!$A:$A,$A89,Action_Log!$D:$D,"Cosmetic")+SUMIFS(Action_Log!$F:$F,Action_Log!$A:$A,$A89,Action_Log!$D:$D,"Commercial"))+SUMIFS(Action_Log!$F:$F,Action_Log!$A:$A,$A89,Action_Log!$D:$D,"Civic")+SUMIFS(Action_Log!$F:$F,Action_Log!$A:$A,$A89,Action_Log!$D:$D,"Financial")+SUMIFS(Action_Log!$F:$F,Action_Log!$A:$A,$A89,Action_Log!$D:$D,"Structural")</f>
        <v/>
      </c>
      <c r="I89" s="61">
        <f>SUMIFS(Action_Log!$F:$F,Action_Log!$A:$A,$A89,Action_Log!$E:$E,"Negative")</f>
        <v/>
      </c>
      <c r="J89" s="62">
        <f>MAX(0,MIN(100,50+H89+I89))</f>
        <v/>
      </c>
      <c r="K89" s="63">
        <f>IF(J89&gt;=80,"Champion",IF(J89&gt;=65,"Ally",IF(J89&gt;=50,"Neutral",IF(J89&gt;=35,"Performative",IF(J89&gt;=20,"Harmful","Adversarial")))))</f>
        <v/>
      </c>
      <c r="L89" s="58" t="inlineStr">
        <is>
          <t>No</t>
        </is>
      </c>
      <c r="M89" s="58" t="inlineStr">
        <is>
          <t>No</t>
        </is>
      </c>
      <c r="N89" s="58" t="inlineStr">
        <is>
          <t>No</t>
        </is>
      </c>
      <c r="O89" s="58" t="inlineStr">
        <is>
          <t>No</t>
        </is>
      </c>
      <c r="P89" s="58" t="inlineStr">
        <is>
          <t>No</t>
        </is>
      </c>
      <c r="Q89" s="59" t="inlineStr">
        <is>
          <t>Never engaged: no Pride programs, no CEI participation, no DEI infrastructure to remove. CEO Karp brags it was 'the first company to be completely anti-woke' (Nov 2025). Scores neutral only because the taxonomy scores actions, not attitude.</t>
        </is>
      </c>
    </row>
    <row r="90" ht="15" customHeight="1" s="42">
      <c r="A90" s="57" t="inlineStr">
        <is>
          <t>Adobe</t>
        </is>
      </c>
      <c r="B90" s="58" t="inlineStr">
        <is>
          <t>ADBE</t>
        </is>
      </c>
      <c r="C90" s="59" t="inlineStr">
        <is>
          <t>Technology</t>
        </is>
      </c>
      <c r="D90" s="58" t="n">
        <v>21.5</v>
      </c>
      <c r="E90" s="58" t="n">
        <v>100</v>
      </c>
      <c r="F90" s="58" t="n">
        <v>2024</v>
      </c>
      <c r="G90" s="58" t="inlineStr">
        <is>
          <t>Yes</t>
        </is>
      </c>
      <c r="H90" s="60">
        <f>MIN(20,SUMIFS(Action_Log!$F:$F,Action_Log!$A:$A,$A90,Action_Log!$D:$D,"Cosmetic")+SUMIFS(Action_Log!$F:$F,Action_Log!$A:$A,$A90,Action_Log!$D:$D,"Commercial"))+SUMIFS(Action_Log!$F:$F,Action_Log!$A:$A,$A90,Action_Log!$D:$D,"Civic")+SUMIFS(Action_Log!$F:$F,Action_Log!$A:$A,$A90,Action_Log!$D:$D,"Financial")+SUMIFS(Action_Log!$F:$F,Action_Log!$A:$A,$A90,Action_Log!$D:$D,"Structural")</f>
        <v/>
      </c>
      <c r="I90" s="61">
        <f>SUMIFS(Action_Log!$F:$F,Action_Log!$A:$A,$A90,Action_Log!$E:$E,"Negative")</f>
        <v/>
      </c>
      <c r="J90" s="62">
        <f>MAX(0,MIN(100,50+H90+I90))</f>
        <v/>
      </c>
      <c r="K90" s="63">
        <f>IF(J90&gt;=80,"Champion",IF(J90&gt;=65,"Ally",IF(J90&gt;=50,"Neutral",IF(J90&gt;=35,"Performative",IF(J90&gt;=20,"Harmful","Adversarial")))))</f>
        <v/>
      </c>
      <c r="L90" s="58" t="inlineStr">
        <is>
          <t>No</t>
        </is>
      </c>
      <c r="M90" s="58" t="inlineStr">
        <is>
          <t>No</t>
        </is>
      </c>
      <c r="N90" s="58" t="inlineStr">
        <is>
          <t>No</t>
        </is>
      </c>
      <c r="O90" s="58" t="inlineStr">
        <is>
          <t>No</t>
        </is>
      </c>
      <c r="P90" s="58" t="inlineStr">
        <is>
          <t>No</t>
        </is>
      </c>
      <c r="Q90" s="59" t="inlineStr">
        <is>
          <t>Quiet holder: long CEI 100 record, inclusive benefits, Pride engagement maintained; absent from rollback lists.</t>
        </is>
      </c>
    </row>
    <row r="91" ht="15" customHeight="1" s="42">
      <c r="A91" s="57" t="inlineStr">
        <is>
          <t>Intel</t>
        </is>
      </c>
      <c r="B91" s="58" t="inlineStr">
        <is>
          <t>INTC</t>
        </is>
      </c>
      <c r="C91" s="59" t="inlineStr">
        <is>
          <t>Technology</t>
        </is>
      </c>
      <c r="D91" s="58" t="n">
        <v>53.1</v>
      </c>
      <c r="E91" s="58" t="n">
        <v>100</v>
      </c>
      <c r="F91" s="58" t="n">
        <v>2024</v>
      </c>
      <c r="G91" s="58" t="inlineStr">
        <is>
          <t>No</t>
        </is>
      </c>
      <c r="H91" s="60">
        <f>MIN(20,SUMIFS(Action_Log!$F:$F,Action_Log!$A:$A,$A91,Action_Log!$D:$D,"Cosmetic")+SUMIFS(Action_Log!$F:$F,Action_Log!$A:$A,$A91,Action_Log!$D:$D,"Commercial"))+SUMIFS(Action_Log!$F:$F,Action_Log!$A:$A,$A91,Action_Log!$D:$D,"Civic")+SUMIFS(Action_Log!$F:$F,Action_Log!$A:$A,$A91,Action_Log!$D:$D,"Financial")+SUMIFS(Action_Log!$F:$F,Action_Log!$A:$A,$A91,Action_Log!$D:$D,"Structural")</f>
        <v/>
      </c>
      <c r="I91" s="61">
        <f>SUMIFS(Action_Log!$F:$F,Action_Log!$A:$A,$A91,Action_Log!$E:$E,"Negative")</f>
        <v/>
      </c>
      <c r="J91" s="62">
        <f>MAX(0,MIN(100,50+H91+I91))</f>
        <v/>
      </c>
      <c r="K91" s="63">
        <f>IF(J91&gt;=80,"Champion",IF(J91&gt;=65,"Ally",IF(J91&gt;=50,"Neutral",IF(J91&gt;=35,"Performative",IF(J91&gt;=20,"Harmful","Adversarial")))))</f>
        <v/>
      </c>
      <c r="L91" s="58" t="inlineStr">
        <is>
          <t>Yes</t>
        </is>
      </c>
      <c r="M91" s="58" t="inlineStr">
        <is>
          <t>Yes</t>
        </is>
      </c>
      <c r="N91" s="58" t="inlineStr">
        <is>
          <t>No</t>
        </is>
      </c>
      <c r="O91" s="58" t="inlineStr">
        <is>
          <t>No</t>
        </is>
      </c>
      <c r="P91" s="58" t="inlineStr">
        <is>
          <t>No</t>
        </is>
      </c>
      <c r="Q91" s="59" t="inlineStr">
        <is>
          <t>Trimmed DEI language and some diversity targets from its 10-K in early 2025 while keeping its inclusion webpage and ERGs — a hedge under federal-contractor pressure.</t>
        </is>
      </c>
    </row>
    <row r="92" ht="15" customHeight="1" s="42">
      <c r="A92" s="57" t="inlineStr">
        <is>
          <t>Cisco Systems</t>
        </is>
      </c>
      <c r="B92" s="58" t="inlineStr">
        <is>
          <t>CSCO</t>
        </is>
      </c>
      <c r="C92" s="59" t="inlineStr">
        <is>
          <t>Technology</t>
        </is>
      </c>
      <c r="D92" s="58" t="n">
        <v>53.8</v>
      </c>
      <c r="E92" s="58" t="n">
        <v>100</v>
      </c>
      <c r="F92" s="58" t="n">
        <v>2025</v>
      </c>
      <c r="G92" s="58" t="inlineStr">
        <is>
          <t>Yes</t>
        </is>
      </c>
      <c r="H92" s="60">
        <f>MIN(20,SUMIFS(Action_Log!$F:$F,Action_Log!$A:$A,$A92,Action_Log!$D:$D,"Cosmetic")+SUMIFS(Action_Log!$F:$F,Action_Log!$A:$A,$A92,Action_Log!$D:$D,"Commercial"))+SUMIFS(Action_Log!$F:$F,Action_Log!$A:$A,$A92,Action_Log!$D:$D,"Civic")+SUMIFS(Action_Log!$F:$F,Action_Log!$A:$A,$A92,Action_Log!$D:$D,"Financial")+SUMIFS(Action_Log!$F:$F,Action_Log!$A:$A,$A92,Action_Log!$D:$D,"Structural")</f>
        <v/>
      </c>
      <c r="I92" s="61">
        <f>SUMIFS(Action_Log!$F:$F,Action_Log!$A:$A,$A92,Action_Log!$E:$E,"Negative")</f>
        <v/>
      </c>
      <c r="J92" s="62">
        <f>MAX(0,MIN(100,50+H92+I92))</f>
        <v/>
      </c>
      <c r="K92" s="63">
        <f>IF(J92&gt;=80,"Champion",IF(J92&gt;=65,"Ally",IF(J92&gt;=50,"Neutral",IF(J92&gt;=35,"Performative",IF(J92&gt;=20,"Harmful","Adversarial")))))</f>
        <v/>
      </c>
      <c r="L92" s="58" t="inlineStr">
        <is>
          <t>No</t>
        </is>
      </c>
      <c r="M92" s="58" t="inlineStr">
        <is>
          <t>No</t>
        </is>
      </c>
      <c r="N92" s="58" t="inlineStr">
        <is>
          <t>No</t>
        </is>
      </c>
      <c r="O92" s="58" t="inlineStr">
        <is>
          <t>No</t>
        </is>
      </c>
      <c r="P92" s="58" t="inlineStr">
        <is>
          <t>No</t>
        </is>
      </c>
      <c r="Q92" s="59" t="inlineStr">
        <is>
          <t>One of the most explicit tech holders: CEO Chuck Robbins publicly defended DEI after the January 2025 executive orders ('too much business value'). CEI 100 streak and benefits intact.</t>
        </is>
      </c>
    </row>
    <row r="93" ht="15" customHeight="1" s="42">
      <c r="A93" s="57" t="inlineStr">
        <is>
          <t>NVIDIA</t>
        </is>
      </c>
      <c r="B93" s="58" t="inlineStr">
        <is>
          <t>NVDA</t>
        </is>
      </c>
      <c r="C93" s="59" t="inlineStr">
        <is>
          <t>Technology</t>
        </is>
      </c>
      <c r="D93" s="58" t="n">
        <v>130.5</v>
      </c>
      <c r="E93" s="58" t="n">
        <v>100</v>
      </c>
      <c r="F93" s="58" t="n">
        <v>2024</v>
      </c>
      <c r="G93" s="58" t="inlineStr">
        <is>
          <t>Yes</t>
        </is>
      </c>
      <c r="H93" s="60">
        <f>MIN(20,SUMIFS(Action_Log!$F:$F,Action_Log!$A:$A,$A93,Action_Log!$D:$D,"Cosmetic")+SUMIFS(Action_Log!$F:$F,Action_Log!$A:$A,$A93,Action_Log!$D:$D,"Commercial"))+SUMIFS(Action_Log!$F:$F,Action_Log!$A:$A,$A93,Action_Log!$D:$D,"Civic")+SUMIFS(Action_Log!$F:$F,Action_Log!$A:$A,$A93,Action_Log!$D:$D,"Financial")+SUMIFS(Action_Log!$F:$F,Action_Log!$A:$A,$A93,Action_Log!$D:$D,"Structural")</f>
        <v/>
      </c>
      <c r="I93" s="61">
        <f>SUMIFS(Action_Log!$F:$F,Action_Log!$A:$A,$A93,Action_Log!$E:$E,"Negative")</f>
        <v/>
      </c>
      <c r="J93" s="62">
        <f>MAX(0,MIN(100,50+H93+I93))</f>
        <v/>
      </c>
      <c r="K93" s="63">
        <f>IF(J93&gt;=80,"Champion",IF(J93&gt;=65,"Ally",IF(J93&gt;=50,"Neutral",IF(J93&gt;=35,"Performative",IF(J93&gt;=20,"Harmful","Adversarial")))))</f>
        <v/>
      </c>
      <c r="L93" s="58" t="inlineStr">
        <is>
          <t>No</t>
        </is>
      </c>
      <c r="M93" s="58" t="inlineStr">
        <is>
          <t>No</t>
        </is>
      </c>
      <c r="N93" s="58" t="inlineStr">
        <is>
          <t>No</t>
        </is>
      </c>
      <c r="O93" s="58" t="inlineStr">
        <is>
          <t>No</t>
        </is>
      </c>
      <c r="P93" s="58" t="inlineStr">
        <is>
          <t>No</t>
        </is>
      </c>
      <c r="Q93" s="59" t="inlineStr">
        <is>
          <t>Kept its diversity, inclusion and belonging page and sustainability-report DEI section through the retreat wave (TechCrunch). Quiet, no reversal.</t>
        </is>
      </c>
    </row>
    <row r="94" ht="15" customHeight="1" s="42">
      <c r="A94" s="57" t="inlineStr">
        <is>
          <t>Qualcomm</t>
        </is>
      </c>
      <c r="B94" s="58" t="inlineStr">
        <is>
          <t>QCOM</t>
        </is>
      </c>
      <c r="C94" s="59" t="inlineStr">
        <is>
          <t>Technology</t>
        </is>
      </c>
      <c r="D94" s="58" t="n">
        <v>39</v>
      </c>
      <c r="E94" s="58" t="n">
        <v>100</v>
      </c>
      <c r="F94" s="58" t="n">
        <v>2024</v>
      </c>
      <c r="G94" s="58" t="inlineStr">
        <is>
          <t>No</t>
        </is>
      </c>
      <c r="H94" s="60">
        <f>MIN(20,SUMIFS(Action_Log!$F:$F,Action_Log!$A:$A,$A94,Action_Log!$D:$D,"Cosmetic")+SUMIFS(Action_Log!$F:$F,Action_Log!$A:$A,$A94,Action_Log!$D:$D,"Commercial"))+SUMIFS(Action_Log!$F:$F,Action_Log!$A:$A,$A94,Action_Log!$D:$D,"Civic")+SUMIFS(Action_Log!$F:$F,Action_Log!$A:$A,$A94,Action_Log!$D:$D,"Financial")+SUMIFS(Action_Log!$F:$F,Action_Log!$A:$A,$A94,Action_Log!$D:$D,"Structural")</f>
        <v/>
      </c>
      <c r="I94" s="61">
        <f>SUMIFS(Action_Log!$F:$F,Action_Log!$A:$A,$A94,Action_Log!$E:$E,"Negative")</f>
        <v/>
      </c>
      <c r="J94" s="62">
        <f>MAX(0,MIN(100,50+H94+I94))</f>
        <v/>
      </c>
      <c r="K94" s="63">
        <f>IF(J94&gt;=80,"Champion",IF(J94&gt;=65,"Ally",IF(J94&gt;=50,"Neutral",IF(J94&gt;=35,"Performative",IF(J94&gt;=20,"Harmful","Adversarial")))))</f>
        <v/>
      </c>
      <c r="L94" s="58" t="inlineStr">
        <is>
          <t>No</t>
        </is>
      </c>
      <c r="M94" s="58" t="inlineStr">
        <is>
          <t>No</t>
        </is>
      </c>
      <c r="N94" s="58" t="inlineStr">
        <is>
          <t>No</t>
        </is>
      </c>
      <c r="O94" s="58" t="inlineStr">
        <is>
          <t>No</t>
        </is>
      </c>
      <c r="P94" s="58" t="inlineStr">
        <is>
          <t>No</t>
        </is>
      </c>
      <c r="Q94" s="59" t="inlineStr">
        <is>
          <t>Quiet record: eQuality ERG and CEI 100 history; no documented reversal, low visibility.</t>
        </is>
      </c>
    </row>
    <row r="95" ht="15" customHeight="1" s="42">
      <c r="A95" s="57" t="inlineStr">
        <is>
          <t>Texas Instruments</t>
        </is>
      </c>
      <c r="B95" s="58" t="inlineStr">
        <is>
          <t>TXN</t>
        </is>
      </c>
      <c r="C95" s="59" t="inlineStr">
        <is>
          <t>Technology</t>
        </is>
      </c>
      <c r="D95" s="58" t="n">
        <v>15.6</v>
      </c>
      <c r="E95" s="58" t="n">
        <v>100</v>
      </c>
      <c r="F95" s="58" t="n">
        <v>2024</v>
      </c>
      <c r="G95" s="58" t="inlineStr">
        <is>
          <t>No</t>
        </is>
      </c>
      <c r="H95" s="60">
        <f>MIN(20,SUMIFS(Action_Log!$F:$F,Action_Log!$A:$A,$A95,Action_Log!$D:$D,"Cosmetic")+SUMIFS(Action_Log!$F:$F,Action_Log!$A:$A,$A95,Action_Log!$D:$D,"Commercial"))+SUMIFS(Action_Log!$F:$F,Action_Log!$A:$A,$A95,Action_Log!$D:$D,"Civic")+SUMIFS(Action_Log!$F:$F,Action_Log!$A:$A,$A95,Action_Log!$D:$D,"Financial")+SUMIFS(Action_Log!$F:$F,Action_Log!$A:$A,$A95,Action_Log!$D:$D,"Structural")</f>
        <v/>
      </c>
      <c r="I95" s="61">
        <f>SUMIFS(Action_Log!$F:$F,Action_Log!$A:$A,$A95,Action_Log!$E:$E,"Negative")</f>
        <v/>
      </c>
      <c r="J95" s="62">
        <f>MAX(0,MIN(100,50+H95+I95))</f>
        <v/>
      </c>
      <c r="K95" s="63">
        <f>IF(J95&gt;=80,"Champion",IF(J95&gt;=65,"Ally",IF(J95&gt;=50,"Neutral",IF(J95&gt;=35,"Performative",IF(J95&gt;=20,"Harmful","Adversarial")))))</f>
        <v/>
      </c>
      <c r="L95" s="58" t="inlineStr">
        <is>
          <t>No</t>
        </is>
      </c>
      <c r="M95" s="58" t="inlineStr">
        <is>
          <t>No</t>
        </is>
      </c>
      <c r="N95" s="58" t="inlineStr">
        <is>
          <t>No</t>
        </is>
      </c>
      <c r="O95" s="58" t="inlineStr">
        <is>
          <t>No</t>
        </is>
      </c>
      <c r="P95" s="58" t="inlineStr">
        <is>
          <t>No</t>
        </is>
      </c>
      <c r="Q95" s="59" t="inlineStr">
        <is>
          <t>CEI 100 history with minimal public Pride engagement; no documented reversal.</t>
        </is>
      </c>
    </row>
    <row r="96" ht="15" customHeight="1" s="42">
      <c r="A96" s="57" t="inlineStr">
        <is>
          <t>PayPal</t>
        </is>
      </c>
      <c r="B96" s="58" t="inlineStr">
        <is>
          <t>PYPL</t>
        </is>
      </c>
      <c r="C96" s="59" t="inlineStr">
        <is>
          <t>Technology</t>
        </is>
      </c>
      <c r="D96" s="58" t="n">
        <v>31.8</v>
      </c>
      <c r="E96" s="58" t="n">
        <v>100</v>
      </c>
      <c r="F96" s="58" t="n">
        <v>2024</v>
      </c>
      <c r="G96" s="58" t="inlineStr">
        <is>
          <t>Yes</t>
        </is>
      </c>
      <c r="H96" s="60">
        <f>MIN(20,SUMIFS(Action_Log!$F:$F,Action_Log!$A:$A,$A96,Action_Log!$D:$D,"Cosmetic")+SUMIFS(Action_Log!$F:$F,Action_Log!$A:$A,$A96,Action_Log!$D:$D,"Commercial"))+SUMIFS(Action_Log!$F:$F,Action_Log!$A:$A,$A96,Action_Log!$D:$D,"Civic")+SUMIFS(Action_Log!$F:$F,Action_Log!$A:$A,$A96,Action_Log!$D:$D,"Financial")+SUMIFS(Action_Log!$F:$F,Action_Log!$A:$A,$A96,Action_Log!$D:$D,"Structural")</f>
        <v/>
      </c>
      <c r="I96" s="61">
        <f>SUMIFS(Action_Log!$F:$F,Action_Log!$A:$A,$A96,Action_Log!$E:$E,"Negative")</f>
        <v/>
      </c>
      <c r="J96" s="62">
        <f>MAX(0,MIN(100,50+H96+I96))</f>
        <v/>
      </c>
      <c r="K96" s="63">
        <f>IF(J96&gt;=80,"Champion",IF(J96&gt;=65,"Ally",IF(J96&gt;=50,"Neutral",IF(J96&gt;=35,"Performative",IF(J96&gt;=20,"Harmful","Adversarial")))))</f>
        <v/>
      </c>
      <c r="L96" s="58" t="inlineStr">
        <is>
          <t>No</t>
        </is>
      </c>
      <c r="M96" s="58" t="inlineStr">
        <is>
          <t>No</t>
        </is>
      </c>
      <c r="N96" s="58" t="inlineStr">
        <is>
          <t>No</t>
        </is>
      </c>
      <c r="O96" s="58" t="inlineStr">
        <is>
          <t>No</t>
        </is>
      </c>
      <c r="P96" s="58" t="inlineStr">
        <is>
          <t>No</t>
        </is>
      </c>
      <c r="Q96" s="59" t="inlineStr">
        <is>
          <t>Set the structural-advocacy benchmark by canceling its 400-job Charlotte expansion over North Carolina's anti-trans HB2 law (2016). CEI 100 record; quieter today but no reversal.</t>
        </is>
      </c>
    </row>
    <row r="97" ht="15" customHeight="1" s="42">
      <c r="A97" s="57" t="inlineStr">
        <is>
          <t>Block (Square)</t>
        </is>
      </c>
      <c r="B97" s="58" t="inlineStr">
        <is>
          <t>XYZ</t>
        </is>
      </c>
      <c r="C97" s="59" t="inlineStr">
        <is>
          <t>Technology</t>
        </is>
      </c>
      <c r="D97" s="58" t="n">
        <v>24.1</v>
      </c>
      <c r="E97" s="58" t="inlineStr">
        <is>
          <t>Not rated</t>
        </is>
      </c>
      <c r="F97" s="58" t="inlineStr">
        <is>
          <t>—</t>
        </is>
      </c>
      <c r="G97" s="58" t="inlineStr">
        <is>
          <t>No</t>
        </is>
      </c>
      <c r="H97" s="60">
        <f>MIN(20,SUMIFS(Action_Log!$F:$F,Action_Log!$A:$A,$A97,Action_Log!$D:$D,"Cosmetic")+SUMIFS(Action_Log!$F:$F,Action_Log!$A:$A,$A97,Action_Log!$D:$D,"Commercial"))+SUMIFS(Action_Log!$F:$F,Action_Log!$A:$A,$A97,Action_Log!$D:$D,"Civic")+SUMIFS(Action_Log!$F:$F,Action_Log!$A:$A,$A97,Action_Log!$D:$D,"Financial")+SUMIFS(Action_Log!$F:$F,Action_Log!$A:$A,$A97,Action_Log!$D:$D,"Structural")</f>
        <v/>
      </c>
      <c r="I97" s="61">
        <f>SUMIFS(Action_Log!$F:$F,Action_Log!$A:$A,$A97,Action_Log!$E:$E,"Negative")</f>
        <v/>
      </c>
      <c r="J97" s="62">
        <f>MAX(0,MIN(100,50+H97+I97))</f>
        <v/>
      </c>
      <c r="K97" s="63">
        <f>IF(J97&gt;=80,"Champion",IF(J97&gt;=65,"Ally",IF(J97&gt;=50,"Neutral",IF(J97&gt;=35,"Performative",IF(J97&gt;=20,"Harmful","Adversarial")))))</f>
        <v/>
      </c>
      <c r="L97" s="58" t="inlineStr">
        <is>
          <t>No</t>
        </is>
      </c>
      <c r="M97" s="58" t="inlineStr">
        <is>
          <t>No</t>
        </is>
      </c>
      <c r="N97" s="58" t="inlineStr">
        <is>
          <t>No</t>
        </is>
      </c>
      <c r="O97" s="58" t="inlineStr">
        <is>
          <t>No</t>
        </is>
      </c>
      <c r="P97" s="58" t="inlineStr">
        <is>
          <t>No</t>
        </is>
      </c>
      <c r="Q97" s="59" t="inlineStr">
        <is>
          <t>No meaningful public LGBTQ+ record located in either direction; Dorsey-era culture deprioritizes cause marketing.</t>
        </is>
      </c>
    </row>
    <row r="98" ht="15" customHeight="1" s="42">
      <c r="A98" s="57" t="inlineStr">
        <is>
          <t>Uber</t>
        </is>
      </c>
      <c r="B98" s="58" t="inlineStr">
        <is>
          <t>UBER</t>
        </is>
      </c>
      <c r="C98" s="59" t="inlineStr">
        <is>
          <t>Technology</t>
        </is>
      </c>
      <c r="D98" s="58" t="n">
        <v>44</v>
      </c>
      <c r="E98" s="58" t="n">
        <v>100</v>
      </c>
      <c r="F98" s="58" t="n">
        <v>2024</v>
      </c>
      <c r="G98" s="58" t="inlineStr">
        <is>
          <t>No</t>
        </is>
      </c>
      <c r="H98" s="60">
        <f>MIN(20,SUMIFS(Action_Log!$F:$F,Action_Log!$A:$A,$A98,Action_Log!$D:$D,"Cosmetic")+SUMIFS(Action_Log!$F:$F,Action_Log!$A:$A,$A98,Action_Log!$D:$D,"Commercial"))+SUMIFS(Action_Log!$F:$F,Action_Log!$A:$A,$A98,Action_Log!$D:$D,"Civic")+SUMIFS(Action_Log!$F:$F,Action_Log!$A:$A,$A98,Action_Log!$D:$D,"Financial")+SUMIFS(Action_Log!$F:$F,Action_Log!$A:$A,$A98,Action_Log!$D:$D,"Structural")</f>
        <v/>
      </c>
      <c r="I98" s="61">
        <f>SUMIFS(Action_Log!$F:$F,Action_Log!$A:$A,$A98,Action_Log!$E:$E,"Negative")</f>
        <v/>
      </c>
      <c r="J98" s="62">
        <f>MAX(0,MIN(100,50+H98+I98))</f>
        <v/>
      </c>
      <c r="K98" s="63">
        <f>IF(J98&gt;=80,"Champion",IF(J98&gt;=65,"Ally",IF(J98&gt;=50,"Neutral",IF(J98&gt;=35,"Performative",IF(J98&gt;=20,"Harmful","Adversarial")))))</f>
        <v/>
      </c>
      <c r="L98" s="58" t="inlineStr">
        <is>
          <t>Yes</t>
        </is>
      </c>
      <c r="M98" s="58" t="inlineStr">
        <is>
          <t>Yes</t>
        </is>
      </c>
      <c r="N98" s="58" t="inlineStr">
        <is>
          <t>No</t>
        </is>
      </c>
      <c r="O98" s="58" t="inlineStr">
        <is>
          <t>No</t>
        </is>
      </c>
      <c r="P98" s="58" t="inlineStr">
        <is>
          <t>No</t>
        </is>
      </c>
      <c r="Q98" s="59" t="inlineStr">
        <is>
          <t>Eliminated its DEI-linked executive pay incentive, dropped board diversity commitments, and removed the entire diversity section from its 10-K in early 2025 (SF Examiner/TechCrunch). Pride at Uber ERG continues.</t>
        </is>
      </c>
    </row>
    <row r="99" ht="15" customHeight="1" s="42">
      <c r="A99" s="57" t="inlineStr">
        <is>
          <t>Lyft</t>
        </is>
      </c>
      <c r="B99" s="58" t="inlineStr">
        <is>
          <t>LYFT</t>
        </is>
      </c>
      <c r="C99" s="59" t="inlineStr">
        <is>
          <t>Technology</t>
        </is>
      </c>
      <c r="D99" s="58" t="n">
        <v>5.8</v>
      </c>
      <c r="E99" s="58" t="n">
        <v>100</v>
      </c>
      <c r="F99" s="58" t="n">
        <v>2024</v>
      </c>
      <c r="G99" s="58" t="inlineStr">
        <is>
          <t>No</t>
        </is>
      </c>
      <c r="H99" s="60">
        <f>MIN(20,SUMIFS(Action_Log!$F:$F,Action_Log!$A:$A,$A99,Action_Log!$D:$D,"Cosmetic")+SUMIFS(Action_Log!$F:$F,Action_Log!$A:$A,$A99,Action_Log!$D:$D,"Commercial"))+SUMIFS(Action_Log!$F:$F,Action_Log!$A:$A,$A99,Action_Log!$D:$D,"Civic")+SUMIFS(Action_Log!$F:$F,Action_Log!$A:$A,$A99,Action_Log!$D:$D,"Financial")+SUMIFS(Action_Log!$F:$F,Action_Log!$A:$A,$A99,Action_Log!$D:$D,"Structural")</f>
        <v/>
      </c>
      <c r="I99" s="61">
        <f>SUMIFS(Action_Log!$F:$F,Action_Log!$A:$A,$A99,Action_Log!$E:$E,"Negative")</f>
        <v/>
      </c>
      <c r="J99" s="62">
        <f>MAX(0,MIN(100,50+H99+I99))</f>
        <v/>
      </c>
      <c r="K99" s="63">
        <f>IF(J99&gt;=80,"Champion",IF(J99&gt;=65,"Ally",IF(J99&gt;=50,"Neutral",IF(J99&gt;=35,"Performative",IF(J99&gt;=20,"Harmful","Adversarial")))))</f>
        <v/>
      </c>
      <c r="L99" s="58" t="inlineStr">
        <is>
          <t>No</t>
        </is>
      </c>
      <c r="M99" s="58" t="inlineStr">
        <is>
          <t>No</t>
        </is>
      </c>
      <c r="N99" s="58" t="inlineStr">
        <is>
          <t>No</t>
        </is>
      </c>
      <c r="O99" s="58" t="inlineStr">
        <is>
          <t>No</t>
        </is>
      </c>
      <c r="P99" s="58" t="inlineStr">
        <is>
          <t>No</t>
        </is>
      </c>
      <c r="Q99" s="59" t="inlineStr">
        <is>
          <t>Historically progressive positioning (rider donation campaigns, Pride rides); quiet through the backlash with no documented reversal.</t>
        </is>
      </c>
    </row>
    <row r="100" ht="15" customHeight="1" s="42">
      <c r="A100" s="57" t="inlineStr">
        <is>
          <t>eBay</t>
        </is>
      </c>
      <c r="B100" s="58" t="inlineStr">
        <is>
          <t>EBAY</t>
        </is>
      </c>
      <c r="C100" s="59" t="inlineStr">
        <is>
          <t>Technology</t>
        </is>
      </c>
      <c r="D100" s="58" t="n">
        <v>10.3</v>
      </c>
      <c r="E100" s="58" t="n">
        <v>100</v>
      </c>
      <c r="F100" s="58" t="n">
        <v>2024</v>
      </c>
      <c r="G100" s="58" t="inlineStr">
        <is>
          <t>Yes</t>
        </is>
      </c>
      <c r="H100" s="60">
        <f>MIN(20,SUMIFS(Action_Log!$F:$F,Action_Log!$A:$A,$A100,Action_Log!$D:$D,"Cosmetic")+SUMIFS(Action_Log!$F:$F,Action_Log!$A:$A,$A100,Action_Log!$D:$D,"Commercial"))+SUMIFS(Action_Log!$F:$F,Action_Log!$A:$A,$A100,Action_Log!$D:$D,"Civic")+SUMIFS(Action_Log!$F:$F,Action_Log!$A:$A,$A100,Action_Log!$D:$D,"Financial")+SUMIFS(Action_Log!$F:$F,Action_Log!$A:$A,$A100,Action_Log!$D:$D,"Structural")</f>
        <v/>
      </c>
      <c r="I100" s="61">
        <f>SUMIFS(Action_Log!$F:$F,Action_Log!$A:$A,$A100,Action_Log!$E:$E,"Negative")</f>
        <v/>
      </c>
      <c r="J100" s="62">
        <f>MAX(0,MIN(100,50+H100+I100))</f>
        <v/>
      </c>
      <c r="K100" s="63">
        <f>IF(J100&gt;=80,"Champion",IF(J100&gt;=65,"Ally",IF(J100&gt;=50,"Neutral",IF(J100&gt;=35,"Performative",IF(J100&gt;=20,"Harmful","Adversarial")))))</f>
        <v/>
      </c>
      <c r="L100" s="58" t="inlineStr">
        <is>
          <t>No</t>
        </is>
      </c>
      <c r="M100" s="58" t="inlineStr">
        <is>
          <t>No</t>
        </is>
      </c>
      <c r="N100" s="58" t="inlineStr">
        <is>
          <t>No</t>
        </is>
      </c>
      <c r="O100" s="58" t="inlineStr">
        <is>
          <t>No</t>
        </is>
      </c>
      <c r="P100" s="58" t="inlineStr">
        <is>
          <t>No</t>
        </is>
      </c>
      <c r="Q100" s="59" t="inlineStr">
        <is>
          <t>Quiet CEI 100 holder with inclusive benefits; no documented reversal.</t>
        </is>
      </c>
    </row>
    <row r="101" ht="15" customHeight="1" s="42">
      <c r="A101" s="57" t="inlineStr">
        <is>
          <t>Intuit</t>
        </is>
      </c>
      <c r="B101" s="58" t="inlineStr">
        <is>
          <t>INTU</t>
        </is>
      </c>
      <c r="C101" s="59" t="inlineStr">
        <is>
          <t>Technology</t>
        </is>
      </c>
      <c r="D101" s="58" t="n">
        <v>16.3</v>
      </c>
      <c r="E101" s="58" t="n">
        <v>100</v>
      </c>
      <c r="F101" s="58" t="n">
        <v>2024</v>
      </c>
      <c r="G101" s="58" t="inlineStr">
        <is>
          <t>Yes</t>
        </is>
      </c>
      <c r="H101" s="60">
        <f>MIN(20,SUMIFS(Action_Log!$F:$F,Action_Log!$A:$A,$A101,Action_Log!$D:$D,"Cosmetic")+SUMIFS(Action_Log!$F:$F,Action_Log!$A:$A,$A101,Action_Log!$D:$D,"Commercial"))+SUMIFS(Action_Log!$F:$F,Action_Log!$A:$A,$A101,Action_Log!$D:$D,"Civic")+SUMIFS(Action_Log!$F:$F,Action_Log!$A:$A,$A101,Action_Log!$D:$D,"Financial")+SUMIFS(Action_Log!$F:$F,Action_Log!$A:$A,$A101,Action_Log!$D:$D,"Structural")</f>
        <v/>
      </c>
      <c r="I101" s="61">
        <f>SUMIFS(Action_Log!$F:$F,Action_Log!$A:$A,$A101,Action_Log!$E:$E,"Negative")</f>
        <v/>
      </c>
      <c r="J101" s="62">
        <f>MAX(0,MIN(100,50+H101+I101))</f>
        <v/>
      </c>
      <c r="K101" s="63">
        <f>IF(J101&gt;=80,"Champion",IF(J101&gt;=65,"Ally",IF(J101&gt;=50,"Neutral",IF(J101&gt;=35,"Performative",IF(J101&gt;=20,"Harmful","Adversarial")))))</f>
        <v/>
      </c>
      <c r="L101" s="58" t="inlineStr">
        <is>
          <t>No</t>
        </is>
      </c>
      <c r="M101" s="58" t="inlineStr">
        <is>
          <t>No</t>
        </is>
      </c>
      <c r="N101" s="58" t="inlineStr">
        <is>
          <t>No</t>
        </is>
      </c>
      <c r="O101" s="58" t="inlineStr">
        <is>
          <t>No</t>
        </is>
      </c>
      <c r="P101" s="58" t="inlineStr">
        <is>
          <t>No</t>
        </is>
      </c>
      <c r="Q101" s="59" t="inlineStr">
        <is>
          <t>Quiet CEI 100 holder; Pride Network ERG and inclusive benefits maintained; no documented reversal.</t>
        </is>
      </c>
    </row>
    <row r="102" ht="15" customHeight="1" s="42">
      <c r="A102" s="57" t="inlineStr">
        <is>
          <t>ServiceNow</t>
        </is>
      </c>
      <c r="B102" s="58" t="inlineStr">
        <is>
          <t>NOW</t>
        </is>
      </c>
      <c r="C102" s="59" t="inlineStr">
        <is>
          <t>Technology</t>
        </is>
      </c>
      <c r="D102" s="58" t="n">
        <v>11</v>
      </c>
      <c r="E102" s="58" t="n">
        <v>100</v>
      </c>
      <c r="F102" s="58" t="n">
        <v>2024</v>
      </c>
      <c r="G102" s="58" t="inlineStr">
        <is>
          <t>No</t>
        </is>
      </c>
      <c r="H102" s="60">
        <f>MIN(20,SUMIFS(Action_Log!$F:$F,Action_Log!$A:$A,$A102,Action_Log!$D:$D,"Cosmetic")+SUMIFS(Action_Log!$F:$F,Action_Log!$A:$A,$A102,Action_Log!$D:$D,"Commercial"))+SUMIFS(Action_Log!$F:$F,Action_Log!$A:$A,$A102,Action_Log!$D:$D,"Civic")+SUMIFS(Action_Log!$F:$F,Action_Log!$A:$A,$A102,Action_Log!$D:$D,"Financial")+SUMIFS(Action_Log!$F:$F,Action_Log!$A:$A,$A102,Action_Log!$D:$D,"Structural")</f>
        <v/>
      </c>
      <c r="I102" s="61">
        <f>SUMIFS(Action_Log!$F:$F,Action_Log!$A:$A,$A102,Action_Log!$E:$E,"Negative")</f>
        <v/>
      </c>
      <c r="J102" s="62">
        <f>MAX(0,MIN(100,50+H102+I102))</f>
        <v/>
      </c>
      <c r="K102" s="63">
        <f>IF(J102&gt;=80,"Champion",IF(J102&gt;=65,"Ally",IF(J102&gt;=50,"Neutral",IF(J102&gt;=35,"Performative",IF(J102&gt;=20,"Harmful","Adversarial")))))</f>
        <v/>
      </c>
      <c r="L102" s="58" t="inlineStr">
        <is>
          <t>No</t>
        </is>
      </c>
      <c r="M102" s="58" t="inlineStr">
        <is>
          <t>No</t>
        </is>
      </c>
      <c r="N102" s="58" t="inlineStr">
        <is>
          <t>No</t>
        </is>
      </c>
      <c r="O102" s="58" t="inlineStr">
        <is>
          <t>No</t>
        </is>
      </c>
      <c r="P102" s="58" t="inlineStr">
        <is>
          <t>No</t>
        </is>
      </c>
      <c r="Q102" s="59" t="inlineStr">
        <is>
          <t>Pride at Now ERG and inclusive policies; quiet, no documented reversal.</t>
        </is>
      </c>
    </row>
    <row r="103" ht="15" customHeight="1" s="42">
      <c r="A103" s="57" t="inlineStr">
        <is>
          <t>Snap Inc.</t>
        </is>
      </c>
      <c r="B103" s="58" t="inlineStr">
        <is>
          <t>SNAP</t>
        </is>
      </c>
      <c r="C103" s="59" t="inlineStr">
        <is>
          <t>Technology</t>
        </is>
      </c>
      <c r="D103" s="58" t="n">
        <v>5.4</v>
      </c>
      <c r="E103" s="58" t="n">
        <v>100</v>
      </c>
      <c r="F103" s="58" t="n">
        <v>2024</v>
      </c>
      <c r="G103" s="58" t="inlineStr">
        <is>
          <t>No</t>
        </is>
      </c>
      <c r="H103" s="60">
        <f>MIN(20,SUMIFS(Action_Log!$F:$F,Action_Log!$A:$A,$A103,Action_Log!$D:$D,"Cosmetic")+SUMIFS(Action_Log!$F:$F,Action_Log!$A:$A,$A103,Action_Log!$D:$D,"Commercial"))+SUMIFS(Action_Log!$F:$F,Action_Log!$A:$A,$A103,Action_Log!$D:$D,"Civic")+SUMIFS(Action_Log!$F:$F,Action_Log!$A:$A,$A103,Action_Log!$D:$D,"Financial")+SUMIFS(Action_Log!$F:$F,Action_Log!$A:$A,$A103,Action_Log!$D:$D,"Structural")</f>
        <v/>
      </c>
      <c r="I103" s="61">
        <f>SUMIFS(Action_Log!$F:$F,Action_Log!$A:$A,$A103,Action_Log!$E:$E,"Negative")</f>
        <v/>
      </c>
      <c r="J103" s="62">
        <f>MAX(0,MIN(100,50+H103+I103))</f>
        <v/>
      </c>
      <c r="K103" s="63">
        <f>IF(J103&gt;=80,"Champion",IF(J103&gt;=65,"Ally",IF(J103&gt;=50,"Neutral",IF(J103&gt;=35,"Performative",IF(J103&gt;=20,"Harmful","Adversarial")))))</f>
        <v/>
      </c>
      <c r="L103" s="58" t="inlineStr">
        <is>
          <t>No</t>
        </is>
      </c>
      <c r="M103" s="58" t="inlineStr">
        <is>
          <t>No</t>
        </is>
      </c>
      <c r="N103" s="58" t="inlineStr">
        <is>
          <t>No</t>
        </is>
      </c>
      <c r="O103" s="58" t="inlineStr">
        <is>
          <t>No</t>
        </is>
      </c>
      <c r="P103" s="58" t="inlineStr">
        <is>
          <t>No</t>
        </is>
      </c>
      <c r="Q103" s="59" t="inlineStr">
        <is>
          <t>Pride filters/lenses are an annual product feature; corporate DEI posture quiet with no clearly documented reversal.</t>
        </is>
      </c>
    </row>
    <row r="104" ht="15" customHeight="1" s="42">
      <c r="A104" s="57" t="inlineStr">
        <is>
          <t>Pinterest</t>
        </is>
      </c>
      <c r="B104" s="58" t="inlineStr">
        <is>
          <t>PINS</t>
        </is>
      </c>
      <c r="C104" s="59" t="inlineStr">
        <is>
          <t>Technology</t>
        </is>
      </c>
      <c r="D104" s="58" t="n">
        <v>3.6</v>
      </c>
      <c r="E104" s="58" t="n">
        <v>100</v>
      </c>
      <c r="F104" s="58" t="n">
        <v>2024</v>
      </c>
      <c r="G104" s="58" t="inlineStr">
        <is>
          <t>Yes</t>
        </is>
      </c>
      <c r="H104" s="60">
        <f>MIN(20,SUMIFS(Action_Log!$F:$F,Action_Log!$A:$A,$A104,Action_Log!$D:$D,"Cosmetic")+SUMIFS(Action_Log!$F:$F,Action_Log!$A:$A,$A104,Action_Log!$D:$D,"Commercial"))+SUMIFS(Action_Log!$F:$F,Action_Log!$A:$A,$A104,Action_Log!$D:$D,"Civic")+SUMIFS(Action_Log!$F:$F,Action_Log!$A:$A,$A104,Action_Log!$D:$D,"Financial")+SUMIFS(Action_Log!$F:$F,Action_Log!$A:$A,$A104,Action_Log!$D:$D,"Structural")</f>
        <v/>
      </c>
      <c r="I104" s="61">
        <f>SUMIFS(Action_Log!$F:$F,Action_Log!$A:$A,$A104,Action_Log!$E:$E,"Negative")</f>
        <v/>
      </c>
      <c r="J104" s="62">
        <f>MAX(0,MIN(100,50+H104+I104))</f>
        <v/>
      </c>
      <c r="K104" s="63">
        <f>IF(J104&gt;=80,"Champion",IF(J104&gt;=65,"Ally",IF(J104&gt;=50,"Neutral",IF(J104&gt;=35,"Performative",IF(J104&gt;=20,"Harmful","Adversarial")))))</f>
        <v/>
      </c>
      <c r="L104" s="58" t="inlineStr">
        <is>
          <t>No</t>
        </is>
      </c>
      <c r="M104" s="58" t="inlineStr">
        <is>
          <t>No</t>
        </is>
      </c>
      <c r="N104" s="58" t="inlineStr">
        <is>
          <t>No</t>
        </is>
      </c>
      <c r="O104" s="58" t="inlineStr">
        <is>
          <t>No</t>
        </is>
      </c>
      <c r="P104" s="58" t="inlineStr">
        <is>
          <t>No</t>
        </is>
      </c>
      <c r="Q104" s="59" t="inlineStr">
        <is>
          <t>Named anti-DEI political attacks as a business risk in its filings — the inverse of the scrubbing trend — and kept its inclusion commitments (TechCrunch, Fortune keeper lists).</t>
        </is>
      </c>
    </row>
    <row r="105" ht="15" customHeight="1" s="42">
      <c r="A105" s="57" t="inlineStr">
        <is>
          <t>Kroger</t>
        </is>
      </c>
      <c r="B105" s="58" t="inlineStr">
        <is>
          <t>KR</t>
        </is>
      </c>
      <c r="C105" s="59" t="inlineStr">
        <is>
          <t>Retail — Big Box</t>
        </is>
      </c>
      <c r="D105" s="58" t="n">
        <v>147.1</v>
      </c>
      <c r="E105" s="58" t="n">
        <v>100</v>
      </c>
      <c r="F105" s="58" t="n">
        <v>2024</v>
      </c>
      <c r="G105" s="58" t="inlineStr">
        <is>
          <t>No</t>
        </is>
      </c>
      <c r="H105" s="60">
        <f>MIN(20,SUMIFS(Action_Log!$F:$F,Action_Log!$A:$A,$A105,Action_Log!$D:$D,"Cosmetic")+SUMIFS(Action_Log!$F:$F,Action_Log!$A:$A,$A105,Action_Log!$D:$D,"Commercial"))+SUMIFS(Action_Log!$F:$F,Action_Log!$A:$A,$A105,Action_Log!$D:$D,"Civic")+SUMIFS(Action_Log!$F:$F,Action_Log!$A:$A,$A105,Action_Log!$D:$D,"Financial")+SUMIFS(Action_Log!$F:$F,Action_Log!$A:$A,$A105,Action_Log!$D:$D,"Structural")</f>
        <v/>
      </c>
      <c r="I105" s="61">
        <f>SUMIFS(Action_Log!$F:$F,Action_Log!$A:$A,$A105,Action_Log!$E:$E,"Negative")</f>
        <v/>
      </c>
      <c r="J105" s="62">
        <f>MAX(0,MIN(100,50+H105+I105))</f>
        <v/>
      </c>
      <c r="K105" s="63">
        <f>IF(J105&gt;=80,"Champion",IF(J105&gt;=65,"Ally",IF(J105&gt;=50,"Neutral",IF(J105&gt;=35,"Performative",IF(J105&gt;=20,"Harmful","Adversarial")))))</f>
        <v/>
      </c>
      <c r="L105" s="58" t="inlineStr">
        <is>
          <t>No</t>
        </is>
      </c>
      <c r="M105" s="58" t="inlineStr">
        <is>
          <t>No</t>
        </is>
      </c>
      <c r="N105" s="58" t="inlineStr">
        <is>
          <t>No</t>
        </is>
      </c>
      <c r="O105" s="58" t="inlineStr">
        <is>
          <t>No</t>
        </is>
      </c>
      <c r="P105" s="58" t="inlineStr">
        <is>
          <t>No</t>
        </is>
      </c>
      <c r="Q105" s="59" t="inlineStr">
        <is>
          <t>Cincinnati Pride participant with CEI 100 history; faced a 2022 lawsuit from workers refusing to wear a rainbow-like apron symbol (settled). Quiet, no reversal.</t>
        </is>
      </c>
    </row>
    <row r="106" ht="15" customHeight="1" s="42">
      <c r="A106" s="57" t="inlineStr">
        <is>
          <t>Albertsons</t>
        </is>
      </c>
      <c r="B106" s="58" t="inlineStr">
        <is>
          <t>ACI</t>
        </is>
      </c>
      <c r="C106" s="59" t="inlineStr">
        <is>
          <t>Retail — Big Box</t>
        </is>
      </c>
      <c r="D106" s="58" t="n">
        <v>79.2</v>
      </c>
      <c r="E106" s="58" t="inlineStr">
        <is>
          <t>Not rated</t>
        </is>
      </c>
      <c r="F106" s="58" t="inlineStr">
        <is>
          <t>—</t>
        </is>
      </c>
      <c r="G106" s="58" t="inlineStr">
        <is>
          <t>No</t>
        </is>
      </c>
      <c r="H106" s="60">
        <f>MIN(20,SUMIFS(Action_Log!$F:$F,Action_Log!$A:$A,$A106,Action_Log!$D:$D,"Cosmetic")+SUMIFS(Action_Log!$F:$F,Action_Log!$A:$A,$A106,Action_Log!$D:$D,"Commercial"))+SUMIFS(Action_Log!$F:$F,Action_Log!$A:$A,$A106,Action_Log!$D:$D,"Civic")+SUMIFS(Action_Log!$F:$F,Action_Log!$A:$A,$A106,Action_Log!$D:$D,"Financial")+SUMIFS(Action_Log!$F:$F,Action_Log!$A:$A,$A106,Action_Log!$D:$D,"Structural")</f>
        <v/>
      </c>
      <c r="I106" s="61">
        <f>SUMIFS(Action_Log!$F:$F,Action_Log!$A:$A,$A106,Action_Log!$E:$E,"Negative")</f>
        <v/>
      </c>
      <c r="J106" s="62">
        <f>MAX(0,MIN(100,50+H106+I106))</f>
        <v/>
      </c>
      <c r="K106" s="63">
        <f>IF(J106&gt;=80,"Champion",IF(J106&gt;=65,"Ally",IF(J106&gt;=50,"Neutral",IF(J106&gt;=35,"Performative",IF(J106&gt;=20,"Harmful","Adversarial")))))</f>
        <v/>
      </c>
      <c r="L106" s="58" t="inlineStr">
        <is>
          <t>No</t>
        </is>
      </c>
      <c r="M106" s="58" t="inlineStr">
        <is>
          <t>No</t>
        </is>
      </c>
      <c r="N106" s="58" t="inlineStr">
        <is>
          <t>No</t>
        </is>
      </c>
      <c r="O106" s="58" t="inlineStr">
        <is>
          <t>No</t>
        </is>
      </c>
      <c r="P106" s="58" t="inlineStr">
        <is>
          <t>No</t>
        </is>
      </c>
      <c r="Q106" s="59" t="inlineStr">
        <is>
          <t>Minimal public LGBTQ+ engagement; no documented reversal.</t>
        </is>
      </c>
    </row>
    <row r="107" ht="15" customHeight="1" s="42">
      <c r="A107" s="57" t="inlineStr">
        <is>
          <t>TJX Companies</t>
        </is>
      </c>
      <c r="B107" s="58" t="inlineStr">
        <is>
          <t>TJX</t>
        </is>
      </c>
      <c r="C107" s="59" t="inlineStr">
        <is>
          <t>Retail — Big Box</t>
        </is>
      </c>
      <c r="D107" s="58" t="n">
        <v>56.4</v>
      </c>
      <c r="E107" s="58" t="n">
        <v>100</v>
      </c>
      <c r="F107" s="58" t="n">
        <v>2024</v>
      </c>
      <c r="G107" s="58" t="inlineStr">
        <is>
          <t>Yes</t>
        </is>
      </c>
      <c r="H107" s="60">
        <f>MIN(20,SUMIFS(Action_Log!$F:$F,Action_Log!$A:$A,$A107,Action_Log!$D:$D,"Cosmetic")+SUMIFS(Action_Log!$F:$F,Action_Log!$A:$A,$A107,Action_Log!$D:$D,"Commercial"))+SUMIFS(Action_Log!$F:$F,Action_Log!$A:$A,$A107,Action_Log!$D:$D,"Civic")+SUMIFS(Action_Log!$F:$F,Action_Log!$A:$A,$A107,Action_Log!$D:$D,"Financial")+SUMIFS(Action_Log!$F:$F,Action_Log!$A:$A,$A107,Action_Log!$D:$D,"Structural")</f>
        <v/>
      </c>
      <c r="I107" s="61">
        <f>SUMIFS(Action_Log!$F:$F,Action_Log!$A:$A,$A107,Action_Log!$E:$E,"Negative")</f>
        <v/>
      </c>
      <c r="J107" s="62">
        <f>MAX(0,MIN(100,50+H107+I107))</f>
        <v/>
      </c>
      <c r="K107" s="63">
        <f>IF(J107&gt;=80,"Champion",IF(J107&gt;=65,"Ally",IF(J107&gt;=50,"Neutral",IF(J107&gt;=35,"Performative",IF(J107&gt;=20,"Harmful","Adversarial")))))</f>
        <v/>
      </c>
      <c r="L107" s="58" t="inlineStr">
        <is>
          <t>No</t>
        </is>
      </c>
      <c r="M107" s="58" t="inlineStr">
        <is>
          <t>No</t>
        </is>
      </c>
      <c r="N107" s="58" t="inlineStr">
        <is>
          <t>No</t>
        </is>
      </c>
      <c r="O107" s="58" t="inlineStr">
        <is>
          <t>No</t>
        </is>
      </c>
      <c r="P107" s="58" t="inlineStr">
        <is>
          <t>No</t>
        </is>
      </c>
      <c r="Q107" s="59" t="inlineStr">
        <is>
          <t>Publicly reaffirmed inclusion ('strongly committed to continuing to build a more inclusive and diverse workplace') while peers retreated. Low marketing profile by design.</t>
        </is>
      </c>
    </row>
    <row r="108" ht="15" customHeight="1" s="42">
      <c r="A108" s="57" t="inlineStr">
        <is>
          <t>Macy's</t>
        </is>
      </c>
      <c r="B108" s="58" t="inlineStr">
        <is>
          <t>M</t>
        </is>
      </c>
      <c r="C108" s="59" t="inlineStr">
        <is>
          <t>Retail — Big Box</t>
        </is>
      </c>
      <c r="D108" s="58" t="n">
        <v>22.9</v>
      </c>
      <c r="E108" s="58" t="n">
        <v>100</v>
      </c>
      <c r="F108" s="58" t="n">
        <v>2024</v>
      </c>
      <c r="G108" s="58" t="inlineStr">
        <is>
          <t>Yes</t>
        </is>
      </c>
      <c r="H108" s="60">
        <f>MIN(20,SUMIFS(Action_Log!$F:$F,Action_Log!$A:$A,$A108,Action_Log!$D:$D,"Cosmetic")+SUMIFS(Action_Log!$F:$F,Action_Log!$A:$A,$A108,Action_Log!$D:$D,"Commercial"))+SUMIFS(Action_Log!$F:$F,Action_Log!$A:$A,$A108,Action_Log!$D:$D,"Civic")+SUMIFS(Action_Log!$F:$F,Action_Log!$A:$A,$A108,Action_Log!$D:$D,"Financial")+SUMIFS(Action_Log!$F:$F,Action_Log!$A:$A,$A108,Action_Log!$D:$D,"Structural")</f>
        <v/>
      </c>
      <c r="I108" s="61">
        <f>SUMIFS(Action_Log!$F:$F,Action_Log!$A:$A,$A108,Action_Log!$E:$E,"Negative")</f>
        <v/>
      </c>
      <c r="J108" s="62">
        <f>MAX(0,MIN(100,50+H108+I108))</f>
        <v/>
      </c>
      <c r="K108" s="63">
        <f>IF(J108&gt;=80,"Champion",IF(J108&gt;=65,"Ally",IF(J108&gt;=50,"Neutral",IF(J108&gt;=35,"Performative",IF(J108&gt;=20,"Harmful","Adversarial")))))</f>
        <v/>
      </c>
      <c r="L108" s="58" t="inlineStr">
        <is>
          <t>No</t>
        </is>
      </c>
      <c r="M108" s="58" t="inlineStr">
        <is>
          <t>No</t>
        </is>
      </c>
      <c r="N108" s="58" t="inlineStr">
        <is>
          <t>No</t>
        </is>
      </c>
      <c r="O108" s="58" t="inlineStr">
        <is>
          <t>No</t>
        </is>
      </c>
      <c r="P108" s="58" t="inlineStr">
        <is>
          <t>No</t>
        </is>
      </c>
      <c r="Q108" s="59" t="inlineStr">
        <is>
          <t>Longtime visible NYC Pride presence (storefronts, Pride merchandise, parade participation) with CEI 100 record; no documented reversal.</t>
        </is>
      </c>
    </row>
    <row r="109" ht="15" customHeight="1" s="42">
      <c r="A109" s="57" t="inlineStr">
        <is>
          <t>Nordstrom</t>
        </is>
      </c>
      <c r="B109" s="58" t="inlineStr">
        <is>
          <t>JWN</t>
        </is>
      </c>
      <c r="C109" s="59" t="inlineStr">
        <is>
          <t>Retail — Big Box</t>
        </is>
      </c>
      <c r="D109" s="58" t="n">
        <v>14.7</v>
      </c>
      <c r="E109" s="58" t="n">
        <v>100</v>
      </c>
      <c r="F109" s="58" t="n">
        <v>2024</v>
      </c>
      <c r="G109" s="58" t="inlineStr">
        <is>
          <t>No</t>
        </is>
      </c>
      <c r="H109" s="60">
        <f>MIN(20,SUMIFS(Action_Log!$F:$F,Action_Log!$A:$A,$A109,Action_Log!$D:$D,"Cosmetic")+SUMIFS(Action_Log!$F:$F,Action_Log!$A:$A,$A109,Action_Log!$D:$D,"Commercial"))+SUMIFS(Action_Log!$F:$F,Action_Log!$A:$A,$A109,Action_Log!$D:$D,"Civic")+SUMIFS(Action_Log!$F:$F,Action_Log!$A:$A,$A109,Action_Log!$D:$D,"Financial")+SUMIFS(Action_Log!$F:$F,Action_Log!$A:$A,$A109,Action_Log!$D:$D,"Structural")</f>
        <v/>
      </c>
      <c r="I109" s="61">
        <f>SUMIFS(Action_Log!$F:$F,Action_Log!$A:$A,$A109,Action_Log!$E:$E,"Negative")</f>
        <v/>
      </c>
      <c r="J109" s="62">
        <f>MAX(0,MIN(100,50+H109+I109))</f>
        <v/>
      </c>
      <c r="K109" s="63">
        <f>IF(J109&gt;=80,"Champion",IF(J109&gt;=65,"Ally",IF(J109&gt;=50,"Neutral",IF(J109&gt;=35,"Performative",IF(J109&gt;=20,"Harmful","Adversarial")))))</f>
        <v/>
      </c>
      <c r="L109" s="58" t="inlineStr">
        <is>
          <t>No</t>
        </is>
      </c>
      <c r="M109" s="58" t="inlineStr">
        <is>
          <t>No</t>
        </is>
      </c>
      <c r="N109" s="58" t="inlineStr">
        <is>
          <t>No</t>
        </is>
      </c>
      <c r="O109" s="58" t="inlineStr">
        <is>
          <t>No</t>
        </is>
      </c>
      <c r="P109" s="58" t="inlineStr">
        <is>
          <t>No</t>
        </is>
      </c>
      <c r="Q109" s="59" t="inlineStr">
        <is>
          <t>Annual Pride merchandise and CEI 100 record; quiet, no documented reversal.</t>
        </is>
      </c>
    </row>
    <row r="110" ht="15" customHeight="1" s="42">
      <c r="A110" s="57" t="inlineStr">
        <is>
          <t>Kohl's</t>
        </is>
      </c>
      <c r="B110" s="58" t="inlineStr">
        <is>
          <t>KSS</t>
        </is>
      </c>
      <c r="C110" s="59" t="inlineStr">
        <is>
          <t>Retail — Big Box</t>
        </is>
      </c>
      <c r="D110" s="58" t="n">
        <v>16.2</v>
      </c>
      <c r="E110" s="58" t="n">
        <v>100</v>
      </c>
      <c r="F110" s="58" t="n">
        <v>2024</v>
      </c>
      <c r="G110" s="58" t="inlineStr">
        <is>
          <t>No</t>
        </is>
      </c>
      <c r="H110" s="60">
        <f>MIN(20,SUMIFS(Action_Log!$F:$F,Action_Log!$A:$A,$A110,Action_Log!$D:$D,"Cosmetic")+SUMIFS(Action_Log!$F:$F,Action_Log!$A:$A,$A110,Action_Log!$D:$D,"Commercial"))+SUMIFS(Action_Log!$F:$F,Action_Log!$A:$A,$A110,Action_Log!$D:$D,"Civic")+SUMIFS(Action_Log!$F:$F,Action_Log!$A:$A,$A110,Action_Log!$D:$D,"Financial")+SUMIFS(Action_Log!$F:$F,Action_Log!$A:$A,$A110,Action_Log!$D:$D,"Structural")</f>
        <v/>
      </c>
      <c r="I110" s="61">
        <f>SUMIFS(Action_Log!$F:$F,Action_Log!$A:$A,$A110,Action_Log!$E:$E,"Negative")</f>
        <v/>
      </c>
      <c r="J110" s="62">
        <f>MAX(0,MIN(100,50+H110+I110))</f>
        <v/>
      </c>
      <c r="K110" s="63">
        <f>IF(J110&gt;=80,"Champion",IF(J110&gt;=65,"Ally",IF(J110&gt;=50,"Neutral",IF(J110&gt;=35,"Performative",IF(J110&gt;=20,"Harmful","Adversarial")))))</f>
        <v/>
      </c>
      <c r="L110" s="58" t="inlineStr">
        <is>
          <t>No</t>
        </is>
      </c>
      <c r="M110" s="58" t="inlineStr">
        <is>
          <t>No</t>
        </is>
      </c>
      <c r="N110" s="58" t="inlineStr">
        <is>
          <t>No</t>
        </is>
      </c>
      <c r="O110" s="58" t="inlineStr">
        <is>
          <t>No</t>
        </is>
      </c>
      <c r="P110" s="58" t="inlineStr">
        <is>
          <t>No</t>
        </is>
      </c>
      <c r="Q110" s="59" t="inlineStr">
        <is>
          <t>Weathered a 2023 boycott over Pride-themed baby clothes without pulling the line — a small but real test passed. Quiet since.</t>
        </is>
      </c>
    </row>
    <row r="111" ht="15" customHeight="1" s="42">
      <c r="A111" s="57" t="inlineStr">
        <is>
          <t>Dollar General</t>
        </is>
      </c>
      <c r="B111" s="58" t="inlineStr">
        <is>
          <t>DG</t>
        </is>
      </c>
      <c r="C111" s="59" t="inlineStr">
        <is>
          <t>Retail — Big Box</t>
        </is>
      </c>
      <c r="D111" s="58" t="n">
        <v>40.6</v>
      </c>
      <c r="E111" s="58" t="inlineStr">
        <is>
          <t>Not rated</t>
        </is>
      </c>
      <c r="F111" s="58" t="inlineStr">
        <is>
          <t>—</t>
        </is>
      </c>
      <c r="G111" s="58" t="inlineStr">
        <is>
          <t>Never</t>
        </is>
      </c>
      <c r="H111" s="60">
        <f>MIN(20,SUMIFS(Action_Log!$F:$F,Action_Log!$A:$A,$A111,Action_Log!$D:$D,"Cosmetic")+SUMIFS(Action_Log!$F:$F,Action_Log!$A:$A,$A111,Action_Log!$D:$D,"Commercial"))+SUMIFS(Action_Log!$F:$F,Action_Log!$A:$A,$A111,Action_Log!$D:$D,"Civic")+SUMIFS(Action_Log!$F:$F,Action_Log!$A:$A,$A111,Action_Log!$D:$D,"Financial")+SUMIFS(Action_Log!$F:$F,Action_Log!$A:$A,$A111,Action_Log!$D:$D,"Structural")</f>
        <v/>
      </c>
      <c r="I111" s="61">
        <f>SUMIFS(Action_Log!$F:$F,Action_Log!$A:$A,$A111,Action_Log!$E:$E,"Negative")</f>
        <v/>
      </c>
      <c r="J111" s="62">
        <f>MAX(0,MIN(100,50+H111+I111))</f>
        <v/>
      </c>
      <c r="K111" s="63">
        <f>IF(J111&gt;=80,"Champion",IF(J111&gt;=65,"Ally",IF(J111&gt;=50,"Neutral",IF(J111&gt;=35,"Performative",IF(J111&gt;=20,"Harmful","Adversarial")))))</f>
        <v/>
      </c>
      <c r="L111" s="58" t="inlineStr">
        <is>
          <t>No</t>
        </is>
      </c>
      <c r="M111" s="58" t="inlineStr">
        <is>
          <t>No</t>
        </is>
      </c>
      <c r="N111" s="58" t="inlineStr">
        <is>
          <t>No</t>
        </is>
      </c>
      <c r="O111" s="58" t="inlineStr">
        <is>
          <t>No</t>
        </is>
      </c>
      <c r="P111" s="58" t="inlineStr">
        <is>
          <t>No</t>
        </is>
      </c>
      <c r="Q111" s="59" t="inlineStr">
        <is>
          <t>No meaningful public LGBTQ+ record located in either direction.</t>
        </is>
      </c>
    </row>
    <row r="112" ht="15" customHeight="1" s="42">
      <c r="A112" s="57" t="inlineStr">
        <is>
          <t>Dollar Tree</t>
        </is>
      </c>
      <c r="B112" s="58" t="inlineStr">
        <is>
          <t>DLTR</t>
        </is>
      </c>
      <c r="C112" s="59" t="inlineStr">
        <is>
          <t>Retail — Big Box</t>
        </is>
      </c>
      <c r="D112" s="58" t="n">
        <v>30.6</v>
      </c>
      <c r="E112" s="58" t="inlineStr">
        <is>
          <t>Not rated</t>
        </is>
      </c>
      <c r="F112" s="58" t="inlineStr">
        <is>
          <t>—</t>
        </is>
      </c>
      <c r="G112" s="58" t="inlineStr">
        <is>
          <t>Never</t>
        </is>
      </c>
      <c r="H112" s="60">
        <f>MIN(20,SUMIFS(Action_Log!$F:$F,Action_Log!$A:$A,$A112,Action_Log!$D:$D,"Cosmetic")+SUMIFS(Action_Log!$F:$F,Action_Log!$A:$A,$A112,Action_Log!$D:$D,"Commercial"))+SUMIFS(Action_Log!$F:$F,Action_Log!$A:$A,$A112,Action_Log!$D:$D,"Civic")+SUMIFS(Action_Log!$F:$F,Action_Log!$A:$A,$A112,Action_Log!$D:$D,"Financial")+SUMIFS(Action_Log!$F:$F,Action_Log!$A:$A,$A112,Action_Log!$D:$D,"Structural")</f>
        <v/>
      </c>
      <c r="I112" s="61">
        <f>SUMIFS(Action_Log!$F:$F,Action_Log!$A:$A,$A112,Action_Log!$E:$E,"Negative")</f>
        <v/>
      </c>
      <c r="J112" s="62">
        <f>MAX(0,MIN(100,50+H112+I112))</f>
        <v/>
      </c>
      <c r="K112" s="63">
        <f>IF(J112&gt;=80,"Champion",IF(J112&gt;=65,"Ally",IF(J112&gt;=50,"Neutral",IF(J112&gt;=35,"Performative",IF(J112&gt;=20,"Harmful","Adversarial")))))</f>
        <v/>
      </c>
      <c r="L112" s="58" t="inlineStr">
        <is>
          <t>No</t>
        </is>
      </c>
      <c r="M112" s="58" t="inlineStr">
        <is>
          <t>No</t>
        </is>
      </c>
      <c r="N112" s="58" t="inlineStr">
        <is>
          <t>No</t>
        </is>
      </c>
      <c r="O112" s="58" t="inlineStr">
        <is>
          <t>No</t>
        </is>
      </c>
      <c r="P112" s="58" t="inlineStr">
        <is>
          <t>No</t>
        </is>
      </c>
      <c r="Q112" s="59" t="inlineStr">
        <is>
          <t>No meaningful public LGBTQ+ record located in either direction.</t>
        </is>
      </c>
    </row>
    <row r="113" ht="15" customHeight="1" s="42">
      <c r="A113" s="57" t="inlineStr">
        <is>
          <t>Yum! Brands</t>
        </is>
      </c>
      <c r="B113" s="58" t="inlineStr">
        <is>
          <t>YUM</t>
        </is>
      </c>
      <c r="C113" s="59" t="inlineStr">
        <is>
          <t>Food &amp; Beverage</t>
        </is>
      </c>
      <c r="D113" s="58" t="n">
        <v>7.5</v>
      </c>
      <c r="E113" s="58" t="n">
        <v>100</v>
      </c>
      <c r="F113" s="58" t="n">
        <v>2024</v>
      </c>
      <c r="G113" s="58" t="inlineStr">
        <is>
          <t>No</t>
        </is>
      </c>
      <c r="H113" s="60">
        <f>MIN(20,SUMIFS(Action_Log!$F:$F,Action_Log!$A:$A,$A113,Action_Log!$D:$D,"Cosmetic")+SUMIFS(Action_Log!$F:$F,Action_Log!$A:$A,$A113,Action_Log!$D:$D,"Commercial"))+SUMIFS(Action_Log!$F:$F,Action_Log!$A:$A,$A113,Action_Log!$D:$D,"Civic")+SUMIFS(Action_Log!$F:$F,Action_Log!$A:$A,$A113,Action_Log!$D:$D,"Financial")+SUMIFS(Action_Log!$F:$F,Action_Log!$A:$A,$A113,Action_Log!$D:$D,"Structural")</f>
        <v/>
      </c>
      <c r="I113" s="61">
        <f>SUMIFS(Action_Log!$F:$F,Action_Log!$A:$A,$A113,Action_Log!$E:$E,"Negative")</f>
        <v/>
      </c>
      <c r="J113" s="62">
        <f>MAX(0,MIN(100,50+H113+I113))</f>
        <v/>
      </c>
      <c r="K113" s="63">
        <f>IF(J113&gt;=80,"Champion",IF(J113&gt;=65,"Ally",IF(J113&gt;=50,"Neutral",IF(J113&gt;=35,"Performative",IF(J113&gt;=20,"Harmful","Adversarial")))))</f>
        <v/>
      </c>
      <c r="L113" s="58" t="inlineStr">
        <is>
          <t>No</t>
        </is>
      </c>
      <c r="M113" s="58" t="inlineStr">
        <is>
          <t>No</t>
        </is>
      </c>
      <c r="N113" s="58" t="inlineStr">
        <is>
          <t>No</t>
        </is>
      </c>
      <c r="O113" s="58" t="inlineStr">
        <is>
          <t>No</t>
        </is>
      </c>
      <c r="P113" s="58" t="inlineStr">
        <is>
          <t>No</t>
        </is>
      </c>
      <c r="Q113" s="59" t="inlineStr">
        <is>
          <t>Taco Bell's Drag Brunch tour (2022) was a genuinely bold mainstream activation; corporate posture otherwise quiet with no documented reversal.</t>
        </is>
      </c>
    </row>
    <row r="114" ht="15" customHeight="1" s="42">
      <c r="A114" s="57" t="inlineStr">
        <is>
          <t>Domino's Pizza</t>
        </is>
      </c>
      <c r="B114" s="58" t="inlineStr">
        <is>
          <t>DPZ</t>
        </is>
      </c>
      <c r="C114" s="59" t="inlineStr">
        <is>
          <t>Food &amp; Beverage</t>
        </is>
      </c>
      <c r="D114" s="58" t="n">
        <v>4.7</v>
      </c>
      <c r="E114" s="58" t="inlineStr">
        <is>
          <t>Not rated</t>
        </is>
      </c>
      <c r="F114" s="58" t="inlineStr">
        <is>
          <t>—</t>
        </is>
      </c>
      <c r="G114" s="58" t="inlineStr">
        <is>
          <t>Never</t>
        </is>
      </c>
      <c r="H114" s="60">
        <f>MIN(20,SUMIFS(Action_Log!$F:$F,Action_Log!$A:$A,$A114,Action_Log!$D:$D,"Cosmetic")+SUMIFS(Action_Log!$F:$F,Action_Log!$A:$A,$A114,Action_Log!$D:$D,"Commercial"))+SUMIFS(Action_Log!$F:$F,Action_Log!$A:$A,$A114,Action_Log!$D:$D,"Civic")+SUMIFS(Action_Log!$F:$F,Action_Log!$A:$A,$A114,Action_Log!$D:$D,"Financial")+SUMIFS(Action_Log!$F:$F,Action_Log!$A:$A,$A114,Action_Log!$D:$D,"Structural")</f>
        <v/>
      </c>
      <c r="I114" s="61">
        <f>SUMIFS(Action_Log!$F:$F,Action_Log!$A:$A,$A114,Action_Log!$E:$E,"Negative")</f>
        <v/>
      </c>
      <c r="J114" s="62">
        <f>MAX(0,MIN(100,50+H114+I114))</f>
        <v/>
      </c>
      <c r="K114" s="63">
        <f>IF(J114&gt;=80,"Champion",IF(J114&gt;=65,"Ally",IF(J114&gt;=50,"Neutral",IF(J114&gt;=35,"Performative",IF(J114&gt;=20,"Harmful","Adversarial")))))</f>
        <v/>
      </c>
      <c r="L114" s="58" t="inlineStr">
        <is>
          <t>No</t>
        </is>
      </c>
      <c r="M114" s="58" t="inlineStr">
        <is>
          <t>No</t>
        </is>
      </c>
      <c r="N114" s="58" t="inlineStr">
        <is>
          <t>No</t>
        </is>
      </c>
      <c r="O114" s="58" t="inlineStr">
        <is>
          <t>No</t>
        </is>
      </c>
      <c r="P114" s="58" t="inlineStr">
        <is>
          <t>No</t>
        </is>
      </c>
      <c r="Q114" s="59" t="inlineStr">
        <is>
          <t>No meaningful public LGBTQ+ record located in either direction.</t>
        </is>
      </c>
    </row>
    <row r="115" ht="15" customHeight="1" s="42">
      <c r="A115" s="57" t="inlineStr">
        <is>
          <t>Chipotle</t>
        </is>
      </c>
      <c r="B115" s="58" t="inlineStr">
        <is>
          <t>CMG</t>
        </is>
      </c>
      <c r="C115" s="59" t="inlineStr">
        <is>
          <t>Food &amp; Beverage</t>
        </is>
      </c>
      <c r="D115" s="58" t="n">
        <v>11.3</v>
      </c>
      <c r="E115" s="58" t="n">
        <v>100</v>
      </c>
      <c r="F115" s="58" t="n">
        <v>2024</v>
      </c>
      <c r="G115" s="58" t="inlineStr">
        <is>
          <t>No</t>
        </is>
      </c>
      <c r="H115" s="60">
        <f>MIN(20,SUMIFS(Action_Log!$F:$F,Action_Log!$A:$A,$A115,Action_Log!$D:$D,"Cosmetic")+SUMIFS(Action_Log!$F:$F,Action_Log!$A:$A,$A115,Action_Log!$D:$D,"Commercial"))+SUMIFS(Action_Log!$F:$F,Action_Log!$A:$A,$A115,Action_Log!$D:$D,"Civic")+SUMIFS(Action_Log!$F:$F,Action_Log!$A:$A,$A115,Action_Log!$D:$D,"Financial")+SUMIFS(Action_Log!$F:$F,Action_Log!$A:$A,$A115,Action_Log!$D:$D,"Structural")</f>
        <v/>
      </c>
      <c r="I115" s="61">
        <f>SUMIFS(Action_Log!$F:$F,Action_Log!$A:$A,$A115,Action_Log!$E:$E,"Negative")</f>
        <v/>
      </c>
      <c r="J115" s="62">
        <f>MAX(0,MIN(100,50+H115+I115))</f>
        <v/>
      </c>
      <c r="K115" s="63">
        <f>IF(J115&gt;=80,"Champion",IF(J115&gt;=65,"Ally",IF(J115&gt;=50,"Neutral",IF(J115&gt;=35,"Performative",IF(J115&gt;=20,"Harmful","Adversarial")))))</f>
        <v/>
      </c>
      <c r="L115" s="58" t="inlineStr">
        <is>
          <t>No</t>
        </is>
      </c>
      <c r="M115" s="58" t="inlineStr">
        <is>
          <t>No</t>
        </is>
      </c>
      <c r="N115" s="58" t="inlineStr">
        <is>
          <t>No</t>
        </is>
      </c>
      <c r="O115" s="58" t="inlineStr">
        <is>
          <t>No</t>
        </is>
      </c>
      <c r="P115" s="58" t="inlineStr">
        <is>
          <t>No</t>
        </is>
      </c>
      <c r="Q115" s="59" t="inlineStr">
        <is>
          <t>Quiet: occasional Pride engagement, CEI-rated policies, no documented reversal.</t>
        </is>
      </c>
    </row>
    <row r="116" ht="15" customHeight="1" s="42">
      <c r="A116" s="57" t="inlineStr">
        <is>
          <t>Darden Restaurants</t>
        </is>
      </c>
      <c r="B116" s="58" t="inlineStr">
        <is>
          <t>DRI</t>
        </is>
      </c>
      <c r="C116" s="59" t="inlineStr">
        <is>
          <t>Food &amp; Beverage</t>
        </is>
      </c>
      <c r="D116" s="58" t="n">
        <v>11.4</v>
      </c>
      <c r="E116" s="58" t="inlineStr">
        <is>
          <t>Not rated</t>
        </is>
      </c>
      <c r="F116" s="58" t="inlineStr">
        <is>
          <t>—</t>
        </is>
      </c>
      <c r="G116" s="58" t="inlineStr">
        <is>
          <t>No</t>
        </is>
      </c>
      <c r="H116" s="60">
        <f>MIN(20,SUMIFS(Action_Log!$F:$F,Action_Log!$A:$A,$A116,Action_Log!$D:$D,"Cosmetic")+SUMIFS(Action_Log!$F:$F,Action_Log!$A:$A,$A116,Action_Log!$D:$D,"Commercial"))+SUMIFS(Action_Log!$F:$F,Action_Log!$A:$A,$A116,Action_Log!$D:$D,"Civic")+SUMIFS(Action_Log!$F:$F,Action_Log!$A:$A,$A116,Action_Log!$D:$D,"Financial")+SUMIFS(Action_Log!$F:$F,Action_Log!$A:$A,$A116,Action_Log!$D:$D,"Structural")</f>
        <v/>
      </c>
      <c r="I116" s="61">
        <f>SUMIFS(Action_Log!$F:$F,Action_Log!$A:$A,$A116,Action_Log!$E:$E,"Negative")</f>
        <v/>
      </c>
      <c r="J116" s="62">
        <f>MAX(0,MIN(100,50+H116+I116))</f>
        <v/>
      </c>
      <c r="K116" s="63">
        <f>IF(J116&gt;=80,"Champion",IF(J116&gt;=65,"Ally",IF(J116&gt;=50,"Neutral",IF(J116&gt;=35,"Performative",IF(J116&gt;=20,"Harmful","Adversarial")))))</f>
        <v/>
      </c>
      <c r="L116" s="58" t="inlineStr">
        <is>
          <t>No</t>
        </is>
      </c>
      <c r="M116" s="58" t="inlineStr">
        <is>
          <t>No</t>
        </is>
      </c>
      <c r="N116" s="58" t="inlineStr">
        <is>
          <t>No</t>
        </is>
      </c>
      <c r="O116" s="58" t="inlineStr">
        <is>
          <t>No</t>
        </is>
      </c>
      <c r="P116" s="58" t="inlineStr">
        <is>
          <t>No</t>
        </is>
      </c>
      <c r="Q116" s="59" t="inlineStr">
        <is>
          <t>Minimal public LGBTQ+ engagement; no documented reversal.</t>
        </is>
      </c>
    </row>
    <row r="117" ht="15" customHeight="1" s="42">
      <c r="A117" s="57" t="inlineStr">
        <is>
          <t>Molson Coors</t>
        </is>
      </c>
      <c r="B117" s="58" t="inlineStr">
        <is>
          <t>TAP</t>
        </is>
      </c>
      <c r="C117" s="59" t="inlineStr">
        <is>
          <t>Food &amp; Beverage</t>
        </is>
      </c>
      <c r="D117" s="58" t="n">
        <v>11.6</v>
      </c>
      <c r="E117" s="58" t="n">
        <v>75</v>
      </c>
      <c r="F117" s="58" t="n">
        <v>2025</v>
      </c>
      <c r="G117" s="58" t="inlineStr">
        <is>
          <t>No</t>
        </is>
      </c>
      <c r="H117" s="60">
        <f>MIN(20,SUMIFS(Action_Log!$F:$F,Action_Log!$A:$A,$A117,Action_Log!$D:$D,"Cosmetic")+SUMIFS(Action_Log!$F:$F,Action_Log!$A:$A,$A117,Action_Log!$D:$D,"Commercial"))+SUMIFS(Action_Log!$F:$F,Action_Log!$A:$A,$A117,Action_Log!$D:$D,"Civic")+SUMIFS(Action_Log!$F:$F,Action_Log!$A:$A,$A117,Action_Log!$D:$D,"Financial")+SUMIFS(Action_Log!$F:$F,Action_Log!$A:$A,$A117,Action_Log!$D:$D,"Structural")</f>
        <v/>
      </c>
      <c r="I117" s="61">
        <f>SUMIFS(Action_Log!$F:$F,Action_Log!$A:$A,$A117,Action_Log!$E:$E,"Negative")</f>
        <v/>
      </c>
      <c r="J117" s="62">
        <f>MAX(0,MIN(100,50+H117+I117))</f>
        <v/>
      </c>
      <c r="K117" s="63">
        <f>IF(J117&gt;=80,"Champion",IF(J117&gt;=65,"Ally",IF(J117&gt;=50,"Neutral",IF(J117&gt;=35,"Performative",IF(J117&gt;=20,"Harmful","Adversarial")))))</f>
        <v/>
      </c>
      <c r="L117" s="58" t="inlineStr">
        <is>
          <t>No</t>
        </is>
      </c>
      <c r="M117" s="58" t="inlineStr">
        <is>
          <t>Yes</t>
        </is>
      </c>
      <c r="N117" s="58" t="inlineStr">
        <is>
          <t>No</t>
        </is>
      </c>
      <c r="O117" s="58" t="inlineStr">
        <is>
          <t>No</t>
        </is>
      </c>
      <c r="P117" s="58" t="inlineStr">
        <is>
          <t>No</t>
        </is>
      </c>
      <c r="Q117" s="59" t="inlineStr">
        <is>
          <t>Sep 2024 Starbuck-campaign capitulation: ended DEI training and CEI participation — one of seven companies HRC docked -25 — after decades of Coors Light LGBTQ+ marketing dating to the post-boycott reconciliation era.</t>
        </is>
      </c>
    </row>
    <row r="118" ht="15" customHeight="1" s="42">
      <c r="A118" s="57" t="inlineStr">
        <is>
          <t>Constellation Brands</t>
        </is>
      </c>
      <c r="B118" s="58" t="inlineStr">
        <is>
          <t>STZ</t>
        </is>
      </c>
      <c r="C118" s="59" t="inlineStr">
        <is>
          <t>Food &amp; Beverage</t>
        </is>
      </c>
      <c r="D118" s="58" t="n">
        <v>10.2</v>
      </c>
      <c r="E118" s="58" t="inlineStr">
        <is>
          <t>Not rated</t>
        </is>
      </c>
      <c r="F118" s="58" t="inlineStr">
        <is>
          <t>—</t>
        </is>
      </c>
      <c r="G118" s="58" t="inlineStr">
        <is>
          <t>No</t>
        </is>
      </c>
      <c r="H118" s="60">
        <f>MIN(20,SUMIFS(Action_Log!$F:$F,Action_Log!$A:$A,$A118,Action_Log!$D:$D,"Cosmetic")+SUMIFS(Action_Log!$F:$F,Action_Log!$A:$A,$A118,Action_Log!$D:$D,"Commercial"))+SUMIFS(Action_Log!$F:$F,Action_Log!$A:$A,$A118,Action_Log!$D:$D,"Civic")+SUMIFS(Action_Log!$F:$F,Action_Log!$A:$A,$A118,Action_Log!$D:$D,"Financial")+SUMIFS(Action_Log!$F:$F,Action_Log!$A:$A,$A118,Action_Log!$D:$D,"Structural")</f>
        <v/>
      </c>
      <c r="I118" s="61">
        <f>SUMIFS(Action_Log!$F:$F,Action_Log!$A:$A,$A118,Action_Log!$E:$E,"Negative")</f>
        <v/>
      </c>
      <c r="J118" s="62">
        <f>MAX(0,MIN(100,50+H118+I118))</f>
        <v/>
      </c>
      <c r="K118" s="63">
        <f>IF(J118&gt;=80,"Champion",IF(J118&gt;=65,"Ally",IF(J118&gt;=50,"Neutral",IF(J118&gt;=35,"Performative",IF(J118&gt;=20,"Harmful","Adversarial")))))</f>
        <v/>
      </c>
      <c r="L118" s="58" t="inlineStr">
        <is>
          <t>No</t>
        </is>
      </c>
      <c r="M118" s="58" t="inlineStr">
        <is>
          <t>No</t>
        </is>
      </c>
      <c r="N118" s="58" t="inlineStr">
        <is>
          <t>No</t>
        </is>
      </c>
      <c r="O118" s="58" t="inlineStr">
        <is>
          <t>No</t>
        </is>
      </c>
      <c r="P118" s="58" t="inlineStr">
        <is>
          <t>No</t>
        </is>
      </c>
      <c r="Q118" s="59" t="inlineStr">
        <is>
          <t>Minimal public LGBTQ+ engagement; no documented reversal.</t>
        </is>
      </c>
    </row>
    <row r="119" ht="15" customHeight="1" s="42">
      <c r="A119" s="57" t="inlineStr">
        <is>
          <t>Mondelez International</t>
        </is>
      </c>
      <c r="B119" s="58" t="inlineStr">
        <is>
          <t>MDLZ</t>
        </is>
      </c>
      <c r="C119" s="59" t="inlineStr">
        <is>
          <t>Food &amp; Beverage</t>
        </is>
      </c>
      <c r="D119" s="58" t="n">
        <v>36.4</v>
      </c>
      <c r="E119" s="58" t="n">
        <v>100</v>
      </c>
      <c r="F119" s="58" t="n">
        <v>2024</v>
      </c>
      <c r="G119" s="58" t="inlineStr">
        <is>
          <t>Yes</t>
        </is>
      </c>
      <c r="H119" s="60">
        <f>MIN(20,SUMIFS(Action_Log!$F:$F,Action_Log!$A:$A,$A119,Action_Log!$D:$D,"Cosmetic")+SUMIFS(Action_Log!$F:$F,Action_Log!$A:$A,$A119,Action_Log!$D:$D,"Commercial"))+SUMIFS(Action_Log!$F:$F,Action_Log!$A:$A,$A119,Action_Log!$D:$D,"Civic")+SUMIFS(Action_Log!$F:$F,Action_Log!$A:$A,$A119,Action_Log!$D:$D,"Financial")+SUMIFS(Action_Log!$F:$F,Action_Log!$A:$A,$A119,Action_Log!$D:$D,"Structural")</f>
        <v/>
      </c>
      <c r="I119" s="61">
        <f>SUMIFS(Action_Log!$F:$F,Action_Log!$A:$A,$A119,Action_Log!$E:$E,"Negative")</f>
        <v/>
      </c>
      <c r="J119" s="62">
        <f>MAX(0,MIN(100,50+H119+I119))</f>
        <v/>
      </c>
      <c r="K119" s="63">
        <f>IF(J119&gt;=80,"Champion",IF(J119&gt;=65,"Ally",IF(J119&gt;=50,"Neutral",IF(J119&gt;=35,"Performative",IF(J119&gt;=20,"Harmful","Adversarial")))))</f>
        <v/>
      </c>
      <c r="L119" s="58" t="inlineStr">
        <is>
          <t>No</t>
        </is>
      </c>
      <c r="M119" s="58" t="inlineStr">
        <is>
          <t>No</t>
        </is>
      </c>
      <c r="N119" s="58" t="inlineStr">
        <is>
          <t>No</t>
        </is>
      </c>
      <c r="O119" s="58" t="inlineStr">
        <is>
          <t>No</t>
        </is>
      </c>
      <c r="P119" s="58" t="inlineStr">
        <is>
          <t>No</t>
        </is>
      </c>
      <c r="Q119" s="59" t="inlineStr">
        <is>
          <t>OREO's Pride campaigns (rainbow cookies 2012, 'Proud Parent' PFLAG partnership 2020-21) are among the most visible mainstream Pride marketing ever; targeted by NLPC shareholder pressure but no rollback documented.</t>
        </is>
      </c>
    </row>
    <row r="120" ht="15" customHeight="1" s="42">
      <c r="A120" s="57" t="inlineStr">
        <is>
          <t>Kraft Heinz</t>
        </is>
      </c>
      <c r="B120" s="58" t="inlineStr">
        <is>
          <t>KHC</t>
        </is>
      </c>
      <c r="C120" s="59" t="inlineStr">
        <is>
          <t>Food &amp; Beverage</t>
        </is>
      </c>
      <c r="D120" s="58" t="n">
        <v>25.8</v>
      </c>
      <c r="E120" s="58" t="inlineStr">
        <is>
          <t>Not rated</t>
        </is>
      </c>
      <c r="F120" s="58" t="inlineStr">
        <is>
          <t>—</t>
        </is>
      </c>
      <c r="G120" s="58" t="inlineStr">
        <is>
          <t>No</t>
        </is>
      </c>
      <c r="H120" s="60">
        <f>MIN(20,SUMIFS(Action_Log!$F:$F,Action_Log!$A:$A,$A120,Action_Log!$D:$D,"Cosmetic")+SUMIFS(Action_Log!$F:$F,Action_Log!$A:$A,$A120,Action_Log!$D:$D,"Commercial"))+SUMIFS(Action_Log!$F:$F,Action_Log!$A:$A,$A120,Action_Log!$D:$D,"Civic")+SUMIFS(Action_Log!$F:$F,Action_Log!$A:$A,$A120,Action_Log!$D:$D,"Financial")+SUMIFS(Action_Log!$F:$F,Action_Log!$A:$A,$A120,Action_Log!$D:$D,"Structural")</f>
        <v/>
      </c>
      <c r="I120" s="61">
        <f>SUMIFS(Action_Log!$F:$F,Action_Log!$A:$A,$A120,Action_Log!$E:$E,"Negative")</f>
        <v/>
      </c>
      <c r="J120" s="62">
        <f>MAX(0,MIN(100,50+H120+I120))</f>
        <v/>
      </c>
      <c r="K120" s="63">
        <f>IF(J120&gt;=80,"Champion",IF(J120&gt;=65,"Ally",IF(J120&gt;=50,"Neutral",IF(J120&gt;=35,"Performative",IF(J120&gt;=20,"Harmful","Adversarial")))))</f>
        <v/>
      </c>
      <c r="L120" s="58" t="inlineStr">
        <is>
          <t>No</t>
        </is>
      </c>
      <c r="M120" s="58" t="inlineStr">
        <is>
          <t>No</t>
        </is>
      </c>
      <c r="N120" s="58" t="inlineStr">
        <is>
          <t>No</t>
        </is>
      </c>
      <c r="O120" s="58" t="inlineStr">
        <is>
          <t>No</t>
        </is>
      </c>
      <c r="P120" s="58" t="inlineStr">
        <is>
          <t>No</t>
        </is>
      </c>
      <c r="Q120" s="59" t="inlineStr">
        <is>
          <t>Minimal public LGBTQ+ engagement; no documented reversal.</t>
        </is>
      </c>
    </row>
    <row r="121" ht="15" customHeight="1" s="42">
      <c r="A121" s="57" t="inlineStr">
        <is>
          <t>Hershey</t>
        </is>
      </c>
      <c r="B121" s="58" t="inlineStr">
        <is>
          <t>HSY</t>
        </is>
      </c>
      <c r="C121" s="59" t="inlineStr">
        <is>
          <t>Food &amp; Beverage</t>
        </is>
      </c>
      <c r="D121" s="58" t="n">
        <v>11.2</v>
      </c>
      <c r="E121" s="58" t="n">
        <v>100</v>
      </c>
      <c r="F121" s="58" t="n">
        <v>2024</v>
      </c>
      <c r="G121" s="58" t="inlineStr">
        <is>
          <t>Yes</t>
        </is>
      </c>
      <c r="H121" s="60">
        <f>MIN(20,SUMIFS(Action_Log!$F:$F,Action_Log!$A:$A,$A121,Action_Log!$D:$D,"Cosmetic")+SUMIFS(Action_Log!$F:$F,Action_Log!$A:$A,$A121,Action_Log!$D:$D,"Commercial"))+SUMIFS(Action_Log!$F:$F,Action_Log!$A:$A,$A121,Action_Log!$D:$D,"Civic")+SUMIFS(Action_Log!$F:$F,Action_Log!$A:$A,$A121,Action_Log!$D:$D,"Financial")+SUMIFS(Action_Log!$F:$F,Action_Log!$A:$A,$A121,Action_Log!$D:$D,"Structural")</f>
        <v/>
      </c>
      <c r="I121" s="61">
        <f>SUMIFS(Action_Log!$F:$F,Action_Log!$A:$A,$A121,Action_Log!$E:$E,"Negative")</f>
        <v/>
      </c>
      <c r="J121" s="62">
        <f>MAX(0,MIN(100,50+H121+I121))</f>
        <v/>
      </c>
      <c r="K121" s="63">
        <f>IF(J121&gt;=80,"Champion",IF(J121&gt;=65,"Ally",IF(J121&gt;=50,"Neutral",IF(J121&gt;=35,"Performative",IF(J121&gt;=20,"Harmful","Adversarial")))))</f>
        <v/>
      </c>
      <c r="L121" s="58" t="inlineStr">
        <is>
          <t>No</t>
        </is>
      </c>
      <c r="M121" s="58" t="inlineStr">
        <is>
          <t>No</t>
        </is>
      </c>
      <c r="N121" s="58" t="inlineStr">
        <is>
          <t>No</t>
        </is>
      </c>
      <c r="O121" s="58" t="inlineStr">
        <is>
          <t>No</t>
        </is>
      </c>
      <c r="P121" s="58" t="inlineStr">
        <is>
          <t>No</t>
        </is>
      </c>
      <c r="Q121" s="59" t="inlineStr">
        <is>
          <t>Stood by its 2023 Hershey's Canada campaign featuring a trans woman through a boycott attempt; CEI 100 record; otherwise quiet.</t>
        </is>
      </c>
    </row>
    <row r="122" ht="15" customHeight="1" s="42">
      <c r="A122" s="57" t="inlineStr">
        <is>
          <t>Morgan Stanley</t>
        </is>
      </c>
      <c r="B122" s="58" t="inlineStr">
        <is>
          <t>MS</t>
        </is>
      </c>
      <c r="C122" s="59" t="inlineStr">
        <is>
          <t>Financial Services</t>
        </is>
      </c>
      <c r="D122" s="58" t="n">
        <v>61.8</v>
      </c>
      <c r="E122" s="58" t="n">
        <v>100</v>
      </c>
      <c r="F122" s="58" t="n">
        <v>2024</v>
      </c>
      <c r="G122" s="58" t="inlineStr">
        <is>
          <t>Yes</t>
        </is>
      </c>
      <c r="H122" s="60">
        <f>MIN(20,SUMIFS(Action_Log!$F:$F,Action_Log!$A:$A,$A122,Action_Log!$D:$D,"Cosmetic")+SUMIFS(Action_Log!$F:$F,Action_Log!$A:$A,$A122,Action_Log!$D:$D,"Commercial"))+SUMIFS(Action_Log!$F:$F,Action_Log!$A:$A,$A122,Action_Log!$D:$D,"Civic")+SUMIFS(Action_Log!$F:$F,Action_Log!$A:$A,$A122,Action_Log!$D:$D,"Financial")+SUMIFS(Action_Log!$F:$F,Action_Log!$A:$A,$A122,Action_Log!$D:$D,"Structural")</f>
        <v/>
      </c>
      <c r="I122" s="61">
        <f>SUMIFS(Action_Log!$F:$F,Action_Log!$A:$A,$A122,Action_Log!$E:$E,"Negative")</f>
        <v/>
      </c>
      <c r="J122" s="62">
        <f>MAX(0,MIN(100,50+H122+I122))</f>
        <v/>
      </c>
      <c r="K122" s="63">
        <f>IF(J122&gt;=80,"Champion",IF(J122&gt;=65,"Ally",IF(J122&gt;=50,"Neutral",IF(J122&gt;=35,"Performative",IF(J122&gt;=20,"Harmful","Adversarial")))))</f>
        <v/>
      </c>
      <c r="L122" s="58" t="inlineStr">
        <is>
          <t>No</t>
        </is>
      </c>
      <c r="M122" s="58" t="inlineStr">
        <is>
          <t>No</t>
        </is>
      </c>
      <c r="N122" s="58" t="inlineStr">
        <is>
          <t>No</t>
        </is>
      </c>
      <c r="O122" s="58" t="inlineStr">
        <is>
          <t>No</t>
        </is>
      </c>
      <c r="P122" s="58" t="inlineStr">
        <is>
          <t>No</t>
        </is>
      </c>
      <c r="Q122" s="59" t="inlineStr">
        <is>
          <t>Quiet CEI 100 holder; Pride &amp; Allies network maintained; no documented reversal.</t>
        </is>
      </c>
    </row>
    <row r="123" ht="15" customHeight="1" s="42">
      <c r="A123" s="57" t="inlineStr">
        <is>
          <t>BlackRock</t>
        </is>
      </c>
      <c r="B123" s="58" t="inlineStr">
        <is>
          <t>BLK</t>
        </is>
      </c>
      <c r="C123" s="59" t="inlineStr">
        <is>
          <t>Financial Services</t>
        </is>
      </c>
      <c r="D123" s="58" t="n">
        <v>20.4</v>
      </c>
      <c r="E123" s="58" t="n">
        <v>100</v>
      </c>
      <c r="F123" s="58" t="n">
        <v>2024</v>
      </c>
      <c r="G123" s="58" t="inlineStr">
        <is>
          <t>No</t>
        </is>
      </c>
      <c r="H123" s="60">
        <f>MIN(20,SUMIFS(Action_Log!$F:$F,Action_Log!$A:$A,$A123,Action_Log!$D:$D,"Cosmetic")+SUMIFS(Action_Log!$F:$F,Action_Log!$A:$A,$A123,Action_Log!$D:$D,"Commercial"))+SUMIFS(Action_Log!$F:$F,Action_Log!$A:$A,$A123,Action_Log!$D:$D,"Civic")+SUMIFS(Action_Log!$F:$F,Action_Log!$A:$A,$A123,Action_Log!$D:$D,"Financial")+SUMIFS(Action_Log!$F:$F,Action_Log!$A:$A,$A123,Action_Log!$D:$D,"Structural")</f>
        <v/>
      </c>
      <c r="I123" s="61">
        <f>SUMIFS(Action_Log!$F:$F,Action_Log!$A:$A,$A123,Action_Log!$E:$E,"Negative")</f>
        <v/>
      </c>
      <c r="J123" s="62">
        <f>MAX(0,MIN(100,50+H123+I123))</f>
        <v/>
      </c>
      <c r="K123" s="63">
        <f>IF(J123&gt;=80,"Champion",IF(J123&gt;=65,"Ally",IF(J123&gt;=50,"Neutral",IF(J123&gt;=35,"Performative",IF(J123&gt;=20,"Harmful","Adversarial")))))</f>
        <v/>
      </c>
      <c r="L123" s="58" t="inlineStr">
        <is>
          <t>Yes</t>
        </is>
      </c>
      <c r="M123" s="58" t="inlineStr">
        <is>
          <t>Yes</t>
        </is>
      </c>
      <c r="N123" s="58" t="inlineStr">
        <is>
          <t>No</t>
        </is>
      </c>
      <c r="O123" s="58" t="inlineStr">
        <is>
          <t>No</t>
        </is>
      </c>
      <c r="P123" s="58" t="inlineStr">
        <is>
          <t>No</t>
        </is>
      </c>
      <c r="Q123" s="59" t="inlineStr">
        <is>
          <t>Dropped its workforce diversity targets and DEI language from filings and Fink's annual letter in early 2025 — the asset manager that once pushed boards on diversity stopped asking.</t>
        </is>
      </c>
    </row>
    <row r="124" ht="15" customHeight="1" s="42">
      <c r="A124" s="57" t="inlineStr">
        <is>
          <t>U.S. Bancorp</t>
        </is>
      </c>
      <c r="B124" s="58" t="inlineStr">
        <is>
          <t>USB</t>
        </is>
      </c>
      <c r="C124" s="59" t="inlineStr">
        <is>
          <t>Financial Services</t>
        </is>
      </c>
      <c r="D124" s="58" t="n">
        <v>27.5</v>
      </c>
      <c r="E124" s="58" t="n">
        <v>100</v>
      </c>
      <c r="F124" s="58" t="n">
        <v>2024</v>
      </c>
      <c r="G124" s="58" t="inlineStr">
        <is>
          <t>No</t>
        </is>
      </c>
      <c r="H124" s="60">
        <f>MIN(20,SUMIFS(Action_Log!$F:$F,Action_Log!$A:$A,$A124,Action_Log!$D:$D,"Cosmetic")+SUMIFS(Action_Log!$F:$F,Action_Log!$A:$A,$A124,Action_Log!$D:$D,"Commercial"))+SUMIFS(Action_Log!$F:$F,Action_Log!$A:$A,$A124,Action_Log!$D:$D,"Civic")+SUMIFS(Action_Log!$F:$F,Action_Log!$A:$A,$A124,Action_Log!$D:$D,"Financial")+SUMIFS(Action_Log!$F:$F,Action_Log!$A:$A,$A124,Action_Log!$D:$D,"Structural")</f>
        <v/>
      </c>
      <c r="I124" s="61">
        <f>SUMIFS(Action_Log!$F:$F,Action_Log!$A:$A,$A124,Action_Log!$E:$E,"Negative")</f>
        <v/>
      </c>
      <c r="J124" s="62">
        <f>MAX(0,MIN(100,50+H124+I124))</f>
        <v/>
      </c>
      <c r="K124" s="63">
        <f>IF(J124&gt;=80,"Champion",IF(J124&gt;=65,"Ally",IF(J124&gt;=50,"Neutral",IF(J124&gt;=35,"Performative",IF(J124&gt;=20,"Harmful","Adversarial")))))</f>
        <v/>
      </c>
      <c r="L124" s="58" t="inlineStr">
        <is>
          <t>No</t>
        </is>
      </c>
      <c r="M124" s="58" t="inlineStr">
        <is>
          <t>No</t>
        </is>
      </c>
      <c r="N124" s="58" t="inlineStr">
        <is>
          <t>No</t>
        </is>
      </c>
      <c r="O124" s="58" t="inlineStr">
        <is>
          <t>No</t>
        </is>
      </c>
      <c r="P124" s="58" t="inlineStr">
        <is>
          <t>No</t>
        </is>
      </c>
      <c r="Q124" s="59" t="inlineStr">
        <is>
          <t>Quiet CEI 100 holder; Twin Cities Pride sponsorship history; no documented reversal.</t>
        </is>
      </c>
    </row>
    <row r="125" ht="15" customHeight="1" s="42">
      <c r="A125" s="57" t="inlineStr">
        <is>
          <t>PNC Financial Services</t>
        </is>
      </c>
      <c r="B125" s="58" t="inlineStr">
        <is>
          <t>PNC</t>
        </is>
      </c>
      <c r="C125" s="59" t="inlineStr">
        <is>
          <t>Financial Services</t>
        </is>
      </c>
      <c r="D125" s="58" t="n">
        <v>21.6</v>
      </c>
      <c r="E125" s="58" t="n">
        <v>100</v>
      </c>
      <c r="F125" s="58" t="n">
        <v>2024</v>
      </c>
      <c r="G125" s="58" t="inlineStr">
        <is>
          <t>No</t>
        </is>
      </c>
      <c r="H125" s="60">
        <f>MIN(20,SUMIFS(Action_Log!$F:$F,Action_Log!$A:$A,$A125,Action_Log!$D:$D,"Cosmetic")+SUMIFS(Action_Log!$F:$F,Action_Log!$A:$A,$A125,Action_Log!$D:$D,"Commercial"))+SUMIFS(Action_Log!$F:$F,Action_Log!$A:$A,$A125,Action_Log!$D:$D,"Civic")+SUMIFS(Action_Log!$F:$F,Action_Log!$A:$A,$A125,Action_Log!$D:$D,"Financial")+SUMIFS(Action_Log!$F:$F,Action_Log!$A:$A,$A125,Action_Log!$D:$D,"Structural")</f>
        <v/>
      </c>
      <c r="I125" s="61">
        <f>SUMIFS(Action_Log!$F:$F,Action_Log!$A:$A,$A125,Action_Log!$E:$E,"Negative")</f>
        <v/>
      </c>
      <c r="J125" s="62">
        <f>MAX(0,MIN(100,50+H125+I125))</f>
        <v/>
      </c>
      <c r="K125" s="63">
        <f>IF(J125&gt;=80,"Champion",IF(J125&gt;=65,"Ally",IF(J125&gt;=50,"Neutral",IF(J125&gt;=35,"Performative",IF(J125&gt;=20,"Harmful","Adversarial")))))</f>
        <v/>
      </c>
      <c r="L125" s="58" t="inlineStr">
        <is>
          <t>No</t>
        </is>
      </c>
      <c r="M125" s="58" t="inlineStr">
        <is>
          <t>No</t>
        </is>
      </c>
      <c r="N125" s="58" t="inlineStr">
        <is>
          <t>No</t>
        </is>
      </c>
      <c r="O125" s="58" t="inlineStr">
        <is>
          <t>No</t>
        </is>
      </c>
      <c r="P125" s="58" t="inlineStr">
        <is>
          <t>No</t>
        </is>
      </c>
      <c r="Q125" s="59" t="inlineStr">
        <is>
          <t>Minimal public engagement; CEI 100 history; no documented reversal.</t>
        </is>
      </c>
    </row>
    <row r="126" ht="15" customHeight="1" s="42">
      <c r="A126" s="57" t="inlineStr">
        <is>
          <t>Capital One</t>
        </is>
      </c>
      <c r="B126" s="58" t="inlineStr">
        <is>
          <t>COF</t>
        </is>
      </c>
      <c r="C126" s="59" t="inlineStr">
        <is>
          <t>Financial Services</t>
        </is>
      </c>
      <c r="D126" s="58" t="n">
        <v>39.1</v>
      </c>
      <c r="E126" s="58" t="n">
        <v>100</v>
      </c>
      <c r="F126" s="58" t="n">
        <v>2024</v>
      </c>
      <c r="G126" s="58" t="inlineStr">
        <is>
          <t>No</t>
        </is>
      </c>
      <c r="H126" s="60">
        <f>MIN(20,SUMIFS(Action_Log!$F:$F,Action_Log!$A:$A,$A126,Action_Log!$D:$D,"Cosmetic")+SUMIFS(Action_Log!$F:$F,Action_Log!$A:$A,$A126,Action_Log!$D:$D,"Commercial"))+SUMIFS(Action_Log!$F:$F,Action_Log!$A:$A,$A126,Action_Log!$D:$D,"Civic")+SUMIFS(Action_Log!$F:$F,Action_Log!$A:$A,$A126,Action_Log!$D:$D,"Financial")+SUMIFS(Action_Log!$F:$F,Action_Log!$A:$A,$A126,Action_Log!$D:$D,"Structural")</f>
        <v/>
      </c>
      <c r="I126" s="61">
        <f>SUMIFS(Action_Log!$F:$F,Action_Log!$A:$A,$A126,Action_Log!$E:$E,"Negative")</f>
        <v/>
      </c>
      <c r="J126" s="62">
        <f>MAX(0,MIN(100,50+H126+I126))</f>
        <v/>
      </c>
      <c r="K126" s="63">
        <f>IF(J126&gt;=80,"Champion",IF(J126&gt;=65,"Ally",IF(J126&gt;=50,"Neutral",IF(J126&gt;=35,"Performative",IF(J126&gt;=20,"Harmful","Adversarial")))))</f>
        <v/>
      </c>
      <c r="L126" s="58" t="inlineStr">
        <is>
          <t>No</t>
        </is>
      </c>
      <c r="M126" s="58" t="inlineStr">
        <is>
          <t>No</t>
        </is>
      </c>
      <c r="N126" s="58" t="inlineStr">
        <is>
          <t>No</t>
        </is>
      </c>
      <c r="O126" s="58" t="inlineStr">
        <is>
          <t>No</t>
        </is>
      </c>
      <c r="P126" s="58" t="inlineStr">
        <is>
          <t>No</t>
        </is>
      </c>
      <c r="Q126" s="59" t="inlineStr">
        <is>
          <t>Out Front ERG and CEI 100 record; Pride engagement at HQ markets; no documented reversal.</t>
        </is>
      </c>
    </row>
    <row r="127" ht="15" customHeight="1" s="42">
      <c r="A127" s="57" t="inlineStr">
        <is>
          <t>Discover Financial Services</t>
        </is>
      </c>
      <c r="B127" s="58" t="inlineStr">
        <is>
          <t>DFS</t>
        </is>
      </c>
      <c r="C127" s="59" t="inlineStr">
        <is>
          <t>Financial Services</t>
        </is>
      </c>
      <c r="D127" s="58" t="n">
        <v>20.1</v>
      </c>
      <c r="E127" s="58" t="n">
        <v>100</v>
      </c>
      <c r="F127" s="58" t="n">
        <v>2024</v>
      </c>
      <c r="G127" s="58" t="inlineStr">
        <is>
          <t>No</t>
        </is>
      </c>
      <c r="H127" s="60">
        <f>MIN(20,SUMIFS(Action_Log!$F:$F,Action_Log!$A:$A,$A127,Action_Log!$D:$D,"Cosmetic")+SUMIFS(Action_Log!$F:$F,Action_Log!$A:$A,$A127,Action_Log!$D:$D,"Commercial"))+SUMIFS(Action_Log!$F:$F,Action_Log!$A:$A,$A127,Action_Log!$D:$D,"Civic")+SUMIFS(Action_Log!$F:$F,Action_Log!$A:$A,$A127,Action_Log!$D:$D,"Financial")+SUMIFS(Action_Log!$F:$F,Action_Log!$A:$A,$A127,Action_Log!$D:$D,"Structural")</f>
        <v/>
      </c>
      <c r="I127" s="61">
        <f>SUMIFS(Action_Log!$F:$F,Action_Log!$A:$A,$A127,Action_Log!$E:$E,"Negative")</f>
        <v/>
      </c>
      <c r="J127" s="62">
        <f>MAX(0,MIN(100,50+H127+I127))</f>
        <v/>
      </c>
      <c r="K127" s="63">
        <f>IF(J127&gt;=80,"Champion",IF(J127&gt;=65,"Ally",IF(J127&gt;=50,"Neutral",IF(J127&gt;=35,"Performative",IF(J127&gt;=20,"Harmful","Adversarial")))))</f>
        <v/>
      </c>
      <c r="L127" s="58" t="inlineStr">
        <is>
          <t>No</t>
        </is>
      </c>
      <c r="M127" s="58" t="inlineStr">
        <is>
          <t>No</t>
        </is>
      </c>
      <c r="N127" s="58" t="inlineStr">
        <is>
          <t>No</t>
        </is>
      </c>
      <c r="O127" s="58" t="inlineStr">
        <is>
          <t>No</t>
        </is>
      </c>
      <c r="P127" s="58" t="inlineStr">
        <is>
          <t>No</t>
        </is>
      </c>
      <c r="Q127" s="59" t="inlineStr">
        <is>
          <t>Minimal public engagement; merging into Capital One; no documented reversal.</t>
        </is>
      </c>
    </row>
    <row r="128" ht="15" customHeight="1" s="42">
      <c r="A128" s="57" t="inlineStr">
        <is>
          <t>Progressive Corporation</t>
        </is>
      </c>
      <c r="B128" s="58" t="inlineStr">
        <is>
          <t>PGR</t>
        </is>
      </c>
      <c r="C128" s="59" t="inlineStr">
        <is>
          <t>Financial Services</t>
        </is>
      </c>
      <c r="D128" s="58" t="n">
        <v>75.3</v>
      </c>
      <c r="E128" s="58" t="n">
        <v>100</v>
      </c>
      <c r="F128" s="58" t="n">
        <v>2024</v>
      </c>
      <c r="G128" s="58" t="inlineStr">
        <is>
          <t>Yes</t>
        </is>
      </c>
      <c r="H128" s="60">
        <f>MIN(20,SUMIFS(Action_Log!$F:$F,Action_Log!$A:$A,$A128,Action_Log!$D:$D,"Cosmetic")+SUMIFS(Action_Log!$F:$F,Action_Log!$A:$A,$A128,Action_Log!$D:$D,"Commercial"))+SUMIFS(Action_Log!$F:$F,Action_Log!$A:$A,$A128,Action_Log!$D:$D,"Civic")+SUMIFS(Action_Log!$F:$F,Action_Log!$A:$A,$A128,Action_Log!$D:$D,"Financial")+SUMIFS(Action_Log!$F:$F,Action_Log!$A:$A,$A128,Action_Log!$D:$D,"Structural")</f>
        <v/>
      </c>
      <c r="I128" s="61">
        <f>SUMIFS(Action_Log!$F:$F,Action_Log!$A:$A,$A128,Action_Log!$E:$E,"Negative")</f>
        <v/>
      </c>
      <c r="J128" s="62">
        <f>MAX(0,MIN(100,50+H128+I128))</f>
        <v/>
      </c>
      <c r="K128" s="63">
        <f>IF(J128&gt;=80,"Champion",IF(J128&gt;=65,"Ally",IF(J128&gt;=50,"Neutral",IF(J128&gt;=35,"Performative",IF(J128&gt;=20,"Harmful","Adversarial")))))</f>
        <v/>
      </c>
      <c r="L128" s="58" t="inlineStr">
        <is>
          <t>No</t>
        </is>
      </c>
      <c r="M128" s="58" t="inlineStr">
        <is>
          <t>No</t>
        </is>
      </c>
      <c r="N128" s="58" t="inlineStr">
        <is>
          <t>No</t>
        </is>
      </c>
      <c r="O128" s="58" t="inlineStr">
        <is>
          <t>No</t>
        </is>
      </c>
      <c r="P128" s="58" t="inlineStr">
        <is>
          <t>No</t>
        </is>
      </c>
      <c r="Q128" s="59" t="inlineStr">
        <is>
          <t>Kept LGBTQ+-inclusive advertising (queer couples and families in mainstream campaigns) through repeated boycott calls; CEI 100 record; no reversal.</t>
        </is>
      </c>
    </row>
    <row r="129" ht="15" customHeight="1" s="42">
      <c r="A129" s="57" t="inlineStr">
        <is>
          <t>Allstate</t>
        </is>
      </c>
      <c r="B129" s="58" t="inlineStr">
        <is>
          <t>ALL</t>
        </is>
      </c>
      <c r="C129" s="59" t="inlineStr">
        <is>
          <t>Financial Services</t>
        </is>
      </c>
      <c r="D129" s="58" t="n">
        <v>64.09999999999999</v>
      </c>
      <c r="E129" s="58" t="n">
        <v>100</v>
      </c>
      <c r="F129" s="58" t="n">
        <v>2024</v>
      </c>
      <c r="G129" s="58" t="inlineStr">
        <is>
          <t>No</t>
        </is>
      </c>
      <c r="H129" s="60">
        <f>MIN(20,SUMIFS(Action_Log!$F:$F,Action_Log!$A:$A,$A129,Action_Log!$D:$D,"Cosmetic")+SUMIFS(Action_Log!$F:$F,Action_Log!$A:$A,$A129,Action_Log!$D:$D,"Commercial"))+SUMIFS(Action_Log!$F:$F,Action_Log!$A:$A,$A129,Action_Log!$D:$D,"Civic")+SUMIFS(Action_Log!$F:$F,Action_Log!$A:$A,$A129,Action_Log!$D:$D,"Financial")+SUMIFS(Action_Log!$F:$F,Action_Log!$A:$A,$A129,Action_Log!$D:$D,"Structural")</f>
        <v/>
      </c>
      <c r="I129" s="61">
        <f>SUMIFS(Action_Log!$F:$F,Action_Log!$A:$A,$A129,Action_Log!$E:$E,"Negative")</f>
        <v/>
      </c>
      <c r="J129" s="62">
        <f>MAX(0,MIN(100,50+H129+I129))</f>
        <v/>
      </c>
      <c r="K129" s="63">
        <f>IF(J129&gt;=80,"Champion",IF(J129&gt;=65,"Ally",IF(J129&gt;=50,"Neutral",IF(J129&gt;=35,"Performative",IF(J129&gt;=20,"Harmful","Adversarial")))))</f>
        <v/>
      </c>
      <c r="L129" s="58" t="inlineStr">
        <is>
          <t>No</t>
        </is>
      </c>
      <c r="M129" s="58" t="inlineStr">
        <is>
          <t>No</t>
        </is>
      </c>
      <c r="N129" s="58" t="inlineStr">
        <is>
          <t>No</t>
        </is>
      </c>
      <c r="O129" s="58" t="inlineStr">
        <is>
          <t>No</t>
        </is>
      </c>
      <c r="P129" s="58" t="inlineStr">
        <is>
          <t>No</t>
        </is>
      </c>
      <c r="Q129" s="59" t="inlineStr">
        <is>
          <t>Minimal public LGBTQ+ engagement; no documented reversal.</t>
        </is>
      </c>
    </row>
    <row r="130" ht="15" customHeight="1" s="42">
      <c r="A130" s="57" t="inlineStr">
        <is>
          <t>MetLife</t>
        </is>
      </c>
      <c r="B130" s="58" t="inlineStr">
        <is>
          <t>MET</t>
        </is>
      </c>
      <c r="C130" s="59" t="inlineStr">
        <is>
          <t>Financial Services</t>
        </is>
      </c>
      <c r="D130" s="58" t="n">
        <v>71.40000000000001</v>
      </c>
      <c r="E130" s="58" t="n">
        <v>100</v>
      </c>
      <c r="F130" s="58" t="n">
        <v>2024</v>
      </c>
      <c r="G130" s="58" t="inlineStr">
        <is>
          <t>Yes</t>
        </is>
      </c>
      <c r="H130" s="60">
        <f>MIN(20,SUMIFS(Action_Log!$F:$F,Action_Log!$A:$A,$A130,Action_Log!$D:$D,"Cosmetic")+SUMIFS(Action_Log!$F:$F,Action_Log!$A:$A,$A130,Action_Log!$D:$D,"Commercial"))+SUMIFS(Action_Log!$F:$F,Action_Log!$A:$A,$A130,Action_Log!$D:$D,"Civic")+SUMIFS(Action_Log!$F:$F,Action_Log!$A:$A,$A130,Action_Log!$D:$D,"Financial")+SUMIFS(Action_Log!$F:$F,Action_Log!$A:$A,$A130,Action_Log!$D:$D,"Structural")</f>
        <v/>
      </c>
      <c r="I130" s="61">
        <f>SUMIFS(Action_Log!$F:$F,Action_Log!$A:$A,$A130,Action_Log!$E:$E,"Negative")</f>
        <v/>
      </c>
      <c r="J130" s="62">
        <f>MAX(0,MIN(100,50+H130+I130))</f>
        <v/>
      </c>
      <c r="K130" s="63">
        <f>IF(J130&gt;=80,"Champion",IF(J130&gt;=65,"Ally",IF(J130&gt;=50,"Neutral",IF(J130&gt;=35,"Performative",IF(J130&gt;=20,"Harmful","Adversarial")))))</f>
        <v/>
      </c>
      <c r="L130" s="58" t="inlineStr">
        <is>
          <t>No</t>
        </is>
      </c>
      <c r="M130" s="58" t="inlineStr">
        <is>
          <t>No</t>
        </is>
      </c>
      <c r="N130" s="58" t="inlineStr">
        <is>
          <t>No</t>
        </is>
      </c>
      <c r="O130" s="58" t="inlineStr">
        <is>
          <t>No</t>
        </is>
      </c>
      <c r="P130" s="58" t="inlineStr">
        <is>
          <t>No</t>
        </is>
      </c>
      <c r="Q130" s="59" t="inlineStr">
        <is>
          <t>Quiet CEI 100 holder with inclusive benefits; no documented reversal.</t>
        </is>
      </c>
    </row>
    <row r="131" ht="15" customHeight="1" s="42">
      <c r="A131" s="57" t="inlineStr">
        <is>
          <t>Prudential Financial</t>
        </is>
      </c>
      <c r="B131" s="58" t="inlineStr">
        <is>
          <t>PRU</t>
        </is>
      </c>
      <c r="C131" s="59" t="inlineStr">
        <is>
          <t>Financial Services</t>
        </is>
      </c>
      <c r="D131" s="58" t="n">
        <v>70.5</v>
      </c>
      <c r="E131" s="58" t="n">
        <v>100</v>
      </c>
      <c r="F131" s="58" t="n">
        <v>2024</v>
      </c>
      <c r="G131" s="58" t="inlineStr">
        <is>
          <t>Yes</t>
        </is>
      </c>
      <c r="H131" s="60">
        <f>MIN(20,SUMIFS(Action_Log!$F:$F,Action_Log!$A:$A,$A131,Action_Log!$D:$D,"Cosmetic")+SUMIFS(Action_Log!$F:$F,Action_Log!$A:$A,$A131,Action_Log!$D:$D,"Commercial"))+SUMIFS(Action_Log!$F:$F,Action_Log!$A:$A,$A131,Action_Log!$D:$D,"Civic")+SUMIFS(Action_Log!$F:$F,Action_Log!$A:$A,$A131,Action_Log!$D:$D,"Financial")+SUMIFS(Action_Log!$F:$F,Action_Log!$A:$A,$A131,Action_Log!$D:$D,"Structural")</f>
        <v/>
      </c>
      <c r="I131" s="61">
        <f>SUMIFS(Action_Log!$F:$F,Action_Log!$A:$A,$A131,Action_Log!$E:$E,"Negative")</f>
        <v/>
      </c>
      <c r="J131" s="62">
        <f>MAX(0,MIN(100,50+H131+I131))</f>
        <v/>
      </c>
      <c r="K131" s="63">
        <f>IF(J131&gt;=80,"Champion",IF(J131&gt;=65,"Ally",IF(J131&gt;=50,"Neutral",IF(J131&gt;=35,"Performative",IF(J131&gt;=20,"Harmful","Adversarial")))))</f>
        <v/>
      </c>
      <c r="L131" s="58" t="inlineStr">
        <is>
          <t>No</t>
        </is>
      </c>
      <c r="M131" s="58" t="inlineStr">
        <is>
          <t>No</t>
        </is>
      </c>
      <c r="N131" s="58" t="inlineStr">
        <is>
          <t>No</t>
        </is>
      </c>
      <c r="O131" s="58" t="inlineStr">
        <is>
          <t>No</t>
        </is>
      </c>
      <c r="P131" s="58" t="inlineStr">
        <is>
          <t>No</t>
        </is>
      </c>
      <c r="Q131" s="59" t="inlineStr">
        <is>
          <t>Published pioneering 'LGBT Financial Experience' research and maintains CEI 100 standing; quiet but substantive.</t>
        </is>
      </c>
    </row>
    <row r="132" ht="15" customHeight="1" s="42">
      <c r="A132" s="57" t="inlineStr">
        <is>
          <t>AIG</t>
        </is>
      </c>
      <c r="B132" s="58" t="inlineStr">
        <is>
          <t>AIG</t>
        </is>
      </c>
      <c r="C132" s="59" t="inlineStr">
        <is>
          <t>Financial Services</t>
        </is>
      </c>
      <c r="D132" s="58" t="n">
        <v>27</v>
      </c>
      <c r="E132" s="58" t="n">
        <v>100</v>
      </c>
      <c r="F132" s="58" t="n">
        <v>2024</v>
      </c>
      <c r="G132" s="58" t="inlineStr">
        <is>
          <t>No</t>
        </is>
      </c>
      <c r="H132" s="60">
        <f>MIN(20,SUMIFS(Action_Log!$F:$F,Action_Log!$A:$A,$A132,Action_Log!$D:$D,"Cosmetic")+SUMIFS(Action_Log!$F:$F,Action_Log!$A:$A,$A132,Action_Log!$D:$D,"Commercial"))+SUMIFS(Action_Log!$F:$F,Action_Log!$A:$A,$A132,Action_Log!$D:$D,"Civic")+SUMIFS(Action_Log!$F:$F,Action_Log!$A:$A,$A132,Action_Log!$D:$D,"Financial")+SUMIFS(Action_Log!$F:$F,Action_Log!$A:$A,$A132,Action_Log!$D:$D,"Structural")</f>
        <v/>
      </c>
      <c r="I132" s="61">
        <f>SUMIFS(Action_Log!$F:$F,Action_Log!$A:$A,$A132,Action_Log!$E:$E,"Negative")</f>
        <v/>
      </c>
      <c r="J132" s="62">
        <f>MAX(0,MIN(100,50+H132+I132))</f>
        <v/>
      </c>
      <c r="K132" s="63">
        <f>IF(J132&gt;=80,"Champion",IF(J132&gt;=65,"Ally",IF(J132&gt;=50,"Neutral",IF(J132&gt;=35,"Performative",IF(J132&gt;=20,"Harmful","Adversarial")))))</f>
        <v/>
      </c>
      <c r="L132" s="58" t="inlineStr">
        <is>
          <t>No</t>
        </is>
      </c>
      <c r="M132" s="58" t="inlineStr">
        <is>
          <t>No</t>
        </is>
      </c>
      <c r="N132" s="58" t="inlineStr">
        <is>
          <t>No</t>
        </is>
      </c>
      <c r="O132" s="58" t="inlineStr">
        <is>
          <t>No</t>
        </is>
      </c>
      <c r="P132" s="58" t="inlineStr">
        <is>
          <t>No</t>
        </is>
      </c>
      <c r="Q132" s="59" t="inlineStr">
        <is>
          <t>Minimal public LGBTQ+ engagement; no documented reversal.</t>
        </is>
      </c>
    </row>
    <row r="133" ht="15" customHeight="1" s="42">
      <c r="A133" s="57" t="inlineStr">
        <is>
          <t>Travelers Companies</t>
        </is>
      </c>
      <c r="B133" s="58" t="inlineStr">
        <is>
          <t>TRV</t>
        </is>
      </c>
      <c r="C133" s="59" t="inlineStr">
        <is>
          <t>Financial Services</t>
        </is>
      </c>
      <c r="D133" s="58" t="n">
        <v>46.4</v>
      </c>
      <c r="E133" s="58" t="n">
        <v>100</v>
      </c>
      <c r="F133" s="58" t="n">
        <v>2024</v>
      </c>
      <c r="G133" s="58" t="inlineStr">
        <is>
          <t>No</t>
        </is>
      </c>
      <c r="H133" s="60">
        <f>MIN(20,SUMIFS(Action_Log!$F:$F,Action_Log!$A:$A,$A133,Action_Log!$D:$D,"Cosmetic")+SUMIFS(Action_Log!$F:$F,Action_Log!$A:$A,$A133,Action_Log!$D:$D,"Commercial"))+SUMIFS(Action_Log!$F:$F,Action_Log!$A:$A,$A133,Action_Log!$D:$D,"Civic")+SUMIFS(Action_Log!$F:$F,Action_Log!$A:$A,$A133,Action_Log!$D:$D,"Financial")+SUMIFS(Action_Log!$F:$F,Action_Log!$A:$A,$A133,Action_Log!$D:$D,"Structural")</f>
        <v/>
      </c>
      <c r="I133" s="61">
        <f>SUMIFS(Action_Log!$F:$F,Action_Log!$A:$A,$A133,Action_Log!$E:$E,"Negative")</f>
        <v/>
      </c>
      <c r="J133" s="62">
        <f>MAX(0,MIN(100,50+H133+I133))</f>
        <v/>
      </c>
      <c r="K133" s="63">
        <f>IF(J133&gt;=80,"Champion",IF(J133&gt;=65,"Ally",IF(J133&gt;=50,"Neutral",IF(J133&gt;=35,"Performative",IF(J133&gt;=20,"Harmful","Adversarial")))))</f>
        <v/>
      </c>
      <c r="L133" s="58" t="inlineStr">
        <is>
          <t>No</t>
        </is>
      </c>
      <c r="M133" s="58" t="inlineStr">
        <is>
          <t>No</t>
        </is>
      </c>
      <c r="N133" s="58" t="inlineStr">
        <is>
          <t>No</t>
        </is>
      </c>
      <c r="O133" s="58" t="inlineStr">
        <is>
          <t>No</t>
        </is>
      </c>
      <c r="P133" s="58" t="inlineStr">
        <is>
          <t>No</t>
        </is>
      </c>
      <c r="Q133" s="59" t="inlineStr">
        <is>
          <t>Minimal public LGBTQ+ engagement; no documented reversal.</t>
        </is>
      </c>
    </row>
    <row r="134" ht="15" customHeight="1" s="42">
      <c r="A134" s="57" t="inlineStr">
        <is>
          <t>Eli Lilly</t>
        </is>
      </c>
      <c r="B134" s="58" t="inlineStr">
        <is>
          <t>LLY</t>
        </is>
      </c>
      <c r="C134" s="59" t="inlineStr">
        <is>
          <t>Healthcare &amp; Pharma</t>
        </is>
      </c>
      <c r="D134" s="58" t="n">
        <v>45</v>
      </c>
      <c r="E134" s="58" t="n">
        <v>100</v>
      </c>
      <c r="F134" s="58" t="n">
        <v>2024</v>
      </c>
      <c r="G134" s="58" t="inlineStr">
        <is>
          <t>Yes</t>
        </is>
      </c>
      <c r="H134" s="60">
        <f>MIN(20,SUMIFS(Action_Log!$F:$F,Action_Log!$A:$A,$A134,Action_Log!$D:$D,"Cosmetic")+SUMIFS(Action_Log!$F:$F,Action_Log!$A:$A,$A134,Action_Log!$D:$D,"Commercial"))+SUMIFS(Action_Log!$F:$F,Action_Log!$A:$A,$A134,Action_Log!$D:$D,"Civic")+SUMIFS(Action_Log!$F:$F,Action_Log!$A:$A,$A134,Action_Log!$D:$D,"Financial")+SUMIFS(Action_Log!$F:$F,Action_Log!$A:$A,$A134,Action_Log!$D:$D,"Structural")</f>
        <v/>
      </c>
      <c r="I134" s="61">
        <f>SUMIFS(Action_Log!$F:$F,Action_Log!$A:$A,$A134,Action_Log!$E:$E,"Negative")</f>
        <v/>
      </c>
      <c r="J134" s="62">
        <f>MAX(0,MIN(100,50+H134+I134))</f>
        <v/>
      </c>
      <c r="K134" s="63">
        <f>IF(J134&gt;=80,"Champion",IF(J134&gt;=65,"Ally",IF(J134&gt;=50,"Neutral",IF(J134&gt;=35,"Performative",IF(J134&gt;=20,"Harmful","Adversarial")))))</f>
        <v/>
      </c>
      <c r="L134" s="58" t="inlineStr">
        <is>
          <t>No</t>
        </is>
      </c>
      <c r="M134" s="58" t="inlineStr">
        <is>
          <t>No</t>
        </is>
      </c>
      <c r="N134" s="58" t="inlineStr">
        <is>
          <t>No</t>
        </is>
      </c>
      <c r="O134" s="58" t="inlineStr">
        <is>
          <t>No</t>
        </is>
      </c>
      <c r="P134" s="58" t="inlineStr">
        <is>
          <t>No</t>
        </is>
      </c>
      <c r="Q134" s="59" t="inlineStr">
        <is>
          <t>Joined the corporate fight against Indiana's RFRA in 2015 from its Indianapolis home base; CEI 100 record and inclusive benefits maintained.</t>
        </is>
      </c>
    </row>
    <row r="135" ht="15" customHeight="1" s="42">
      <c r="A135" s="57" t="inlineStr">
        <is>
          <t>Merck &amp; Co.</t>
        </is>
      </c>
      <c r="B135" s="58" t="inlineStr">
        <is>
          <t>MRK</t>
        </is>
      </c>
      <c r="C135" s="59" t="inlineStr">
        <is>
          <t>Healthcare &amp; Pharma</t>
        </is>
      </c>
      <c r="D135" s="58" t="n">
        <v>64.2</v>
      </c>
      <c r="E135" s="58" t="n">
        <v>100</v>
      </c>
      <c r="F135" s="58" t="n">
        <v>2024</v>
      </c>
      <c r="G135" s="58" t="inlineStr">
        <is>
          <t>Yes</t>
        </is>
      </c>
      <c r="H135" s="60">
        <f>MIN(20,SUMIFS(Action_Log!$F:$F,Action_Log!$A:$A,$A135,Action_Log!$D:$D,"Cosmetic")+SUMIFS(Action_Log!$F:$F,Action_Log!$A:$A,$A135,Action_Log!$D:$D,"Commercial"))+SUMIFS(Action_Log!$F:$F,Action_Log!$A:$A,$A135,Action_Log!$D:$D,"Civic")+SUMIFS(Action_Log!$F:$F,Action_Log!$A:$A,$A135,Action_Log!$D:$D,"Financial")+SUMIFS(Action_Log!$F:$F,Action_Log!$A:$A,$A135,Action_Log!$D:$D,"Structural")</f>
        <v/>
      </c>
      <c r="I135" s="61">
        <f>SUMIFS(Action_Log!$F:$F,Action_Log!$A:$A,$A135,Action_Log!$E:$E,"Negative")</f>
        <v/>
      </c>
      <c r="J135" s="62">
        <f>MAX(0,MIN(100,50+H135+I135))</f>
        <v/>
      </c>
      <c r="K135" s="63">
        <f>IF(J135&gt;=80,"Champion",IF(J135&gt;=65,"Ally",IF(J135&gt;=50,"Neutral",IF(J135&gt;=35,"Performative",IF(J135&gt;=20,"Harmful","Adversarial")))))</f>
        <v/>
      </c>
      <c r="L135" s="58" t="inlineStr">
        <is>
          <t>No</t>
        </is>
      </c>
      <c r="M135" s="58" t="inlineStr">
        <is>
          <t>No</t>
        </is>
      </c>
      <c r="N135" s="58" t="inlineStr">
        <is>
          <t>No</t>
        </is>
      </c>
      <c r="O135" s="58" t="inlineStr">
        <is>
          <t>No</t>
        </is>
      </c>
      <c r="P135" s="58" t="inlineStr">
        <is>
          <t>No</t>
        </is>
      </c>
      <c r="Q135" s="59" t="inlineStr">
        <is>
          <t>Quiet CEI 100 holder with inclusive benefits and HIV-treatment legacy; no documented reversal. Documented anti-LGBTQ+ political giving lowers the score (-30); see Political_Donations sheet.</t>
        </is>
      </c>
    </row>
    <row r="136" ht="15" customHeight="1" s="42">
      <c r="A136" s="57" t="inlineStr">
        <is>
          <t>AbbVie</t>
        </is>
      </c>
      <c r="B136" s="58" t="inlineStr">
        <is>
          <t>ABBV</t>
        </is>
      </c>
      <c r="C136" s="59" t="inlineStr">
        <is>
          <t>Healthcare &amp; Pharma</t>
        </is>
      </c>
      <c r="D136" s="58" t="n">
        <v>56.3</v>
      </c>
      <c r="E136" s="58" t="n">
        <v>100</v>
      </c>
      <c r="F136" s="58" t="n">
        <v>2024</v>
      </c>
      <c r="G136" s="58" t="inlineStr">
        <is>
          <t>Yes</t>
        </is>
      </c>
      <c r="H136" s="60">
        <f>MIN(20,SUMIFS(Action_Log!$F:$F,Action_Log!$A:$A,$A136,Action_Log!$D:$D,"Cosmetic")+SUMIFS(Action_Log!$F:$F,Action_Log!$A:$A,$A136,Action_Log!$D:$D,"Commercial"))+SUMIFS(Action_Log!$F:$F,Action_Log!$A:$A,$A136,Action_Log!$D:$D,"Civic")+SUMIFS(Action_Log!$F:$F,Action_Log!$A:$A,$A136,Action_Log!$D:$D,"Financial")+SUMIFS(Action_Log!$F:$F,Action_Log!$A:$A,$A136,Action_Log!$D:$D,"Structural")</f>
        <v/>
      </c>
      <c r="I136" s="61">
        <f>SUMIFS(Action_Log!$F:$F,Action_Log!$A:$A,$A136,Action_Log!$E:$E,"Negative")</f>
        <v/>
      </c>
      <c r="J136" s="62">
        <f>MAX(0,MIN(100,50+H136+I136))</f>
        <v/>
      </c>
      <c r="K136" s="63">
        <f>IF(J136&gt;=80,"Champion",IF(J136&gt;=65,"Ally",IF(J136&gt;=50,"Neutral",IF(J136&gt;=35,"Performative",IF(J136&gt;=20,"Harmful","Adversarial")))))</f>
        <v/>
      </c>
      <c r="L136" s="58" t="inlineStr">
        <is>
          <t>No</t>
        </is>
      </c>
      <c r="M136" s="58" t="inlineStr">
        <is>
          <t>No</t>
        </is>
      </c>
      <c r="N136" s="58" t="inlineStr">
        <is>
          <t>No</t>
        </is>
      </c>
      <c r="O136" s="58" t="inlineStr">
        <is>
          <t>No</t>
        </is>
      </c>
      <c r="P136" s="58" t="inlineStr">
        <is>
          <t>No</t>
        </is>
      </c>
      <c r="Q136" s="59" t="inlineStr">
        <is>
          <t>Quiet CEI 100 holder; inclusive benefits; no documented reversal.</t>
        </is>
      </c>
    </row>
    <row r="137" ht="15" customHeight="1" s="42">
      <c r="A137" s="57" t="inlineStr">
        <is>
          <t>Bristol Myers Squibb</t>
        </is>
      </c>
      <c r="B137" s="58" t="inlineStr">
        <is>
          <t>BMY</t>
        </is>
      </c>
      <c r="C137" s="59" t="inlineStr">
        <is>
          <t>Healthcare &amp; Pharma</t>
        </is>
      </c>
      <c r="D137" s="58" t="n">
        <v>48.3</v>
      </c>
      <c r="E137" s="58" t="n">
        <v>100</v>
      </c>
      <c r="F137" s="58" t="n">
        <v>2024</v>
      </c>
      <c r="G137" s="58" t="inlineStr">
        <is>
          <t>Yes</t>
        </is>
      </c>
      <c r="H137" s="60">
        <f>MIN(20,SUMIFS(Action_Log!$F:$F,Action_Log!$A:$A,$A137,Action_Log!$D:$D,"Cosmetic")+SUMIFS(Action_Log!$F:$F,Action_Log!$A:$A,$A137,Action_Log!$D:$D,"Commercial"))+SUMIFS(Action_Log!$F:$F,Action_Log!$A:$A,$A137,Action_Log!$D:$D,"Civic")+SUMIFS(Action_Log!$F:$F,Action_Log!$A:$A,$A137,Action_Log!$D:$D,"Financial")+SUMIFS(Action_Log!$F:$F,Action_Log!$A:$A,$A137,Action_Log!$D:$D,"Structural")</f>
        <v/>
      </c>
      <c r="I137" s="61">
        <f>SUMIFS(Action_Log!$F:$F,Action_Log!$A:$A,$A137,Action_Log!$E:$E,"Negative")</f>
        <v/>
      </c>
      <c r="J137" s="62">
        <f>MAX(0,MIN(100,50+H137+I137))</f>
        <v/>
      </c>
      <c r="K137" s="63">
        <f>IF(J137&gt;=80,"Champion",IF(J137&gt;=65,"Ally",IF(J137&gt;=50,"Neutral",IF(J137&gt;=35,"Performative",IF(J137&gt;=20,"Harmful","Adversarial")))))</f>
        <v/>
      </c>
      <c r="L137" s="58" t="inlineStr">
        <is>
          <t>No</t>
        </is>
      </c>
      <c r="M137" s="58" t="inlineStr">
        <is>
          <t>No</t>
        </is>
      </c>
      <c r="N137" s="58" t="inlineStr">
        <is>
          <t>No</t>
        </is>
      </c>
      <c r="O137" s="58" t="inlineStr">
        <is>
          <t>No</t>
        </is>
      </c>
      <c r="P137" s="58" t="inlineStr">
        <is>
          <t>No</t>
        </is>
      </c>
      <c r="Q137" s="59" t="inlineStr">
        <is>
          <t>Quiet CEI 100 holder; inclusive benefits; no documented reversal.</t>
        </is>
      </c>
    </row>
    <row r="138" ht="15" customHeight="1" s="42">
      <c r="A138" s="57" t="inlineStr">
        <is>
          <t>Gilead Sciences</t>
        </is>
      </c>
      <c r="B138" s="58" t="inlineStr">
        <is>
          <t>GILD</t>
        </is>
      </c>
      <c r="C138" s="59" t="inlineStr">
        <is>
          <t>Healthcare &amp; Pharma</t>
        </is>
      </c>
      <c r="D138" s="58" t="n">
        <v>28.8</v>
      </c>
      <c r="E138" s="58" t="n">
        <v>100</v>
      </c>
      <c r="F138" s="58" t="n">
        <v>2024</v>
      </c>
      <c r="G138" s="58" t="inlineStr">
        <is>
          <t>Yes</t>
        </is>
      </c>
      <c r="H138" s="60">
        <f>MIN(20,SUMIFS(Action_Log!$F:$F,Action_Log!$A:$A,$A138,Action_Log!$D:$D,"Cosmetic")+SUMIFS(Action_Log!$F:$F,Action_Log!$A:$A,$A138,Action_Log!$D:$D,"Commercial"))+SUMIFS(Action_Log!$F:$F,Action_Log!$A:$A,$A138,Action_Log!$D:$D,"Civic")+SUMIFS(Action_Log!$F:$F,Action_Log!$A:$A,$A138,Action_Log!$D:$D,"Financial")+SUMIFS(Action_Log!$F:$F,Action_Log!$A:$A,$A138,Action_Log!$D:$D,"Structural")</f>
        <v/>
      </c>
      <c r="I138" s="61">
        <f>SUMIFS(Action_Log!$F:$F,Action_Log!$A:$A,$A138,Action_Log!$E:$E,"Negative")</f>
        <v/>
      </c>
      <c r="J138" s="62">
        <f>MAX(0,MIN(100,50+H138+I138))</f>
        <v/>
      </c>
      <c r="K138" s="63">
        <f>IF(J138&gt;=80,"Champion",IF(J138&gt;=65,"Ally",IF(J138&gt;=50,"Neutral",IF(J138&gt;=35,"Performative",IF(J138&gt;=20,"Harmful","Adversarial")))))</f>
        <v/>
      </c>
      <c r="L138" s="58" t="inlineStr">
        <is>
          <t>No</t>
        </is>
      </c>
      <c r="M138" s="58" t="inlineStr">
        <is>
          <t>No</t>
        </is>
      </c>
      <c r="N138" s="58" t="inlineStr">
        <is>
          <t>No</t>
        </is>
      </c>
      <c r="O138" s="58" t="inlineStr">
        <is>
          <t>No</t>
        </is>
      </c>
      <c r="P138" s="58" t="inlineStr">
        <is>
          <t>No</t>
        </is>
      </c>
      <c r="Q138" s="59" t="inlineStr">
        <is>
          <t>The largest corporate funder in HIV/LGBTQ+ health: the COMPASS Initiative committed $100M+ over 10 years to HIV organizations in the US South, plus sustained grants to LGBTQ+ groups. Substance over branding.</t>
        </is>
      </c>
    </row>
    <row r="139" ht="15" customHeight="1" s="42">
      <c r="A139" s="57" t="inlineStr">
        <is>
          <t>Amgen</t>
        </is>
      </c>
      <c r="B139" s="58" t="inlineStr">
        <is>
          <t>AMGN</t>
        </is>
      </c>
      <c r="C139" s="59" t="inlineStr">
        <is>
          <t>Healthcare &amp; Pharma</t>
        </is>
      </c>
      <c r="D139" s="58" t="n">
        <v>33.4</v>
      </c>
      <c r="E139" s="58" t="n">
        <v>100</v>
      </c>
      <c r="F139" s="58" t="n">
        <v>2024</v>
      </c>
      <c r="G139" s="58" t="inlineStr">
        <is>
          <t>No</t>
        </is>
      </c>
      <c r="H139" s="60">
        <f>MIN(20,SUMIFS(Action_Log!$F:$F,Action_Log!$A:$A,$A139,Action_Log!$D:$D,"Cosmetic")+SUMIFS(Action_Log!$F:$F,Action_Log!$A:$A,$A139,Action_Log!$D:$D,"Commercial"))+SUMIFS(Action_Log!$F:$F,Action_Log!$A:$A,$A139,Action_Log!$D:$D,"Civic")+SUMIFS(Action_Log!$F:$F,Action_Log!$A:$A,$A139,Action_Log!$D:$D,"Financial")+SUMIFS(Action_Log!$F:$F,Action_Log!$A:$A,$A139,Action_Log!$D:$D,"Structural")</f>
        <v/>
      </c>
      <c r="I139" s="61">
        <f>SUMIFS(Action_Log!$F:$F,Action_Log!$A:$A,$A139,Action_Log!$E:$E,"Negative")</f>
        <v/>
      </c>
      <c r="J139" s="62">
        <f>MAX(0,MIN(100,50+H139+I139))</f>
        <v/>
      </c>
      <c r="K139" s="63">
        <f>IF(J139&gt;=80,"Champion",IF(J139&gt;=65,"Ally",IF(J139&gt;=50,"Neutral",IF(J139&gt;=35,"Performative",IF(J139&gt;=20,"Harmful","Adversarial")))))</f>
        <v/>
      </c>
      <c r="L139" s="58" t="inlineStr">
        <is>
          <t>No</t>
        </is>
      </c>
      <c r="M139" s="58" t="inlineStr">
        <is>
          <t>No</t>
        </is>
      </c>
      <c r="N139" s="58" t="inlineStr">
        <is>
          <t>No</t>
        </is>
      </c>
      <c r="O139" s="58" t="inlineStr">
        <is>
          <t>No</t>
        </is>
      </c>
      <c r="P139" s="58" t="inlineStr">
        <is>
          <t>No</t>
        </is>
      </c>
      <c r="Q139" s="59" t="inlineStr">
        <is>
          <t>Minimal public LGBTQ+ engagement; no documented reversal.</t>
        </is>
      </c>
    </row>
    <row r="140" ht="15" customHeight="1" s="42">
      <c r="A140" s="57" t="inlineStr">
        <is>
          <t>Moderna</t>
        </is>
      </c>
      <c r="B140" s="58" t="inlineStr">
        <is>
          <t>MRNA</t>
        </is>
      </c>
      <c r="C140" s="59" t="inlineStr">
        <is>
          <t>Healthcare &amp; Pharma</t>
        </is>
      </c>
      <c r="D140" s="58" t="n">
        <v>3.2</v>
      </c>
      <c r="E140" s="58" t="inlineStr">
        <is>
          <t>Not rated</t>
        </is>
      </c>
      <c r="F140" s="58" t="inlineStr">
        <is>
          <t>—</t>
        </is>
      </c>
      <c r="G140" s="58" t="inlineStr">
        <is>
          <t>No</t>
        </is>
      </c>
      <c r="H140" s="60">
        <f>MIN(20,SUMIFS(Action_Log!$F:$F,Action_Log!$A:$A,$A140,Action_Log!$D:$D,"Cosmetic")+SUMIFS(Action_Log!$F:$F,Action_Log!$A:$A,$A140,Action_Log!$D:$D,"Commercial"))+SUMIFS(Action_Log!$F:$F,Action_Log!$A:$A,$A140,Action_Log!$D:$D,"Civic")+SUMIFS(Action_Log!$F:$F,Action_Log!$A:$A,$A140,Action_Log!$D:$D,"Financial")+SUMIFS(Action_Log!$F:$F,Action_Log!$A:$A,$A140,Action_Log!$D:$D,"Structural")</f>
        <v/>
      </c>
      <c r="I140" s="61">
        <f>SUMIFS(Action_Log!$F:$F,Action_Log!$A:$A,$A140,Action_Log!$E:$E,"Negative")</f>
        <v/>
      </c>
      <c r="J140" s="62">
        <f>MAX(0,MIN(100,50+H140+I140))</f>
        <v/>
      </c>
      <c r="K140" s="63">
        <f>IF(J140&gt;=80,"Champion",IF(J140&gt;=65,"Ally",IF(J140&gt;=50,"Neutral",IF(J140&gt;=35,"Performative",IF(J140&gt;=20,"Harmful","Adversarial")))))</f>
        <v/>
      </c>
      <c r="L140" s="58" t="inlineStr">
        <is>
          <t>No</t>
        </is>
      </c>
      <c r="M140" s="58" t="inlineStr">
        <is>
          <t>No</t>
        </is>
      </c>
      <c r="N140" s="58" t="inlineStr">
        <is>
          <t>No</t>
        </is>
      </c>
      <c r="O140" s="58" t="inlineStr">
        <is>
          <t>No</t>
        </is>
      </c>
      <c r="P140" s="58" t="inlineStr">
        <is>
          <t>No</t>
        </is>
      </c>
      <c r="Q140" s="59" t="inlineStr">
        <is>
          <t>Minimal public LGBTQ+ engagement; young company, no documented reversal.</t>
        </is>
      </c>
    </row>
    <row r="141" ht="15" customHeight="1" s="42">
      <c r="A141" s="57" t="inlineStr">
        <is>
          <t>HCA Healthcare</t>
        </is>
      </c>
      <c r="B141" s="58" t="inlineStr">
        <is>
          <t>HCA</t>
        </is>
      </c>
      <c r="C141" s="59" t="inlineStr">
        <is>
          <t>Healthcare &amp; Pharma</t>
        </is>
      </c>
      <c r="D141" s="58" t="n">
        <v>70</v>
      </c>
      <c r="E141" s="58" t="inlineStr">
        <is>
          <t>Not rated</t>
        </is>
      </c>
      <c r="F141" s="58" t="inlineStr">
        <is>
          <t>—</t>
        </is>
      </c>
      <c r="G141" s="58" t="inlineStr">
        <is>
          <t>No</t>
        </is>
      </c>
      <c r="H141" s="60">
        <f>MIN(20,SUMIFS(Action_Log!$F:$F,Action_Log!$A:$A,$A141,Action_Log!$D:$D,"Cosmetic")+SUMIFS(Action_Log!$F:$F,Action_Log!$A:$A,$A141,Action_Log!$D:$D,"Commercial"))+SUMIFS(Action_Log!$F:$F,Action_Log!$A:$A,$A141,Action_Log!$D:$D,"Civic")+SUMIFS(Action_Log!$F:$F,Action_Log!$A:$A,$A141,Action_Log!$D:$D,"Financial")+SUMIFS(Action_Log!$F:$F,Action_Log!$A:$A,$A141,Action_Log!$D:$D,"Structural")</f>
        <v/>
      </c>
      <c r="I141" s="61">
        <f>SUMIFS(Action_Log!$F:$F,Action_Log!$A:$A,$A141,Action_Log!$E:$E,"Negative")</f>
        <v/>
      </c>
      <c r="J141" s="62">
        <f>MAX(0,MIN(100,50+H141+I141))</f>
        <v/>
      </c>
      <c r="K141" s="63">
        <f>IF(J141&gt;=80,"Champion",IF(J141&gt;=65,"Ally",IF(J141&gt;=50,"Neutral",IF(J141&gt;=35,"Performative",IF(J141&gt;=20,"Harmful","Adversarial")))))</f>
        <v/>
      </c>
      <c r="L141" s="58" t="inlineStr">
        <is>
          <t>No</t>
        </is>
      </c>
      <c r="M141" s="58" t="inlineStr">
        <is>
          <t>No</t>
        </is>
      </c>
      <c r="N141" s="58" t="inlineStr">
        <is>
          <t>No</t>
        </is>
      </c>
      <c r="O141" s="58" t="inlineStr">
        <is>
          <t>No</t>
        </is>
      </c>
      <c r="P141" s="58" t="inlineStr">
        <is>
          <t>No</t>
        </is>
      </c>
      <c r="Q141" s="59" t="inlineStr">
        <is>
          <t>Minimal public LGBTQ+ engagement; Nashville-based hospital giant outside the Pride economy; no documented reversal.</t>
        </is>
      </c>
    </row>
    <row r="142" ht="15" customHeight="1" s="42">
      <c r="A142" s="57" t="inlineStr">
        <is>
          <t>Elevance Health</t>
        </is>
      </c>
      <c r="B142" s="58" t="inlineStr">
        <is>
          <t>ELV</t>
        </is>
      </c>
      <c r="C142" s="59" t="inlineStr">
        <is>
          <t>Healthcare &amp; Pharma</t>
        </is>
      </c>
      <c r="D142" s="58" t="n">
        <v>175.2</v>
      </c>
      <c r="E142" s="58" t="n">
        <v>100</v>
      </c>
      <c r="F142" s="58" t="n">
        <v>2024</v>
      </c>
      <c r="G142" s="58" t="inlineStr">
        <is>
          <t>No</t>
        </is>
      </c>
      <c r="H142" s="60">
        <f>MIN(20,SUMIFS(Action_Log!$F:$F,Action_Log!$A:$A,$A142,Action_Log!$D:$D,"Cosmetic")+SUMIFS(Action_Log!$F:$F,Action_Log!$A:$A,$A142,Action_Log!$D:$D,"Commercial"))+SUMIFS(Action_Log!$F:$F,Action_Log!$A:$A,$A142,Action_Log!$D:$D,"Civic")+SUMIFS(Action_Log!$F:$F,Action_Log!$A:$A,$A142,Action_Log!$D:$D,"Financial")+SUMIFS(Action_Log!$F:$F,Action_Log!$A:$A,$A142,Action_Log!$D:$D,"Structural")</f>
        <v/>
      </c>
      <c r="I142" s="61">
        <f>SUMIFS(Action_Log!$F:$F,Action_Log!$A:$A,$A142,Action_Log!$E:$E,"Negative")</f>
        <v/>
      </c>
      <c r="J142" s="62">
        <f>MAX(0,MIN(100,50+H142+I142))</f>
        <v/>
      </c>
      <c r="K142" s="63">
        <f>IF(J142&gt;=80,"Champion",IF(J142&gt;=65,"Ally",IF(J142&gt;=50,"Neutral",IF(J142&gt;=35,"Performative",IF(J142&gt;=20,"Harmful","Adversarial")))))</f>
        <v/>
      </c>
      <c r="L142" s="58" t="inlineStr">
        <is>
          <t>Yes</t>
        </is>
      </c>
      <c r="M142" s="58" t="inlineStr">
        <is>
          <t>Yes</t>
        </is>
      </c>
      <c r="N142" s="58" t="inlineStr">
        <is>
          <t>No</t>
        </is>
      </c>
      <c r="O142" s="58" t="inlineStr">
        <is>
          <t>No</t>
        </is>
      </c>
      <c r="P142" s="58" t="inlineStr">
        <is>
          <t>No</t>
        </is>
      </c>
      <c r="Q142" s="59" t="inlineStr">
        <is>
          <t>Joined UnitedHealth, Cigna and Humana in tucking DEI strategy changes into 2025 annual-report language (Modern Healthcare). Benefits remain; public commitment language thinned.</t>
        </is>
      </c>
    </row>
    <row r="143" ht="15" customHeight="1" s="42">
      <c r="A143" s="57" t="inlineStr">
        <is>
          <t>ConocoPhillips</t>
        </is>
      </c>
      <c r="B143" s="58" t="inlineStr">
        <is>
          <t>COP</t>
        </is>
      </c>
      <c r="C143" s="59" t="inlineStr">
        <is>
          <t>Energy</t>
        </is>
      </c>
      <c r="D143" s="58" t="n">
        <v>56.9</v>
      </c>
      <c r="E143" s="58" t="inlineStr">
        <is>
          <t>Not rated</t>
        </is>
      </c>
      <c r="F143" s="58" t="inlineStr">
        <is>
          <t>—</t>
        </is>
      </c>
      <c r="G143" s="58" t="inlineStr">
        <is>
          <t>Never</t>
        </is>
      </c>
      <c r="H143" s="60">
        <f>MIN(20,SUMIFS(Action_Log!$F:$F,Action_Log!$A:$A,$A143,Action_Log!$D:$D,"Cosmetic")+SUMIFS(Action_Log!$F:$F,Action_Log!$A:$A,$A143,Action_Log!$D:$D,"Commercial"))+SUMIFS(Action_Log!$F:$F,Action_Log!$A:$A,$A143,Action_Log!$D:$D,"Civic")+SUMIFS(Action_Log!$F:$F,Action_Log!$A:$A,$A143,Action_Log!$D:$D,"Financial")+SUMIFS(Action_Log!$F:$F,Action_Log!$A:$A,$A143,Action_Log!$D:$D,"Structural")</f>
        <v/>
      </c>
      <c r="I143" s="61">
        <f>SUMIFS(Action_Log!$F:$F,Action_Log!$A:$A,$A143,Action_Log!$E:$E,"Negative")</f>
        <v/>
      </c>
      <c r="J143" s="62">
        <f>MAX(0,MIN(100,50+H143+I143))</f>
        <v/>
      </c>
      <c r="K143" s="63">
        <f>IF(J143&gt;=80,"Champion",IF(J143&gt;=65,"Ally",IF(J143&gt;=50,"Neutral",IF(J143&gt;=35,"Performative",IF(J143&gt;=20,"Harmful","Adversarial")))))</f>
        <v/>
      </c>
      <c r="L143" s="58" t="inlineStr">
        <is>
          <t>No</t>
        </is>
      </c>
      <c r="M143" s="58" t="inlineStr">
        <is>
          <t>No</t>
        </is>
      </c>
      <c r="N143" s="58" t="inlineStr">
        <is>
          <t>No</t>
        </is>
      </c>
      <c r="O143" s="58" t="inlineStr">
        <is>
          <t>No</t>
        </is>
      </c>
      <c r="P143" s="58" t="inlineStr">
        <is>
          <t>No</t>
        </is>
      </c>
      <c r="Q143" s="59" t="inlineStr">
        <is>
          <t>No meaningful public LGBTQ+ record located in either direction. Documented anti-LGBTQ+ political giving lowers the score (-30); see Political_Donations sheet.</t>
        </is>
      </c>
    </row>
    <row r="144" ht="15" customHeight="1" s="42">
      <c r="A144" s="57" t="inlineStr">
        <is>
          <t>Phillips 66</t>
        </is>
      </c>
      <c r="B144" s="58" t="inlineStr">
        <is>
          <t>PSX</t>
        </is>
      </c>
      <c r="C144" s="59" t="inlineStr">
        <is>
          <t>Energy</t>
        </is>
      </c>
      <c r="D144" s="58" t="n">
        <v>143.2</v>
      </c>
      <c r="E144" s="58" t="inlineStr">
        <is>
          <t>Not rated</t>
        </is>
      </c>
      <c r="F144" s="58" t="inlineStr">
        <is>
          <t>—</t>
        </is>
      </c>
      <c r="G144" s="58" t="inlineStr">
        <is>
          <t>Never</t>
        </is>
      </c>
      <c r="H144" s="60">
        <f>MIN(20,SUMIFS(Action_Log!$F:$F,Action_Log!$A:$A,$A144,Action_Log!$D:$D,"Cosmetic")+SUMIFS(Action_Log!$F:$F,Action_Log!$A:$A,$A144,Action_Log!$D:$D,"Commercial"))+SUMIFS(Action_Log!$F:$F,Action_Log!$A:$A,$A144,Action_Log!$D:$D,"Civic")+SUMIFS(Action_Log!$F:$F,Action_Log!$A:$A,$A144,Action_Log!$D:$D,"Financial")+SUMIFS(Action_Log!$F:$F,Action_Log!$A:$A,$A144,Action_Log!$D:$D,"Structural")</f>
        <v/>
      </c>
      <c r="I144" s="61">
        <f>SUMIFS(Action_Log!$F:$F,Action_Log!$A:$A,$A144,Action_Log!$E:$E,"Negative")</f>
        <v/>
      </c>
      <c r="J144" s="62">
        <f>MAX(0,MIN(100,50+H144+I144))</f>
        <v/>
      </c>
      <c r="K144" s="63">
        <f>IF(J144&gt;=80,"Champion",IF(J144&gt;=65,"Ally",IF(J144&gt;=50,"Neutral",IF(J144&gt;=35,"Performative",IF(J144&gt;=20,"Harmful","Adversarial")))))</f>
        <v/>
      </c>
      <c r="L144" s="58" t="inlineStr">
        <is>
          <t>No</t>
        </is>
      </c>
      <c r="M144" s="58" t="inlineStr">
        <is>
          <t>No</t>
        </is>
      </c>
      <c r="N144" s="58" t="inlineStr">
        <is>
          <t>No</t>
        </is>
      </c>
      <c r="O144" s="58" t="inlineStr">
        <is>
          <t>No</t>
        </is>
      </c>
      <c r="P144" s="58" t="inlineStr">
        <is>
          <t>No</t>
        </is>
      </c>
      <c r="Q144" s="59" t="inlineStr">
        <is>
          <t>No meaningful public LGBTQ+ record located in either direction.</t>
        </is>
      </c>
    </row>
    <row r="145" ht="15" customHeight="1" s="42">
      <c r="A145" s="57" t="inlineStr">
        <is>
          <t>Marathon Petroleum</t>
        </is>
      </c>
      <c r="B145" s="58" t="inlineStr">
        <is>
          <t>MPC</t>
        </is>
      </c>
      <c r="C145" s="59" t="inlineStr">
        <is>
          <t>Energy</t>
        </is>
      </c>
      <c r="D145" s="58" t="n">
        <v>138.9</v>
      </c>
      <c r="E145" s="58" t="inlineStr">
        <is>
          <t>Not rated</t>
        </is>
      </c>
      <c r="F145" s="58" t="inlineStr">
        <is>
          <t>—</t>
        </is>
      </c>
      <c r="G145" s="58" t="inlineStr">
        <is>
          <t>Never</t>
        </is>
      </c>
      <c r="H145" s="60">
        <f>MIN(20,SUMIFS(Action_Log!$F:$F,Action_Log!$A:$A,$A145,Action_Log!$D:$D,"Cosmetic")+SUMIFS(Action_Log!$F:$F,Action_Log!$A:$A,$A145,Action_Log!$D:$D,"Commercial"))+SUMIFS(Action_Log!$F:$F,Action_Log!$A:$A,$A145,Action_Log!$D:$D,"Civic")+SUMIFS(Action_Log!$F:$F,Action_Log!$A:$A,$A145,Action_Log!$D:$D,"Financial")+SUMIFS(Action_Log!$F:$F,Action_Log!$A:$A,$A145,Action_Log!$D:$D,"Structural")</f>
        <v/>
      </c>
      <c r="I145" s="61">
        <f>SUMIFS(Action_Log!$F:$F,Action_Log!$A:$A,$A145,Action_Log!$E:$E,"Negative")</f>
        <v/>
      </c>
      <c r="J145" s="62">
        <f>MAX(0,MIN(100,50+H145+I145))</f>
        <v/>
      </c>
      <c r="K145" s="63">
        <f>IF(J145&gt;=80,"Champion",IF(J145&gt;=65,"Ally",IF(J145&gt;=50,"Neutral",IF(J145&gt;=35,"Performative",IF(J145&gt;=20,"Harmful","Adversarial")))))</f>
        <v/>
      </c>
      <c r="L145" s="58" t="inlineStr">
        <is>
          <t>No</t>
        </is>
      </c>
      <c r="M145" s="58" t="inlineStr">
        <is>
          <t>No</t>
        </is>
      </c>
      <c r="N145" s="58" t="inlineStr">
        <is>
          <t>No</t>
        </is>
      </c>
      <c r="O145" s="58" t="inlineStr">
        <is>
          <t>No</t>
        </is>
      </c>
      <c r="P145" s="58" t="inlineStr">
        <is>
          <t>No</t>
        </is>
      </c>
      <c r="Q145" s="59" t="inlineStr">
        <is>
          <t>No meaningful public LGBTQ+ record located in either direction. Documented anti-LGBTQ+ political giving lowers the score (-30); see Political_Donations sheet.</t>
        </is>
      </c>
    </row>
    <row r="146" ht="15" customHeight="1" s="42">
      <c r="A146" s="57" t="inlineStr">
        <is>
          <t>Duke Energy</t>
        </is>
      </c>
      <c r="B146" s="58" t="inlineStr">
        <is>
          <t>DUK</t>
        </is>
      </c>
      <c r="C146" s="59" t="inlineStr">
        <is>
          <t>Energy</t>
        </is>
      </c>
      <c r="D146" s="58" t="n">
        <v>30.4</v>
      </c>
      <c r="E146" s="58" t="inlineStr">
        <is>
          <t>Not rated</t>
        </is>
      </c>
      <c r="F146" s="58" t="inlineStr">
        <is>
          <t>—</t>
        </is>
      </c>
      <c r="G146" s="58" t="inlineStr">
        <is>
          <t>No</t>
        </is>
      </c>
      <c r="H146" s="60">
        <f>MIN(20,SUMIFS(Action_Log!$F:$F,Action_Log!$A:$A,$A146,Action_Log!$D:$D,"Cosmetic")+SUMIFS(Action_Log!$F:$F,Action_Log!$A:$A,$A146,Action_Log!$D:$D,"Commercial"))+SUMIFS(Action_Log!$F:$F,Action_Log!$A:$A,$A146,Action_Log!$D:$D,"Civic")+SUMIFS(Action_Log!$F:$F,Action_Log!$A:$A,$A146,Action_Log!$D:$D,"Financial")+SUMIFS(Action_Log!$F:$F,Action_Log!$A:$A,$A146,Action_Log!$D:$D,"Structural")</f>
        <v/>
      </c>
      <c r="I146" s="61">
        <f>SUMIFS(Action_Log!$F:$F,Action_Log!$A:$A,$A146,Action_Log!$E:$E,"Negative")</f>
        <v/>
      </c>
      <c r="J146" s="62">
        <f>MAX(0,MIN(100,50+H146+I146))</f>
        <v/>
      </c>
      <c r="K146" s="63">
        <f>IF(J146&gt;=80,"Champion",IF(J146&gt;=65,"Ally",IF(J146&gt;=50,"Neutral",IF(J146&gt;=35,"Performative",IF(J146&gt;=20,"Harmful","Adversarial")))))</f>
        <v/>
      </c>
      <c r="L146" s="58" t="inlineStr">
        <is>
          <t>No</t>
        </is>
      </c>
      <c r="M146" s="58" t="inlineStr">
        <is>
          <t>No</t>
        </is>
      </c>
      <c r="N146" s="58" t="inlineStr">
        <is>
          <t>No</t>
        </is>
      </c>
      <c r="O146" s="58" t="inlineStr">
        <is>
          <t>No</t>
        </is>
      </c>
      <c r="P146" s="58" t="inlineStr">
        <is>
          <t>No</t>
        </is>
      </c>
      <c r="Q146" s="59" t="inlineStr">
        <is>
          <t>Minimal public LGBTQ+ engagement; no documented reversal.</t>
        </is>
      </c>
    </row>
    <row r="147" ht="15" customHeight="1" s="42">
      <c r="A147" s="57" t="inlineStr">
        <is>
          <t>Dominion Energy</t>
        </is>
      </c>
      <c r="B147" s="58" t="inlineStr">
        <is>
          <t>D</t>
        </is>
      </c>
      <c r="C147" s="59" t="inlineStr">
        <is>
          <t>Energy</t>
        </is>
      </c>
      <c r="D147" s="58" t="n">
        <v>14.5</v>
      </c>
      <c r="E147" s="58" t="inlineStr">
        <is>
          <t>Not rated</t>
        </is>
      </c>
      <c r="F147" s="58" t="inlineStr">
        <is>
          <t>—</t>
        </is>
      </c>
      <c r="G147" s="58" t="inlineStr">
        <is>
          <t>No</t>
        </is>
      </c>
      <c r="H147" s="60">
        <f>MIN(20,SUMIFS(Action_Log!$F:$F,Action_Log!$A:$A,$A147,Action_Log!$D:$D,"Cosmetic")+SUMIFS(Action_Log!$F:$F,Action_Log!$A:$A,$A147,Action_Log!$D:$D,"Commercial"))+SUMIFS(Action_Log!$F:$F,Action_Log!$A:$A,$A147,Action_Log!$D:$D,"Civic")+SUMIFS(Action_Log!$F:$F,Action_Log!$A:$A,$A147,Action_Log!$D:$D,"Financial")+SUMIFS(Action_Log!$F:$F,Action_Log!$A:$A,$A147,Action_Log!$D:$D,"Structural")</f>
        <v/>
      </c>
      <c r="I147" s="61">
        <f>SUMIFS(Action_Log!$F:$F,Action_Log!$A:$A,$A147,Action_Log!$E:$E,"Negative")</f>
        <v/>
      </c>
      <c r="J147" s="62">
        <f>MAX(0,MIN(100,50+H147+I147))</f>
        <v/>
      </c>
      <c r="K147" s="63">
        <f>IF(J147&gt;=80,"Champion",IF(J147&gt;=65,"Ally",IF(J147&gt;=50,"Neutral",IF(J147&gt;=35,"Performative",IF(J147&gt;=20,"Harmful","Adversarial")))))</f>
        <v/>
      </c>
      <c r="L147" s="58" t="inlineStr">
        <is>
          <t>No</t>
        </is>
      </c>
      <c r="M147" s="58" t="inlineStr">
        <is>
          <t>No</t>
        </is>
      </c>
      <c r="N147" s="58" t="inlineStr">
        <is>
          <t>No</t>
        </is>
      </c>
      <c r="O147" s="58" t="inlineStr">
        <is>
          <t>No</t>
        </is>
      </c>
      <c r="P147" s="58" t="inlineStr">
        <is>
          <t>No</t>
        </is>
      </c>
      <c r="Q147" s="59" t="inlineStr">
        <is>
          <t>Sponsored Virginia Pride events in prior years; otherwise minimal engagement, no documented reversal.</t>
        </is>
      </c>
    </row>
    <row r="148" ht="15" customHeight="1" s="42">
      <c r="A148" s="57" t="inlineStr">
        <is>
          <t>Rivian</t>
        </is>
      </c>
      <c r="B148" s="58" t="inlineStr">
        <is>
          <t>RIVN</t>
        </is>
      </c>
      <c r="C148" s="59" t="inlineStr">
        <is>
          <t>Automotive</t>
        </is>
      </c>
      <c r="D148" s="58" t="n">
        <v>5</v>
      </c>
      <c r="E148" s="58" t="inlineStr">
        <is>
          <t>Not rated</t>
        </is>
      </c>
      <c r="F148" s="58" t="inlineStr">
        <is>
          <t>—</t>
        </is>
      </c>
      <c r="G148" s="58" t="inlineStr">
        <is>
          <t>Never</t>
        </is>
      </c>
      <c r="H148" s="60">
        <f>MIN(20,SUMIFS(Action_Log!$F:$F,Action_Log!$A:$A,$A148,Action_Log!$D:$D,"Cosmetic")+SUMIFS(Action_Log!$F:$F,Action_Log!$A:$A,$A148,Action_Log!$D:$D,"Commercial"))+SUMIFS(Action_Log!$F:$F,Action_Log!$A:$A,$A148,Action_Log!$D:$D,"Civic")+SUMIFS(Action_Log!$F:$F,Action_Log!$A:$A,$A148,Action_Log!$D:$D,"Financial")+SUMIFS(Action_Log!$F:$F,Action_Log!$A:$A,$A148,Action_Log!$D:$D,"Structural")</f>
        <v/>
      </c>
      <c r="I148" s="61">
        <f>SUMIFS(Action_Log!$F:$F,Action_Log!$A:$A,$A148,Action_Log!$E:$E,"Negative")</f>
        <v/>
      </c>
      <c r="J148" s="62">
        <f>MAX(0,MIN(100,50+H148+I148))</f>
        <v/>
      </c>
      <c r="K148" s="63">
        <f>IF(J148&gt;=80,"Champion",IF(J148&gt;=65,"Ally",IF(J148&gt;=50,"Neutral",IF(J148&gt;=35,"Performative",IF(J148&gt;=20,"Harmful","Adversarial")))))</f>
        <v/>
      </c>
      <c r="L148" s="58" t="inlineStr">
        <is>
          <t>No</t>
        </is>
      </c>
      <c r="M148" s="58" t="inlineStr">
        <is>
          <t>No</t>
        </is>
      </c>
      <c r="N148" s="58" t="inlineStr">
        <is>
          <t>No</t>
        </is>
      </c>
      <c r="O148" s="58" t="inlineStr">
        <is>
          <t>No</t>
        </is>
      </c>
      <c r="P148" s="58" t="inlineStr">
        <is>
          <t>No</t>
        </is>
      </c>
      <c r="Q148" s="59" t="inlineStr">
        <is>
          <t>No meaningful public LGBTQ+ record located in either direction; young company.</t>
        </is>
      </c>
    </row>
    <row r="149" ht="15" customHeight="1" s="42">
      <c r="A149" s="57" t="inlineStr">
        <is>
          <t>Lucid Group</t>
        </is>
      </c>
      <c r="B149" s="58" t="inlineStr">
        <is>
          <t>LCID</t>
        </is>
      </c>
      <c r="C149" s="59" t="inlineStr">
        <is>
          <t>Automotive</t>
        </is>
      </c>
      <c r="D149" s="58" t="n">
        <v>0.8</v>
      </c>
      <c r="E149" s="58" t="inlineStr">
        <is>
          <t>Not rated</t>
        </is>
      </c>
      <c r="F149" s="58" t="inlineStr">
        <is>
          <t>—</t>
        </is>
      </c>
      <c r="G149" s="58" t="inlineStr">
        <is>
          <t>Never</t>
        </is>
      </c>
      <c r="H149" s="60">
        <f>MIN(20,SUMIFS(Action_Log!$F:$F,Action_Log!$A:$A,$A149,Action_Log!$D:$D,"Cosmetic")+SUMIFS(Action_Log!$F:$F,Action_Log!$A:$A,$A149,Action_Log!$D:$D,"Commercial"))+SUMIFS(Action_Log!$F:$F,Action_Log!$A:$A,$A149,Action_Log!$D:$D,"Civic")+SUMIFS(Action_Log!$F:$F,Action_Log!$A:$A,$A149,Action_Log!$D:$D,"Financial")+SUMIFS(Action_Log!$F:$F,Action_Log!$A:$A,$A149,Action_Log!$D:$D,"Structural")</f>
        <v/>
      </c>
      <c r="I149" s="61">
        <f>SUMIFS(Action_Log!$F:$F,Action_Log!$A:$A,$A149,Action_Log!$E:$E,"Negative")</f>
        <v/>
      </c>
      <c r="J149" s="62">
        <f>MAX(0,MIN(100,50+H149+I149))</f>
        <v/>
      </c>
      <c r="K149" s="63">
        <f>IF(J149&gt;=80,"Champion",IF(J149&gt;=65,"Ally",IF(J149&gt;=50,"Neutral",IF(J149&gt;=35,"Performative",IF(J149&gt;=20,"Harmful","Adversarial")))))</f>
        <v/>
      </c>
      <c r="L149" s="58" t="inlineStr">
        <is>
          <t>No</t>
        </is>
      </c>
      <c r="M149" s="58" t="inlineStr">
        <is>
          <t>No</t>
        </is>
      </c>
      <c r="N149" s="58" t="inlineStr">
        <is>
          <t>No</t>
        </is>
      </c>
      <c r="O149" s="58" t="inlineStr">
        <is>
          <t>No</t>
        </is>
      </c>
      <c r="P149" s="58" t="inlineStr">
        <is>
          <t>No</t>
        </is>
      </c>
      <c r="Q149" s="59" t="inlineStr">
        <is>
          <t>No meaningful public LGBTQ+ record located in either direction; young company majority-owned by Saudi Arabia's PIF.</t>
        </is>
      </c>
    </row>
    <row r="150" ht="15" customHeight="1" s="42">
      <c r="A150" s="57" t="inlineStr">
        <is>
          <t>Wyndham Hotels &amp; Resorts</t>
        </is>
      </c>
      <c r="B150" s="58" t="inlineStr">
        <is>
          <t>WH</t>
        </is>
      </c>
      <c r="C150" s="59" t="inlineStr">
        <is>
          <t>Hospitality &amp; Travel</t>
        </is>
      </c>
      <c r="D150" s="58" t="n">
        <v>1.4</v>
      </c>
      <c r="E150" s="58" t="n">
        <v>100</v>
      </c>
      <c r="F150" s="58" t="n">
        <v>2024</v>
      </c>
      <c r="G150" s="58" t="inlineStr">
        <is>
          <t>No</t>
        </is>
      </c>
      <c r="H150" s="60">
        <f>MIN(20,SUMIFS(Action_Log!$F:$F,Action_Log!$A:$A,$A150,Action_Log!$D:$D,"Cosmetic")+SUMIFS(Action_Log!$F:$F,Action_Log!$A:$A,$A150,Action_Log!$D:$D,"Commercial"))+SUMIFS(Action_Log!$F:$F,Action_Log!$A:$A,$A150,Action_Log!$D:$D,"Civic")+SUMIFS(Action_Log!$F:$F,Action_Log!$A:$A,$A150,Action_Log!$D:$D,"Financial")+SUMIFS(Action_Log!$F:$F,Action_Log!$A:$A,$A150,Action_Log!$D:$D,"Structural")</f>
        <v/>
      </c>
      <c r="I150" s="61">
        <f>SUMIFS(Action_Log!$F:$F,Action_Log!$A:$A,$A150,Action_Log!$E:$E,"Negative")</f>
        <v/>
      </c>
      <c r="J150" s="62">
        <f>MAX(0,MIN(100,50+H150+I150))</f>
        <v/>
      </c>
      <c r="K150" s="63">
        <f>IF(J150&gt;=80,"Champion",IF(J150&gt;=65,"Ally",IF(J150&gt;=50,"Neutral",IF(J150&gt;=35,"Performative",IF(J150&gt;=20,"Harmful","Adversarial")))))</f>
        <v/>
      </c>
      <c r="L150" s="58" t="inlineStr">
        <is>
          <t>No</t>
        </is>
      </c>
      <c r="M150" s="58" t="inlineStr">
        <is>
          <t>No</t>
        </is>
      </c>
      <c r="N150" s="58" t="inlineStr">
        <is>
          <t>No</t>
        </is>
      </c>
      <c r="O150" s="58" t="inlineStr">
        <is>
          <t>No</t>
        </is>
      </c>
      <c r="P150" s="58" t="inlineStr">
        <is>
          <t>No</t>
        </is>
      </c>
      <c r="Q150" s="59" t="inlineStr">
        <is>
          <t>Minimal public LGBTQ+ engagement; no documented reversal.</t>
        </is>
      </c>
    </row>
    <row r="151" ht="15" customHeight="1" s="42">
      <c r="A151" s="57" t="inlineStr">
        <is>
          <t>Hyatt Hotels</t>
        </is>
      </c>
      <c r="B151" s="58" t="inlineStr">
        <is>
          <t>H</t>
        </is>
      </c>
      <c r="C151" s="59" t="inlineStr">
        <is>
          <t>Hospitality &amp; Travel</t>
        </is>
      </c>
      <c r="D151" s="58" t="n">
        <v>6.6</v>
      </c>
      <c r="E151" s="58" t="n">
        <v>100</v>
      </c>
      <c r="F151" s="58" t="n">
        <v>2024</v>
      </c>
      <c r="G151" s="58" t="inlineStr">
        <is>
          <t>Yes</t>
        </is>
      </c>
      <c r="H151" s="60">
        <f>MIN(20,SUMIFS(Action_Log!$F:$F,Action_Log!$A:$A,$A151,Action_Log!$D:$D,"Cosmetic")+SUMIFS(Action_Log!$F:$F,Action_Log!$A:$A,$A151,Action_Log!$D:$D,"Commercial"))+SUMIFS(Action_Log!$F:$F,Action_Log!$A:$A,$A151,Action_Log!$D:$D,"Civic")+SUMIFS(Action_Log!$F:$F,Action_Log!$A:$A,$A151,Action_Log!$D:$D,"Financial")+SUMIFS(Action_Log!$F:$F,Action_Log!$A:$A,$A151,Action_Log!$D:$D,"Structural")</f>
        <v/>
      </c>
      <c r="I151" s="61">
        <f>SUMIFS(Action_Log!$F:$F,Action_Log!$A:$A,$A151,Action_Log!$E:$E,"Negative")</f>
        <v/>
      </c>
      <c r="J151" s="62">
        <f>MAX(0,MIN(100,50+H151+I151))</f>
        <v/>
      </c>
      <c r="K151" s="63">
        <f>IF(J151&gt;=80,"Champion",IF(J151&gt;=65,"Ally",IF(J151&gt;=50,"Neutral",IF(J151&gt;=35,"Performative",IF(J151&gt;=20,"Harmful","Adversarial")))))</f>
        <v/>
      </c>
      <c r="L151" s="58" t="inlineStr">
        <is>
          <t>No</t>
        </is>
      </c>
      <c r="M151" s="58" t="inlineStr">
        <is>
          <t>No</t>
        </is>
      </c>
      <c r="N151" s="58" t="inlineStr">
        <is>
          <t>No</t>
        </is>
      </c>
      <c r="O151" s="58" t="inlineStr">
        <is>
          <t>No</t>
        </is>
      </c>
      <c r="P151" s="58" t="inlineStr">
        <is>
          <t>No</t>
        </is>
      </c>
      <c r="Q151" s="59" t="inlineStr">
        <is>
          <t>WorldPride 2025 supporter alongside Hilton while peers withdrew; CEI 100 record; longtime LGBTQ+ travel marketer.</t>
        </is>
      </c>
    </row>
    <row r="152" ht="15" customHeight="1" s="42">
      <c r="A152" s="57" t="inlineStr">
        <is>
          <t>Southwest Airlines</t>
        </is>
      </c>
      <c r="B152" s="58" t="inlineStr">
        <is>
          <t>LUV</t>
        </is>
      </c>
      <c r="C152" s="59" t="inlineStr">
        <is>
          <t>Hospitality &amp; Travel</t>
        </is>
      </c>
      <c r="D152" s="58" t="n">
        <v>27.5</v>
      </c>
      <c r="E152" s="58" t="n">
        <v>100</v>
      </c>
      <c r="F152" s="58" t="n">
        <v>2024</v>
      </c>
      <c r="G152" s="58" t="inlineStr">
        <is>
          <t>No</t>
        </is>
      </c>
      <c r="H152" s="60">
        <f>MIN(20,SUMIFS(Action_Log!$F:$F,Action_Log!$A:$A,$A152,Action_Log!$D:$D,"Cosmetic")+SUMIFS(Action_Log!$F:$F,Action_Log!$A:$A,$A152,Action_Log!$D:$D,"Commercial"))+SUMIFS(Action_Log!$F:$F,Action_Log!$A:$A,$A152,Action_Log!$D:$D,"Civic")+SUMIFS(Action_Log!$F:$F,Action_Log!$A:$A,$A152,Action_Log!$D:$D,"Financial")+SUMIFS(Action_Log!$F:$F,Action_Log!$A:$A,$A152,Action_Log!$D:$D,"Structural")</f>
        <v/>
      </c>
      <c r="I152" s="61">
        <f>SUMIFS(Action_Log!$F:$F,Action_Log!$A:$A,$A152,Action_Log!$E:$E,"Negative")</f>
        <v/>
      </c>
      <c r="J152" s="62">
        <f>MAX(0,MIN(100,50+H152+I152))</f>
        <v/>
      </c>
      <c r="K152" s="63">
        <f>IF(J152&gt;=80,"Champion",IF(J152&gt;=65,"Ally",IF(J152&gt;=50,"Neutral",IF(J152&gt;=35,"Performative",IF(J152&gt;=20,"Harmful","Adversarial")))))</f>
        <v/>
      </c>
      <c r="L152" s="58" t="inlineStr">
        <is>
          <t>No</t>
        </is>
      </c>
      <c r="M152" s="58" t="inlineStr">
        <is>
          <t>No</t>
        </is>
      </c>
      <c r="N152" s="58" t="inlineStr">
        <is>
          <t>No</t>
        </is>
      </c>
      <c r="O152" s="58" t="inlineStr">
        <is>
          <t>No</t>
        </is>
      </c>
      <c r="P152" s="58" t="inlineStr">
        <is>
          <t>No</t>
        </is>
      </c>
      <c r="Q152" s="59" t="inlineStr">
        <is>
          <t>Board defended diversity commitments in 2025 proxy season; quiet otherwise with CEI 100 record and an active ERG.</t>
        </is>
      </c>
    </row>
    <row r="153" ht="15" customHeight="1" s="42">
      <c r="A153" s="57" t="inlineStr">
        <is>
          <t>JetBlue Airways</t>
        </is>
      </c>
      <c r="B153" s="58" t="inlineStr">
        <is>
          <t>JBLU</t>
        </is>
      </c>
      <c r="C153" s="59" t="inlineStr">
        <is>
          <t>Hospitality &amp; Travel</t>
        </is>
      </c>
      <c r="D153" s="58" t="n">
        <v>9.300000000000001</v>
      </c>
      <c r="E153" s="58" t="n">
        <v>100</v>
      </c>
      <c r="F153" s="58" t="n">
        <v>2024</v>
      </c>
      <c r="G153" s="58" t="inlineStr">
        <is>
          <t>Yes</t>
        </is>
      </c>
      <c r="H153" s="60">
        <f>MIN(20,SUMIFS(Action_Log!$F:$F,Action_Log!$A:$A,$A153,Action_Log!$D:$D,"Cosmetic")+SUMIFS(Action_Log!$F:$F,Action_Log!$A:$A,$A153,Action_Log!$D:$D,"Commercial"))+SUMIFS(Action_Log!$F:$F,Action_Log!$A:$A,$A153,Action_Log!$D:$D,"Civic")+SUMIFS(Action_Log!$F:$F,Action_Log!$A:$A,$A153,Action_Log!$D:$D,"Financial")+SUMIFS(Action_Log!$F:$F,Action_Log!$A:$A,$A153,Action_Log!$D:$D,"Structural")</f>
        <v/>
      </c>
      <c r="I153" s="61">
        <f>SUMIFS(Action_Log!$F:$F,Action_Log!$A:$A,$A153,Action_Log!$E:$E,"Negative")</f>
        <v/>
      </c>
      <c r="J153" s="62">
        <f>MAX(0,MIN(100,50+H153+I153))</f>
        <v/>
      </c>
      <c r="K153" s="63">
        <f>IF(J153&gt;=80,"Champion",IF(J153&gt;=65,"Ally",IF(J153&gt;=50,"Neutral",IF(J153&gt;=35,"Performative",IF(J153&gt;=20,"Harmful","Adversarial")))))</f>
        <v/>
      </c>
      <c r="L153" s="58" t="inlineStr">
        <is>
          <t>No</t>
        </is>
      </c>
      <c r="M153" s="58" t="inlineStr">
        <is>
          <t>No</t>
        </is>
      </c>
      <c r="N153" s="58" t="inlineStr">
        <is>
          <t>No</t>
        </is>
      </c>
      <c r="O153" s="58" t="inlineStr">
        <is>
          <t>No</t>
        </is>
      </c>
      <c r="P153" s="58" t="inlineStr">
        <is>
          <t>No</t>
        </is>
      </c>
      <c r="Q153" s="59" t="inlineStr">
        <is>
          <t>Longtime NYC Pride participant with Pride-livery flights and JetPride crew network; no documented reversal.</t>
        </is>
      </c>
    </row>
    <row r="154" ht="15" customHeight="1" s="42">
      <c r="A154" s="57" t="inlineStr">
        <is>
          <t>Royal Caribbean Group</t>
        </is>
      </c>
      <c r="B154" s="58" t="inlineStr">
        <is>
          <t>RCL</t>
        </is>
      </c>
      <c r="C154" s="59" t="inlineStr">
        <is>
          <t>Hospitality &amp; Travel</t>
        </is>
      </c>
      <c r="D154" s="58" t="n">
        <v>16.5</v>
      </c>
      <c r="E154" s="58" t="inlineStr">
        <is>
          <t>Not rated</t>
        </is>
      </c>
      <c r="F154" s="58" t="inlineStr">
        <is>
          <t>—</t>
        </is>
      </c>
      <c r="G154" s="58" t="inlineStr">
        <is>
          <t>No</t>
        </is>
      </c>
      <c r="H154" s="60">
        <f>MIN(20,SUMIFS(Action_Log!$F:$F,Action_Log!$A:$A,$A154,Action_Log!$D:$D,"Cosmetic")+SUMIFS(Action_Log!$F:$F,Action_Log!$A:$A,$A154,Action_Log!$D:$D,"Commercial"))+SUMIFS(Action_Log!$F:$F,Action_Log!$A:$A,$A154,Action_Log!$D:$D,"Civic")+SUMIFS(Action_Log!$F:$F,Action_Log!$A:$A,$A154,Action_Log!$D:$D,"Financial")+SUMIFS(Action_Log!$F:$F,Action_Log!$A:$A,$A154,Action_Log!$D:$D,"Structural")</f>
        <v/>
      </c>
      <c r="I154" s="61">
        <f>SUMIFS(Action_Log!$F:$F,Action_Log!$A:$A,$A154,Action_Log!$E:$E,"Negative")</f>
        <v/>
      </c>
      <c r="J154" s="62">
        <f>MAX(0,MIN(100,50+H154+I154))</f>
        <v/>
      </c>
      <c r="K154" s="63">
        <f>IF(J154&gt;=80,"Champion",IF(J154&gt;=65,"Ally",IF(J154&gt;=50,"Neutral",IF(J154&gt;=35,"Performative",IF(J154&gt;=20,"Harmful","Adversarial")))))</f>
        <v/>
      </c>
      <c r="L154" s="58" t="inlineStr">
        <is>
          <t>No</t>
        </is>
      </c>
      <c r="M154" s="58" t="inlineStr">
        <is>
          <t>No</t>
        </is>
      </c>
      <c r="N154" s="58" t="inlineStr">
        <is>
          <t>No</t>
        </is>
      </c>
      <c r="O154" s="58" t="inlineStr">
        <is>
          <t>No</t>
        </is>
      </c>
      <c r="P154" s="58" t="inlineStr">
        <is>
          <t>No</t>
        </is>
      </c>
      <c r="Q154" s="59" t="inlineStr">
        <is>
          <t>Hosts Pride sailings/events onboard; minimal corporate-level commitments documented.</t>
        </is>
      </c>
    </row>
    <row r="155" ht="15" customHeight="1" s="42">
      <c r="A155" s="57" t="inlineStr">
        <is>
          <t>Carnival Corporation</t>
        </is>
      </c>
      <c r="B155" s="58" t="inlineStr">
        <is>
          <t>CCL</t>
        </is>
      </c>
      <c r="C155" s="59" t="inlineStr">
        <is>
          <t>Hospitality &amp; Travel</t>
        </is>
      </c>
      <c r="D155" s="58" t="n">
        <v>25</v>
      </c>
      <c r="E155" s="58" t="inlineStr">
        <is>
          <t>Not rated</t>
        </is>
      </c>
      <c r="F155" s="58" t="inlineStr">
        <is>
          <t>—</t>
        </is>
      </c>
      <c r="G155" s="58" t="inlineStr">
        <is>
          <t>No</t>
        </is>
      </c>
      <c r="H155" s="60">
        <f>MIN(20,SUMIFS(Action_Log!$F:$F,Action_Log!$A:$A,$A155,Action_Log!$D:$D,"Cosmetic")+SUMIFS(Action_Log!$F:$F,Action_Log!$A:$A,$A155,Action_Log!$D:$D,"Commercial"))+SUMIFS(Action_Log!$F:$F,Action_Log!$A:$A,$A155,Action_Log!$D:$D,"Civic")+SUMIFS(Action_Log!$F:$F,Action_Log!$A:$A,$A155,Action_Log!$D:$D,"Financial")+SUMIFS(Action_Log!$F:$F,Action_Log!$A:$A,$A155,Action_Log!$D:$D,"Structural")</f>
        <v/>
      </c>
      <c r="I155" s="61">
        <f>SUMIFS(Action_Log!$F:$F,Action_Log!$A:$A,$A155,Action_Log!$E:$E,"Negative")</f>
        <v/>
      </c>
      <c r="J155" s="62">
        <f>MAX(0,MIN(100,50+H155+I155))</f>
        <v/>
      </c>
      <c r="K155" s="63">
        <f>IF(J155&gt;=80,"Champion",IF(J155&gt;=65,"Ally",IF(J155&gt;=50,"Neutral",IF(J155&gt;=35,"Performative",IF(J155&gt;=20,"Harmful","Adversarial")))))</f>
        <v/>
      </c>
      <c r="L155" s="58" t="inlineStr">
        <is>
          <t>No</t>
        </is>
      </c>
      <c r="M155" s="58" t="inlineStr">
        <is>
          <t>No</t>
        </is>
      </c>
      <c r="N155" s="58" t="inlineStr">
        <is>
          <t>No</t>
        </is>
      </c>
      <c r="O155" s="58" t="inlineStr">
        <is>
          <t>No</t>
        </is>
      </c>
      <c r="P155" s="58" t="inlineStr">
        <is>
          <t>No</t>
        </is>
      </c>
      <c r="Q155" s="59" t="inlineStr">
        <is>
          <t>LGBTQ+-welcoming cruise marketing and onboard Pride events; minimal corporate-level commitments documented.</t>
        </is>
      </c>
    </row>
    <row r="156" ht="15" customHeight="1" s="42">
      <c r="A156" s="57" t="inlineStr">
        <is>
          <t>Kimberly-Clark</t>
        </is>
      </c>
      <c r="B156" s="58" t="inlineStr">
        <is>
          <t>KMB</t>
        </is>
      </c>
      <c r="C156" s="59" t="inlineStr">
        <is>
          <t>Consumer Goods</t>
        </is>
      </c>
      <c r="D156" s="58" t="n">
        <v>20.1</v>
      </c>
      <c r="E156" s="58" t="n">
        <v>100</v>
      </c>
      <c r="F156" s="58" t="n">
        <v>2024</v>
      </c>
      <c r="G156" s="58" t="inlineStr">
        <is>
          <t>Yes</t>
        </is>
      </c>
      <c r="H156" s="60">
        <f>MIN(20,SUMIFS(Action_Log!$F:$F,Action_Log!$A:$A,$A156,Action_Log!$D:$D,"Cosmetic")+SUMIFS(Action_Log!$F:$F,Action_Log!$A:$A,$A156,Action_Log!$D:$D,"Commercial"))+SUMIFS(Action_Log!$F:$F,Action_Log!$A:$A,$A156,Action_Log!$D:$D,"Civic")+SUMIFS(Action_Log!$F:$F,Action_Log!$A:$A,$A156,Action_Log!$D:$D,"Financial")+SUMIFS(Action_Log!$F:$F,Action_Log!$A:$A,$A156,Action_Log!$D:$D,"Structural")</f>
        <v/>
      </c>
      <c r="I156" s="61">
        <f>SUMIFS(Action_Log!$F:$F,Action_Log!$A:$A,$A156,Action_Log!$E:$E,"Negative")</f>
        <v/>
      </c>
      <c r="J156" s="62">
        <f>MAX(0,MIN(100,50+H156+I156))</f>
        <v/>
      </c>
      <c r="K156" s="63">
        <f>IF(J156&gt;=80,"Champion",IF(J156&gt;=65,"Ally",IF(J156&gt;=50,"Neutral",IF(J156&gt;=35,"Performative",IF(J156&gt;=20,"Harmful","Adversarial")))))</f>
        <v/>
      </c>
      <c r="L156" s="58" t="inlineStr">
        <is>
          <t>No</t>
        </is>
      </c>
      <c r="M156" s="58" t="inlineStr">
        <is>
          <t>No</t>
        </is>
      </c>
      <c r="N156" s="58" t="inlineStr">
        <is>
          <t>No</t>
        </is>
      </c>
      <c r="O156" s="58" t="inlineStr">
        <is>
          <t>No</t>
        </is>
      </c>
      <c r="P156" s="58" t="inlineStr">
        <is>
          <t>No</t>
        </is>
      </c>
      <c r="Q156" s="59" t="inlineStr">
        <is>
          <t>Quiet CEI 100 holder with inclusive benefits; no documented reversal.</t>
        </is>
      </c>
    </row>
    <row r="157" ht="15" customHeight="1" s="42">
      <c r="A157" s="57" t="inlineStr">
        <is>
          <t>Estée Lauder</t>
        </is>
      </c>
      <c r="B157" s="58" t="inlineStr">
        <is>
          <t>EL</t>
        </is>
      </c>
      <c r="C157" s="59" t="inlineStr">
        <is>
          <t>Consumer Goods</t>
        </is>
      </c>
      <c r="D157" s="58" t="n">
        <v>15.6</v>
      </c>
      <c r="E157" s="58" t="n">
        <v>100</v>
      </c>
      <c r="F157" s="58" t="n">
        <v>2024</v>
      </c>
      <c r="G157" s="58" t="inlineStr">
        <is>
          <t>Yes</t>
        </is>
      </c>
      <c r="H157" s="60">
        <f>MIN(20,SUMIFS(Action_Log!$F:$F,Action_Log!$A:$A,$A157,Action_Log!$D:$D,"Cosmetic")+SUMIFS(Action_Log!$F:$F,Action_Log!$A:$A,$A157,Action_Log!$D:$D,"Commercial"))+SUMIFS(Action_Log!$F:$F,Action_Log!$A:$A,$A157,Action_Log!$D:$D,"Civic")+SUMIFS(Action_Log!$F:$F,Action_Log!$A:$A,$A157,Action_Log!$D:$D,"Financial")+SUMIFS(Action_Log!$F:$F,Action_Log!$A:$A,$A157,Action_Log!$D:$D,"Structural")</f>
        <v/>
      </c>
      <c r="I157" s="61">
        <f>SUMIFS(Action_Log!$F:$F,Action_Log!$A:$A,$A157,Action_Log!$E:$E,"Negative")</f>
        <v/>
      </c>
      <c r="J157" s="62">
        <f>MAX(0,MIN(100,50+H157+I157))</f>
        <v/>
      </c>
      <c r="K157" s="63">
        <f>IF(J157&gt;=80,"Champion",IF(J157&gt;=65,"Ally",IF(J157&gt;=50,"Neutral",IF(J157&gt;=35,"Performative",IF(J157&gt;=20,"Harmful","Adversarial")))))</f>
        <v/>
      </c>
      <c r="L157" s="58" t="inlineStr">
        <is>
          <t>No</t>
        </is>
      </c>
      <c r="M157" s="58" t="inlineStr">
        <is>
          <t>No</t>
        </is>
      </c>
      <c r="N157" s="58" t="inlineStr">
        <is>
          <t>No</t>
        </is>
      </c>
      <c r="O157" s="58" t="inlineStr">
        <is>
          <t>No</t>
        </is>
      </c>
      <c r="P157" s="58" t="inlineStr">
        <is>
          <t>No</t>
        </is>
      </c>
      <c r="Q157" s="59" t="inlineStr">
        <is>
          <t>MAC VIVA GLAM has donated 100% of its selling price to HIV/AIDS and LGBTQ+ causes since 1994 — over $500M raised. The longest-running, largest cosmetics commitment to the community.</t>
        </is>
      </c>
    </row>
    <row r="158" ht="15" customHeight="1" s="42">
      <c r="A158" s="57" t="inlineStr">
        <is>
          <t>Clorox</t>
        </is>
      </c>
      <c r="B158" s="58" t="inlineStr">
        <is>
          <t>CLX</t>
        </is>
      </c>
      <c r="C158" s="59" t="inlineStr">
        <is>
          <t>Consumer Goods</t>
        </is>
      </c>
      <c r="D158" s="58" t="n">
        <v>7.1</v>
      </c>
      <c r="E158" s="58" t="n">
        <v>100</v>
      </c>
      <c r="F158" s="58" t="n">
        <v>2024</v>
      </c>
      <c r="G158" s="58" t="inlineStr">
        <is>
          <t>Yes</t>
        </is>
      </c>
      <c r="H158" s="60">
        <f>MIN(20,SUMIFS(Action_Log!$F:$F,Action_Log!$A:$A,$A158,Action_Log!$D:$D,"Cosmetic")+SUMIFS(Action_Log!$F:$F,Action_Log!$A:$A,$A158,Action_Log!$D:$D,"Commercial"))+SUMIFS(Action_Log!$F:$F,Action_Log!$A:$A,$A158,Action_Log!$D:$D,"Civic")+SUMIFS(Action_Log!$F:$F,Action_Log!$A:$A,$A158,Action_Log!$D:$D,"Financial")+SUMIFS(Action_Log!$F:$F,Action_Log!$A:$A,$A158,Action_Log!$D:$D,"Structural")</f>
        <v/>
      </c>
      <c r="I158" s="61">
        <f>SUMIFS(Action_Log!$F:$F,Action_Log!$A:$A,$A158,Action_Log!$E:$E,"Negative")</f>
        <v/>
      </c>
      <c r="J158" s="62">
        <f>MAX(0,MIN(100,50+H158+I158))</f>
        <v/>
      </c>
      <c r="K158" s="63">
        <f>IF(J158&gt;=80,"Champion",IF(J158&gt;=65,"Ally",IF(J158&gt;=50,"Neutral",IF(J158&gt;=35,"Performative",IF(J158&gt;=20,"Harmful","Adversarial")))))</f>
        <v/>
      </c>
      <c r="L158" s="58" t="inlineStr">
        <is>
          <t>No</t>
        </is>
      </c>
      <c r="M158" s="58" t="inlineStr">
        <is>
          <t>No</t>
        </is>
      </c>
      <c r="N158" s="58" t="inlineStr">
        <is>
          <t>No</t>
        </is>
      </c>
      <c r="O158" s="58" t="inlineStr">
        <is>
          <t>No</t>
        </is>
      </c>
      <c r="P158" s="58" t="inlineStr">
        <is>
          <t>No</t>
        </is>
      </c>
      <c r="Q158" s="59" t="inlineStr">
        <is>
          <t>Quiet CEI 100 holder with inclusive benefits; no documented reversal.</t>
        </is>
      </c>
    </row>
    <row r="159" ht="15" customHeight="1" s="42">
      <c r="A159" s="57" t="inlineStr">
        <is>
          <t>Northrop Grumman</t>
        </is>
      </c>
      <c r="B159" s="58" t="inlineStr">
        <is>
          <t>NOC</t>
        </is>
      </c>
      <c r="C159" s="59" t="inlineStr">
        <is>
          <t>Defense &amp; Gov Contracting</t>
        </is>
      </c>
      <c r="D159" s="58" t="n">
        <v>41</v>
      </c>
      <c r="E159" s="58" t="n">
        <v>100</v>
      </c>
      <c r="F159" s="58" t="n">
        <v>2024</v>
      </c>
      <c r="G159" s="58" t="inlineStr">
        <is>
          <t>No</t>
        </is>
      </c>
      <c r="H159" s="60">
        <f>MIN(20,SUMIFS(Action_Log!$F:$F,Action_Log!$A:$A,$A159,Action_Log!$D:$D,"Cosmetic")+SUMIFS(Action_Log!$F:$F,Action_Log!$A:$A,$A159,Action_Log!$D:$D,"Commercial"))+SUMIFS(Action_Log!$F:$F,Action_Log!$A:$A,$A159,Action_Log!$D:$D,"Civic")+SUMIFS(Action_Log!$F:$F,Action_Log!$A:$A,$A159,Action_Log!$D:$D,"Financial")+SUMIFS(Action_Log!$F:$F,Action_Log!$A:$A,$A159,Action_Log!$D:$D,"Structural")</f>
        <v/>
      </c>
      <c r="I159" s="61">
        <f>SUMIFS(Action_Log!$F:$F,Action_Log!$A:$A,$A159,Action_Log!$E:$E,"Negative")</f>
        <v/>
      </c>
      <c r="J159" s="62">
        <f>MAX(0,MIN(100,50+H159+I159))</f>
        <v/>
      </c>
      <c r="K159" s="63">
        <f>IF(J159&gt;=80,"Champion",IF(J159&gt;=65,"Ally",IF(J159&gt;=50,"Neutral",IF(J159&gt;=35,"Performative",IF(J159&gt;=20,"Harmful","Adversarial")))))</f>
        <v/>
      </c>
      <c r="L159" s="58" t="inlineStr">
        <is>
          <t>Yes</t>
        </is>
      </c>
      <c r="M159" s="58" t="inlineStr">
        <is>
          <t>Yes</t>
        </is>
      </c>
      <c r="N159" s="58" t="inlineStr">
        <is>
          <t>No</t>
        </is>
      </c>
      <c r="O159" s="58" t="inlineStr">
        <is>
          <t>No</t>
        </is>
      </c>
      <c r="P159" s="58" t="inlineStr">
        <is>
          <t>No</t>
        </is>
      </c>
      <c r="Q159" s="59" t="inlineStr">
        <is>
          <t>Removed DEI webpages (now dead links) in the early-2025 defense-sector scrub documented by Breaking Defense; previously CEI 100 with a Pride ERG.</t>
        </is>
      </c>
    </row>
    <row r="160" ht="15" customHeight="1" s="42">
      <c r="A160" s="57" t="inlineStr">
        <is>
          <t>General Dynamics</t>
        </is>
      </c>
      <c r="B160" s="58" t="inlineStr">
        <is>
          <t>GD</t>
        </is>
      </c>
      <c r="C160" s="59" t="inlineStr">
        <is>
          <t>Defense &amp; Gov Contracting</t>
        </is>
      </c>
      <c r="D160" s="58" t="n">
        <v>47.7</v>
      </c>
      <c r="E160" s="58" t="n">
        <v>100</v>
      </c>
      <c r="F160" s="58" t="n">
        <v>2024</v>
      </c>
      <c r="G160" s="58" t="inlineStr">
        <is>
          <t>No</t>
        </is>
      </c>
      <c r="H160" s="60">
        <f>MIN(20,SUMIFS(Action_Log!$F:$F,Action_Log!$A:$A,$A160,Action_Log!$D:$D,"Cosmetic")+SUMIFS(Action_Log!$F:$F,Action_Log!$A:$A,$A160,Action_Log!$D:$D,"Commercial"))+SUMIFS(Action_Log!$F:$F,Action_Log!$A:$A,$A160,Action_Log!$D:$D,"Civic")+SUMIFS(Action_Log!$F:$F,Action_Log!$A:$A,$A160,Action_Log!$D:$D,"Financial")+SUMIFS(Action_Log!$F:$F,Action_Log!$A:$A,$A160,Action_Log!$D:$D,"Structural")</f>
        <v/>
      </c>
      <c r="I160" s="61">
        <f>SUMIFS(Action_Log!$F:$F,Action_Log!$A:$A,$A160,Action_Log!$E:$E,"Negative")</f>
        <v/>
      </c>
      <c r="J160" s="62">
        <f>MAX(0,MIN(100,50+H160+I160))</f>
        <v/>
      </c>
      <c r="K160" s="63">
        <f>IF(J160&gt;=80,"Champion",IF(J160&gt;=65,"Ally",IF(J160&gt;=50,"Neutral",IF(J160&gt;=35,"Performative",IF(J160&gt;=20,"Harmful","Adversarial")))))</f>
        <v/>
      </c>
      <c r="L160" s="58" t="inlineStr">
        <is>
          <t>Yes</t>
        </is>
      </c>
      <c r="M160" s="58" t="inlineStr">
        <is>
          <t>Yes</t>
        </is>
      </c>
      <c r="N160" s="58" t="inlineStr">
        <is>
          <t>No</t>
        </is>
      </c>
      <c r="O160" s="58" t="inlineStr">
        <is>
          <t>No</t>
        </is>
      </c>
      <c r="P160" s="58" t="inlineStr">
        <is>
          <t>No</t>
        </is>
      </c>
      <c r="Q160" s="59" t="inlineStr">
        <is>
          <t>Removed DEI webpages (now dead links) in the early-2025 defense-sector scrub (Breaking Defense).</t>
        </is>
      </c>
    </row>
    <row r="161" ht="15" customHeight="1" s="42">
      <c r="A161" s="57" t="inlineStr">
        <is>
          <t>L3Harris Technologies</t>
        </is>
      </c>
      <c r="B161" s="58" t="inlineStr">
        <is>
          <t>LHX</t>
        </is>
      </c>
      <c r="C161" s="59" t="inlineStr">
        <is>
          <t>Defense &amp; Gov Contracting</t>
        </is>
      </c>
      <c r="D161" s="58" t="n">
        <v>21.3</v>
      </c>
      <c r="E161" s="58" t="n">
        <v>100</v>
      </c>
      <c r="F161" s="58" t="n">
        <v>2024</v>
      </c>
      <c r="G161" s="58" t="inlineStr">
        <is>
          <t>No</t>
        </is>
      </c>
      <c r="H161" s="60">
        <f>MIN(20,SUMIFS(Action_Log!$F:$F,Action_Log!$A:$A,$A161,Action_Log!$D:$D,"Cosmetic")+SUMIFS(Action_Log!$F:$F,Action_Log!$A:$A,$A161,Action_Log!$D:$D,"Commercial"))+SUMIFS(Action_Log!$F:$F,Action_Log!$A:$A,$A161,Action_Log!$D:$D,"Civic")+SUMIFS(Action_Log!$F:$F,Action_Log!$A:$A,$A161,Action_Log!$D:$D,"Financial")+SUMIFS(Action_Log!$F:$F,Action_Log!$A:$A,$A161,Action_Log!$D:$D,"Structural")</f>
        <v/>
      </c>
      <c r="I161" s="61">
        <f>SUMIFS(Action_Log!$F:$F,Action_Log!$A:$A,$A161,Action_Log!$E:$E,"Negative")</f>
        <v/>
      </c>
      <c r="J161" s="62">
        <f>MAX(0,MIN(100,50+H161+I161))</f>
        <v/>
      </c>
      <c r="K161" s="63">
        <f>IF(J161&gt;=80,"Champion",IF(J161&gt;=65,"Ally",IF(J161&gt;=50,"Neutral",IF(J161&gt;=35,"Performative",IF(J161&gt;=20,"Harmful","Adversarial")))))</f>
        <v/>
      </c>
      <c r="L161" s="58" t="inlineStr">
        <is>
          <t>Yes</t>
        </is>
      </c>
      <c r="M161" s="58" t="inlineStr">
        <is>
          <t>Yes</t>
        </is>
      </c>
      <c r="N161" s="58" t="inlineStr">
        <is>
          <t>No</t>
        </is>
      </c>
      <c r="O161" s="58" t="inlineStr">
        <is>
          <t>No</t>
        </is>
      </c>
      <c r="P161" s="58" t="inlineStr">
        <is>
          <t>No</t>
        </is>
      </c>
      <c r="Q161" s="59" t="inlineStr">
        <is>
          <t>Removed DEI webpages (now dead links) in the early-2025 defense-sector scrub (Breaking Defense).</t>
        </is>
      </c>
    </row>
    <row r="162" ht="15" customHeight="1" s="42">
      <c r="A162" s="57" t="inlineStr">
        <is>
          <t>3M</t>
        </is>
      </c>
      <c r="B162" s="58" t="inlineStr">
        <is>
          <t>MMM</t>
        </is>
      </c>
      <c r="C162" s="59" t="inlineStr">
        <is>
          <t>Industrial &amp; Logistics</t>
        </is>
      </c>
      <c r="D162" s="58" t="n">
        <v>24.6</v>
      </c>
      <c r="E162" s="58" t="n">
        <v>100</v>
      </c>
      <c r="F162" s="58" t="n">
        <v>2024</v>
      </c>
      <c r="G162" s="58" t="inlineStr">
        <is>
          <t>No</t>
        </is>
      </c>
      <c r="H162" s="60">
        <f>MIN(20,SUMIFS(Action_Log!$F:$F,Action_Log!$A:$A,$A162,Action_Log!$D:$D,"Cosmetic")+SUMIFS(Action_Log!$F:$F,Action_Log!$A:$A,$A162,Action_Log!$D:$D,"Commercial"))+SUMIFS(Action_Log!$F:$F,Action_Log!$A:$A,$A162,Action_Log!$D:$D,"Civic")+SUMIFS(Action_Log!$F:$F,Action_Log!$A:$A,$A162,Action_Log!$D:$D,"Financial")+SUMIFS(Action_Log!$F:$F,Action_Log!$A:$A,$A162,Action_Log!$D:$D,"Structural")</f>
        <v/>
      </c>
      <c r="I162" s="61">
        <f>SUMIFS(Action_Log!$F:$F,Action_Log!$A:$A,$A162,Action_Log!$E:$E,"Negative")</f>
        <v/>
      </c>
      <c r="J162" s="62">
        <f>MAX(0,MIN(100,50+H162+I162))</f>
        <v/>
      </c>
      <c r="K162" s="63">
        <f>IF(J162&gt;=80,"Champion",IF(J162&gt;=65,"Ally",IF(J162&gt;=50,"Neutral",IF(J162&gt;=35,"Performative",IF(J162&gt;=20,"Harmful","Adversarial")))))</f>
        <v/>
      </c>
      <c r="L162" s="58" t="inlineStr">
        <is>
          <t>Yes</t>
        </is>
      </c>
      <c r="M162" s="58" t="inlineStr">
        <is>
          <t>Yes</t>
        </is>
      </c>
      <c r="N162" s="58" t="inlineStr">
        <is>
          <t>No</t>
        </is>
      </c>
      <c r="O162" s="58" t="inlineStr">
        <is>
          <t>No</t>
        </is>
      </c>
      <c r="P162" s="58" t="inlineStr">
        <is>
          <t>No</t>
        </is>
      </c>
      <c r="Q162" s="59" t="inlineStr">
        <is>
          <t>Retired workforce diversity goals and pared DEI language in the 2025 retreat wave after a long CEI 100 history. ERG remains.</t>
        </is>
      </c>
    </row>
    <row r="163" ht="15" customHeight="1" s="42">
      <c r="A163" s="57" t="inlineStr">
        <is>
          <t>Honeywell</t>
        </is>
      </c>
      <c r="B163" s="58" t="inlineStr">
        <is>
          <t>HON</t>
        </is>
      </c>
      <c r="C163" s="59" t="inlineStr">
        <is>
          <t>Industrial &amp; Logistics</t>
        </is>
      </c>
      <c r="D163" s="58" t="n">
        <v>38.5</v>
      </c>
      <c r="E163" s="58" t="n">
        <v>100</v>
      </c>
      <c r="F163" s="58" t="n">
        <v>2024</v>
      </c>
      <c r="G163" s="58" t="inlineStr">
        <is>
          <t>No</t>
        </is>
      </c>
      <c r="H163" s="60">
        <f>MIN(20,SUMIFS(Action_Log!$F:$F,Action_Log!$A:$A,$A163,Action_Log!$D:$D,"Cosmetic")+SUMIFS(Action_Log!$F:$F,Action_Log!$A:$A,$A163,Action_Log!$D:$D,"Commercial"))+SUMIFS(Action_Log!$F:$F,Action_Log!$A:$A,$A163,Action_Log!$D:$D,"Civic")+SUMIFS(Action_Log!$F:$F,Action_Log!$A:$A,$A163,Action_Log!$D:$D,"Financial")+SUMIFS(Action_Log!$F:$F,Action_Log!$A:$A,$A163,Action_Log!$D:$D,"Structural")</f>
        <v/>
      </c>
      <c r="I163" s="61">
        <f>SUMIFS(Action_Log!$F:$F,Action_Log!$A:$A,$A163,Action_Log!$E:$E,"Negative")</f>
        <v/>
      </c>
      <c r="J163" s="62">
        <f>MAX(0,MIN(100,50+H163+I163))</f>
        <v/>
      </c>
      <c r="K163" s="63">
        <f>IF(J163&gt;=80,"Champion",IF(J163&gt;=65,"Ally",IF(J163&gt;=50,"Neutral",IF(J163&gt;=35,"Performative",IF(J163&gt;=20,"Harmful","Adversarial")))))</f>
        <v/>
      </c>
      <c r="L163" s="58" t="inlineStr">
        <is>
          <t>No</t>
        </is>
      </c>
      <c r="M163" s="58" t="inlineStr">
        <is>
          <t>No</t>
        </is>
      </c>
      <c r="N163" s="58" t="inlineStr">
        <is>
          <t>No</t>
        </is>
      </c>
      <c r="O163" s="58" t="inlineStr">
        <is>
          <t>No</t>
        </is>
      </c>
      <c r="P163" s="58" t="inlineStr">
        <is>
          <t>No</t>
        </is>
      </c>
      <c r="Q163" s="59" t="inlineStr">
        <is>
          <t>Minimal public LGBTQ+ engagement; no clearly documented reversal.</t>
        </is>
      </c>
    </row>
    <row r="164" ht="15" customHeight="1" s="42">
      <c r="A164" s="57" t="inlineStr">
        <is>
          <t>General Electric (GE Aerospace)</t>
        </is>
      </c>
      <c r="B164" s="58" t="inlineStr">
        <is>
          <t>GE</t>
        </is>
      </c>
      <c r="C164" s="59" t="inlineStr">
        <is>
          <t>Industrial &amp; Logistics</t>
        </is>
      </c>
      <c r="D164" s="58" t="n">
        <v>38.7</v>
      </c>
      <c r="E164" s="58" t="n">
        <v>100</v>
      </c>
      <c r="F164" s="58" t="n">
        <v>2024</v>
      </c>
      <c r="G164" s="58" t="inlineStr">
        <is>
          <t>No</t>
        </is>
      </c>
      <c r="H164" s="60">
        <f>MIN(20,SUMIFS(Action_Log!$F:$F,Action_Log!$A:$A,$A164,Action_Log!$D:$D,"Cosmetic")+SUMIFS(Action_Log!$F:$F,Action_Log!$A:$A,$A164,Action_Log!$D:$D,"Commercial"))+SUMIFS(Action_Log!$F:$F,Action_Log!$A:$A,$A164,Action_Log!$D:$D,"Civic")+SUMIFS(Action_Log!$F:$F,Action_Log!$A:$A,$A164,Action_Log!$D:$D,"Financial")+SUMIFS(Action_Log!$F:$F,Action_Log!$A:$A,$A164,Action_Log!$D:$D,"Structural")</f>
        <v/>
      </c>
      <c r="I164" s="61">
        <f>SUMIFS(Action_Log!$F:$F,Action_Log!$A:$A,$A164,Action_Log!$E:$E,"Negative")</f>
        <v/>
      </c>
      <c r="J164" s="62">
        <f>MAX(0,MIN(100,50+H164+I164))</f>
        <v/>
      </c>
      <c r="K164" s="63">
        <f>IF(J164&gt;=80,"Champion",IF(J164&gt;=65,"Ally",IF(J164&gt;=50,"Neutral",IF(J164&gt;=35,"Performative",IF(J164&gt;=20,"Harmful","Adversarial")))))</f>
        <v/>
      </c>
      <c r="L164" s="58" t="inlineStr">
        <is>
          <t>No</t>
        </is>
      </c>
      <c r="M164" s="58" t="inlineStr">
        <is>
          <t>No</t>
        </is>
      </c>
      <c r="N164" s="58" t="inlineStr">
        <is>
          <t>No</t>
        </is>
      </c>
      <c r="O164" s="58" t="inlineStr">
        <is>
          <t>No</t>
        </is>
      </c>
      <c r="P164" s="58" t="inlineStr">
        <is>
          <t>No</t>
        </is>
      </c>
      <c r="Q164" s="59" t="inlineStr">
        <is>
          <t>Minimal public LGBTQ+ engagement post-breakup; GLBTA ERG legacy; no clearly documented reversal.</t>
        </is>
      </c>
    </row>
    <row r="165" ht="15" customHeight="1" s="42">
      <c r="A165" s="57" t="inlineStr">
        <is>
          <t>Caterpillar</t>
        </is>
      </c>
      <c r="B165" s="58" t="inlineStr">
        <is>
          <t>CAT</t>
        </is>
      </c>
      <c r="C165" s="59" t="inlineStr">
        <is>
          <t>Industrial &amp; Logistics</t>
        </is>
      </c>
      <c r="D165" s="58" t="n">
        <v>64.8</v>
      </c>
      <c r="E165" s="58" t="inlineStr">
        <is>
          <t>Not rated</t>
        </is>
      </c>
      <c r="F165" s="58" t="inlineStr">
        <is>
          <t>—</t>
        </is>
      </c>
      <c r="G165" s="58" t="inlineStr">
        <is>
          <t>No</t>
        </is>
      </c>
      <c r="H165" s="60">
        <f>MIN(20,SUMIFS(Action_Log!$F:$F,Action_Log!$A:$A,$A165,Action_Log!$D:$D,"Cosmetic")+SUMIFS(Action_Log!$F:$F,Action_Log!$A:$A,$A165,Action_Log!$D:$D,"Commercial"))+SUMIFS(Action_Log!$F:$F,Action_Log!$A:$A,$A165,Action_Log!$D:$D,"Civic")+SUMIFS(Action_Log!$F:$F,Action_Log!$A:$A,$A165,Action_Log!$D:$D,"Financial")+SUMIFS(Action_Log!$F:$F,Action_Log!$A:$A,$A165,Action_Log!$D:$D,"Structural")</f>
        <v/>
      </c>
      <c r="I165" s="61">
        <f>SUMIFS(Action_Log!$F:$F,Action_Log!$A:$A,$A165,Action_Log!$E:$E,"Negative")</f>
        <v/>
      </c>
      <c r="J165" s="62">
        <f>MAX(0,MIN(100,50+H165+I165))</f>
        <v/>
      </c>
      <c r="K165" s="63">
        <f>IF(J165&gt;=80,"Champion",IF(J165&gt;=65,"Ally",IF(J165&gt;=50,"Neutral",IF(J165&gt;=35,"Performative",IF(J165&gt;=20,"Harmful","Adversarial")))))</f>
        <v/>
      </c>
      <c r="L165" s="58" t="inlineStr">
        <is>
          <t>No</t>
        </is>
      </c>
      <c r="M165" s="58" t="inlineStr">
        <is>
          <t>Yes</t>
        </is>
      </c>
      <c r="N165" s="58" t="inlineStr">
        <is>
          <t>No</t>
        </is>
      </c>
      <c r="O165" s="58" t="inlineStr">
        <is>
          <t>No</t>
        </is>
      </c>
      <c r="P165" s="58" t="inlineStr">
        <is>
          <t>No</t>
        </is>
      </c>
      <c r="Q165" s="59" t="inlineStr">
        <is>
          <t>Sep 2024 Starbuck-campaign pullback: restricted corporate training to business topics and required senior approval for external surveys and awards — effectively exiting the CEI ecosystem.</t>
        </is>
      </c>
    </row>
    <row r="166" ht="15" customHeight="1" s="42">
      <c r="A166" s="57" t="inlineStr">
        <is>
          <t>Deere &amp; Company</t>
        </is>
      </c>
      <c r="B166" s="58" t="inlineStr">
        <is>
          <t>DE</t>
        </is>
      </c>
      <c r="C166" s="59" t="inlineStr">
        <is>
          <t>Industrial &amp; Logistics</t>
        </is>
      </c>
      <c r="D166" s="58" t="n">
        <v>51.7</v>
      </c>
      <c r="E166" s="58" t="n">
        <v>75</v>
      </c>
      <c r="F166" s="58" t="n">
        <v>2025</v>
      </c>
      <c r="G166" s="58" t="inlineStr">
        <is>
          <t>No</t>
        </is>
      </c>
      <c r="H166" s="60">
        <f>MIN(20,SUMIFS(Action_Log!$F:$F,Action_Log!$A:$A,$A166,Action_Log!$D:$D,"Cosmetic")+SUMIFS(Action_Log!$F:$F,Action_Log!$A:$A,$A166,Action_Log!$D:$D,"Commercial"))+SUMIFS(Action_Log!$F:$F,Action_Log!$A:$A,$A166,Action_Log!$D:$D,"Civic")+SUMIFS(Action_Log!$F:$F,Action_Log!$A:$A,$A166,Action_Log!$D:$D,"Financial")+SUMIFS(Action_Log!$F:$F,Action_Log!$A:$A,$A166,Action_Log!$D:$D,"Structural")</f>
        <v/>
      </c>
      <c r="I166" s="61">
        <f>SUMIFS(Action_Log!$F:$F,Action_Log!$A:$A,$A166,Action_Log!$E:$E,"Negative")</f>
        <v/>
      </c>
      <c r="J166" s="62">
        <f>MAX(0,MIN(100,50+H166+I166))</f>
        <v/>
      </c>
      <c r="K166" s="63">
        <f>IF(J166&gt;=80,"Champion",IF(J166&gt;=65,"Ally",IF(J166&gt;=50,"Neutral",IF(J166&gt;=35,"Performative",IF(J166&gt;=20,"Harmful","Adversarial")))))</f>
        <v/>
      </c>
      <c r="L166" s="58" t="inlineStr">
        <is>
          <t>No</t>
        </is>
      </c>
      <c r="M166" s="58" t="inlineStr">
        <is>
          <t>Yes</t>
        </is>
      </c>
      <c r="N166" s="58" t="inlineStr">
        <is>
          <t>No</t>
        </is>
      </c>
      <c r="O166" s="58" t="inlineStr">
        <is>
          <t>No</t>
        </is>
      </c>
      <c r="P166" s="58" t="inlineStr">
        <is>
          <t>No</t>
        </is>
      </c>
      <c r="Q166" s="59" t="inlineStr">
        <is>
          <t>Jul 2024: ended sponsorship of 'social or cultural awareness' events including Pride and audited training — one of seven companies HRC docked -25. Yet shareholders rejected an anti-DEI proposal 98.7% months later.</t>
        </is>
      </c>
    </row>
    <row r="167" ht="15" customHeight="1" s="42">
      <c r="A167" s="57" t="inlineStr">
        <is>
          <t>UPS</t>
        </is>
      </c>
      <c r="B167" s="58" t="inlineStr">
        <is>
          <t>UPS</t>
        </is>
      </c>
      <c r="C167" s="59" t="inlineStr">
        <is>
          <t>Industrial &amp; Logistics</t>
        </is>
      </c>
      <c r="D167" s="58" t="n">
        <v>91.09999999999999</v>
      </c>
      <c r="E167" s="58" t="n">
        <v>100</v>
      </c>
      <c r="F167" s="58" t="n">
        <v>2024</v>
      </c>
      <c r="G167" s="58" t="inlineStr">
        <is>
          <t>No</t>
        </is>
      </c>
      <c r="H167" s="60">
        <f>MIN(20,SUMIFS(Action_Log!$F:$F,Action_Log!$A:$A,$A167,Action_Log!$D:$D,"Cosmetic")+SUMIFS(Action_Log!$F:$F,Action_Log!$A:$A,$A167,Action_Log!$D:$D,"Commercial"))+SUMIFS(Action_Log!$F:$F,Action_Log!$A:$A,$A167,Action_Log!$D:$D,"Civic")+SUMIFS(Action_Log!$F:$F,Action_Log!$A:$A,$A167,Action_Log!$D:$D,"Financial")+SUMIFS(Action_Log!$F:$F,Action_Log!$A:$A,$A167,Action_Log!$D:$D,"Structural")</f>
        <v/>
      </c>
      <c r="I167" s="61">
        <f>SUMIFS(Action_Log!$F:$F,Action_Log!$A:$A,$A167,Action_Log!$E:$E,"Negative")</f>
        <v/>
      </c>
      <c r="J167" s="62">
        <f>MAX(0,MIN(100,50+H167+I167))</f>
        <v/>
      </c>
      <c r="K167" s="63">
        <f>IF(J167&gt;=80,"Champion",IF(J167&gt;=65,"Ally",IF(J167&gt;=50,"Neutral",IF(J167&gt;=35,"Performative",IF(J167&gt;=20,"Harmful","Adversarial")))))</f>
        <v/>
      </c>
      <c r="L167" s="58" t="inlineStr">
        <is>
          <t>No</t>
        </is>
      </c>
      <c r="M167" s="58" t="inlineStr">
        <is>
          <t>Yes</t>
        </is>
      </c>
      <c r="N167" s="58" t="inlineStr">
        <is>
          <t>No</t>
        </is>
      </c>
      <c r="O167" s="58" t="inlineStr">
        <is>
          <t>No</t>
        </is>
      </c>
      <c r="P167" s="58" t="inlineStr">
        <is>
          <t>No</t>
        </is>
      </c>
      <c r="Q167" s="59" t="inlineStr">
        <is>
          <t>Confirmed it has 'not operated a DEI function since April 2024' with no hiring quotas or supplier diversity goals — a complete, pre-election dismantling after years of CEI 100s.</t>
        </is>
      </c>
    </row>
    <row r="168" ht="15" customHeight="1" s="42">
      <c r="A168" s="57" t="inlineStr">
        <is>
          <t>FedEx</t>
        </is>
      </c>
      <c r="B168" s="58" t="inlineStr">
        <is>
          <t>FDX</t>
        </is>
      </c>
      <c r="C168" s="59" t="inlineStr">
        <is>
          <t>Industrial &amp; Logistics</t>
        </is>
      </c>
      <c r="D168" s="58" t="n">
        <v>87.7</v>
      </c>
      <c r="E168" s="58" t="n">
        <v>100</v>
      </c>
      <c r="F168" s="58" t="n">
        <v>2024</v>
      </c>
      <c r="G168" s="58" t="inlineStr">
        <is>
          <t>No</t>
        </is>
      </c>
      <c r="H168" s="60">
        <f>MIN(20,SUMIFS(Action_Log!$F:$F,Action_Log!$A:$A,$A168,Action_Log!$D:$D,"Cosmetic")+SUMIFS(Action_Log!$F:$F,Action_Log!$A:$A,$A168,Action_Log!$D:$D,"Commercial"))+SUMIFS(Action_Log!$F:$F,Action_Log!$A:$A,$A168,Action_Log!$D:$D,"Civic")+SUMIFS(Action_Log!$F:$F,Action_Log!$A:$A,$A168,Action_Log!$D:$D,"Financial")+SUMIFS(Action_Log!$F:$F,Action_Log!$A:$A,$A168,Action_Log!$D:$D,"Structural")</f>
        <v/>
      </c>
      <c r="I168" s="61">
        <f>SUMIFS(Action_Log!$F:$F,Action_Log!$A:$A,$A168,Action_Log!$E:$E,"Negative")</f>
        <v/>
      </c>
      <c r="J168" s="62">
        <f>MAX(0,MIN(100,50+H168+I168))</f>
        <v/>
      </c>
      <c r="K168" s="63">
        <f>IF(J168&gt;=80,"Champion",IF(J168&gt;=65,"Ally",IF(J168&gt;=50,"Neutral",IF(J168&gt;=35,"Performative",IF(J168&gt;=20,"Harmful","Adversarial")))))</f>
        <v/>
      </c>
      <c r="L168" s="58" t="inlineStr">
        <is>
          <t>No</t>
        </is>
      </c>
      <c r="M168" s="58" t="inlineStr">
        <is>
          <t>No</t>
        </is>
      </c>
      <c r="N168" s="58" t="inlineStr">
        <is>
          <t>No</t>
        </is>
      </c>
      <c r="O168" s="58" t="inlineStr">
        <is>
          <t>No</t>
        </is>
      </c>
      <c r="P168" s="58" t="inlineStr">
        <is>
          <t>No</t>
        </is>
      </c>
      <c r="Q168" s="59" t="inlineStr">
        <is>
          <t>Quiet: CEI 100 history and ERG; no clearly documented reversal, but low visibility. Documented anti-LGBTQ+ political giving lowers the score (-30); see Political_Donations sheet.</t>
        </is>
      </c>
    </row>
    <row r="169" ht="15" customHeight="1" s="42">
      <c r="A169" s="57" t="inlineStr">
        <is>
          <t>Sirius XM</t>
        </is>
      </c>
      <c r="B169" s="58" t="inlineStr">
        <is>
          <t>SIRI</t>
        </is>
      </c>
      <c r="C169" s="59" t="inlineStr">
        <is>
          <t>Media &amp; Entertainment</t>
        </is>
      </c>
      <c r="D169" s="58" t="n">
        <v>8.699999999999999</v>
      </c>
      <c r="E169" s="58" t="inlineStr">
        <is>
          <t>Not rated</t>
        </is>
      </c>
      <c r="F169" s="58" t="inlineStr">
        <is>
          <t>—</t>
        </is>
      </c>
      <c r="G169" s="58" t="inlineStr">
        <is>
          <t>No</t>
        </is>
      </c>
      <c r="H169" s="60">
        <f>MIN(20,SUMIFS(Action_Log!$F:$F,Action_Log!$A:$A,$A169,Action_Log!$D:$D,"Cosmetic")+SUMIFS(Action_Log!$F:$F,Action_Log!$A:$A,$A169,Action_Log!$D:$D,"Commercial"))+SUMIFS(Action_Log!$F:$F,Action_Log!$A:$A,$A169,Action_Log!$D:$D,"Civic")+SUMIFS(Action_Log!$F:$F,Action_Log!$A:$A,$A169,Action_Log!$D:$D,"Financial")+SUMIFS(Action_Log!$F:$F,Action_Log!$A:$A,$A169,Action_Log!$D:$D,"Structural")</f>
        <v/>
      </c>
      <c r="I169" s="61">
        <f>SUMIFS(Action_Log!$F:$F,Action_Log!$A:$A,$A169,Action_Log!$E:$E,"Negative")</f>
        <v/>
      </c>
      <c r="J169" s="62">
        <f>MAX(0,MIN(100,50+H169+I169))</f>
        <v/>
      </c>
      <c r="K169" s="63">
        <f>IF(J169&gt;=80,"Champion",IF(J169&gt;=65,"Ally",IF(J169&gt;=50,"Neutral",IF(J169&gt;=35,"Performative",IF(J169&gt;=20,"Harmful","Adversarial")))))</f>
        <v/>
      </c>
      <c r="L169" s="58" t="inlineStr">
        <is>
          <t>No</t>
        </is>
      </c>
      <c r="M169" s="58" t="inlineStr">
        <is>
          <t>No</t>
        </is>
      </c>
      <c r="N169" s="58" t="inlineStr">
        <is>
          <t>No</t>
        </is>
      </c>
      <c r="O169" s="58" t="inlineStr">
        <is>
          <t>No</t>
        </is>
      </c>
      <c r="P169" s="58" t="inlineStr">
        <is>
          <t>No</t>
        </is>
      </c>
      <c r="Q169" s="59" t="inlineStr">
        <is>
          <t>Hosts LGBTQ+ programming (Radio Andy etc.) as a commercial matter; minimal corporate-level commitments documented.</t>
        </is>
      </c>
    </row>
    <row r="170" ht="15" customHeight="1" s="42">
      <c r="A170" s="57" t="inlineStr">
        <is>
          <t>Fox Corporation</t>
        </is>
      </c>
      <c r="B170" s="58" t="inlineStr">
        <is>
          <t>FOXA</t>
        </is>
      </c>
      <c r="C170" s="59" t="inlineStr">
        <is>
          <t>Media &amp; Entertainment</t>
        </is>
      </c>
      <c r="D170" s="58" t="n">
        <v>14</v>
      </c>
      <c r="E170" s="58" t="n">
        <v>90</v>
      </c>
      <c r="F170" s="58" t="n">
        <v>2022</v>
      </c>
      <c r="G170" s="58" t="inlineStr">
        <is>
          <t>No</t>
        </is>
      </c>
      <c r="H170" s="60">
        <f>MIN(20,SUMIFS(Action_Log!$F:$F,Action_Log!$A:$A,$A170,Action_Log!$D:$D,"Cosmetic")+SUMIFS(Action_Log!$F:$F,Action_Log!$A:$A,$A170,Action_Log!$D:$D,"Commercial"))+SUMIFS(Action_Log!$F:$F,Action_Log!$A:$A,$A170,Action_Log!$D:$D,"Civic")+SUMIFS(Action_Log!$F:$F,Action_Log!$A:$A,$A170,Action_Log!$D:$D,"Financial")+SUMIFS(Action_Log!$F:$F,Action_Log!$A:$A,$A170,Action_Log!$D:$D,"Structural")</f>
        <v/>
      </c>
      <c r="I170" s="61">
        <f>SUMIFS(Action_Log!$F:$F,Action_Log!$A:$A,$A170,Action_Log!$E:$E,"Negative")</f>
        <v/>
      </c>
      <c r="J170" s="62">
        <f>MAX(0,MIN(100,50+H170+I170))</f>
        <v/>
      </c>
      <c r="K170" s="63">
        <f>IF(J170&gt;=80,"Champion",IF(J170&gt;=65,"Ally",IF(J170&gt;=50,"Neutral",IF(J170&gt;=35,"Performative",IF(J170&gt;=20,"Harmful","Adversarial")))))</f>
        <v/>
      </c>
      <c r="L170" s="58" t="inlineStr">
        <is>
          <t>No</t>
        </is>
      </c>
      <c r="M170" s="58" t="inlineStr">
        <is>
          <t>No</t>
        </is>
      </c>
      <c r="N170" s="58" t="inlineStr">
        <is>
          <t>No</t>
        </is>
      </c>
      <c r="O170" s="58" t="inlineStr">
        <is>
          <t>No</t>
        </is>
      </c>
      <c r="P170" s="58" t="inlineStr">
        <is>
          <t>No</t>
        </is>
      </c>
      <c r="Q170" s="59" t="inlineStr">
        <is>
          <t>The paradox: high HRC CEI scores and an internal Pride ERG while Fox News programming relentlessly targets trans people (GLAAD/Media Matters documented). Internal inclusion, external harm.</t>
        </is>
      </c>
    </row>
    <row r="171" ht="15" customHeight="1" s="42">
      <c r="A171" s="57" t="inlineStr">
        <is>
          <t>Tractor Supply Co.</t>
        </is>
      </c>
      <c r="B171" s="58" t="inlineStr">
        <is>
          <t>TSCO</t>
        </is>
      </c>
      <c r="C171" s="59" t="inlineStr">
        <is>
          <t>Retail — Big Box</t>
        </is>
      </c>
      <c r="D171" s="58" t="n">
        <v>14.6</v>
      </c>
      <c r="E171" s="58" t="inlineStr">
        <is>
          <t>Not rated</t>
        </is>
      </c>
      <c r="F171" s="58" t="inlineStr">
        <is>
          <t>—</t>
        </is>
      </c>
      <c r="G171" s="58" t="inlineStr">
        <is>
          <t>No</t>
        </is>
      </c>
      <c r="H171" s="60">
        <f>MIN(20,SUMIFS(Action_Log!$F:$F,Action_Log!$A:$A,$A171,Action_Log!$D:$D,"Cosmetic")+SUMIFS(Action_Log!$F:$F,Action_Log!$A:$A,$A171,Action_Log!$D:$D,"Commercial"))+SUMIFS(Action_Log!$F:$F,Action_Log!$A:$A,$A171,Action_Log!$D:$D,"Civic")+SUMIFS(Action_Log!$F:$F,Action_Log!$A:$A,$A171,Action_Log!$D:$D,"Financial")+SUMIFS(Action_Log!$F:$F,Action_Log!$A:$A,$A171,Action_Log!$D:$D,"Structural")</f>
        <v/>
      </c>
      <c r="I171" s="61">
        <f>SUMIFS(Action_Log!$F:$F,Action_Log!$A:$A,$A171,Action_Log!$E:$E,"Negative")</f>
        <v/>
      </c>
      <c r="J171" s="62">
        <f>MAX(0,MIN(100,50+H171+I171))</f>
        <v/>
      </c>
      <c r="K171" s="63">
        <f>IF(J171&gt;=80,"Champion",IF(J171&gt;=65,"Ally",IF(J171&gt;=50,"Neutral",IF(J171&gt;=35,"Performative",IF(J171&gt;=20,"Harmful","Adversarial")))))</f>
        <v/>
      </c>
      <c r="L171" s="58" t="inlineStr">
        <is>
          <t>No</t>
        </is>
      </c>
      <c r="M171" s="58" t="inlineStr">
        <is>
          <t>Yes</t>
        </is>
      </c>
      <c r="N171" s="58" t="inlineStr">
        <is>
          <t>No</t>
        </is>
      </c>
      <c r="O171" s="58" t="inlineStr">
        <is>
          <t>No</t>
        </is>
      </c>
      <c r="P171" s="58" t="inlineStr">
        <is>
          <t>No</t>
        </is>
      </c>
      <c r="Q171" s="59" t="inlineStr">
        <is>
          <t>The original 2024 capitulation: in June 2024, after the first Robby Starbuck campaign, eliminated all DEI roles, ended Pride festival sponsorships and voting campaigns, and scrapped carbon goals in a single statement. HRC docked its CEI score. The template every later retreat followed.</t>
        </is>
      </c>
    </row>
    <row r="172" ht="15" customHeight="1" s="42">
      <c r="A172" s="57" t="inlineStr">
        <is>
          <t>Dick's Sporting Goods</t>
        </is>
      </c>
      <c r="B172" s="58" t="inlineStr">
        <is>
          <t>DKS</t>
        </is>
      </c>
      <c r="C172" s="59" t="inlineStr">
        <is>
          <t>Retail — Big Box</t>
        </is>
      </c>
      <c r="D172" s="58" t="n">
        <v>13</v>
      </c>
      <c r="E172" s="58" t="inlineStr">
        <is>
          <t>Not rated</t>
        </is>
      </c>
      <c r="F172" s="58" t="inlineStr">
        <is>
          <t>—</t>
        </is>
      </c>
      <c r="G172" s="58" t="inlineStr">
        <is>
          <t>No</t>
        </is>
      </c>
      <c r="H172" s="60">
        <f>MIN(20,SUMIFS(Action_Log!$F:$F,Action_Log!$A:$A,$A172,Action_Log!$D:$D,"Cosmetic")+SUMIFS(Action_Log!$F:$F,Action_Log!$A:$A,$A172,Action_Log!$D:$D,"Commercial"))+SUMIFS(Action_Log!$F:$F,Action_Log!$A:$A,$A172,Action_Log!$D:$D,"Civic")+SUMIFS(Action_Log!$F:$F,Action_Log!$A:$A,$A172,Action_Log!$D:$D,"Financial")+SUMIFS(Action_Log!$F:$F,Action_Log!$A:$A,$A172,Action_Log!$D:$D,"Structural")</f>
        <v/>
      </c>
      <c r="I172" s="61">
        <f>SUMIFS(Action_Log!$F:$F,Action_Log!$A:$A,$A172,Action_Log!$E:$E,"Negative")</f>
        <v/>
      </c>
      <c r="J172" s="62">
        <f>MAX(0,MIN(100,50+H172+I172))</f>
        <v/>
      </c>
      <c r="K172" s="63">
        <f>IF(J172&gt;=80,"Champion",IF(J172&gt;=65,"Ally",IF(J172&gt;=50,"Neutral",IF(J172&gt;=35,"Performative",IF(J172&gt;=20,"Harmful","Adversarial")))))</f>
        <v/>
      </c>
      <c r="L172" s="58" t="inlineStr">
        <is>
          <t>No</t>
        </is>
      </c>
      <c r="M172" s="58" t="inlineStr">
        <is>
          <t>No</t>
        </is>
      </c>
      <c r="N172" s="58" t="inlineStr">
        <is>
          <t>No</t>
        </is>
      </c>
      <c r="O172" s="58" t="inlineStr">
        <is>
          <t>No</t>
        </is>
      </c>
      <c r="P172" s="58" t="inlineStr">
        <is>
          <t>No</t>
        </is>
      </c>
      <c r="Q172" s="59" t="inlineStr">
        <is>
          <t>Minimal public LGBTQ+ engagement either way; known for values-driven stands on other issues (firearms) but quiet here. No documented reversal.</t>
        </is>
      </c>
    </row>
    <row r="173" ht="15" customHeight="1" s="42">
      <c r="A173" s="57" t="inlineStr">
        <is>
          <t>AutoZone</t>
        </is>
      </c>
      <c r="B173" s="58" t="inlineStr">
        <is>
          <t>AZO</t>
        </is>
      </c>
      <c r="C173" s="59" t="inlineStr">
        <is>
          <t>Retail — Automotive</t>
        </is>
      </c>
      <c r="D173" s="58" t="n">
        <v>18.5</v>
      </c>
      <c r="E173" s="58" t="inlineStr">
        <is>
          <t>Not rated</t>
        </is>
      </c>
      <c r="F173" s="58" t="inlineStr">
        <is>
          <t>—</t>
        </is>
      </c>
      <c r="G173" s="58" t="inlineStr">
        <is>
          <t>Never</t>
        </is>
      </c>
      <c r="H173" s="60">
        <f>MIN(20,SUMIFS(Action_Log!$F:$F,Action_Log!$A:$A,$A173,Action_Log!$D:$D,"Cosmetic")+SUMIFS(Action_Log!$F:$F,Action_Log!$A:$A,$A173,Action_Log!$D:$D,"Commercial"))+SUMIFS(Action_Log!$F:$F,Action_Log!$A:$A,$A173,Action_Log!$D:$D,"Civic")+SUMIFS(Action_Log!$F:$F,Action_Log!$A:$A,$A173,Action_Log!$D:$D,"Financial")+SUMIFS(Action_Log!$F:$F,Action_Log!$A:$A,$A173,Action_Log!$D:$D,"Structural")</f>
        <v/>
      </c>
      <c r="I173" s="61">
        <f>SUMIFS(Action_Log!$F:$F,Action_Log!$A:$A,$A173,Action_Log!$E:$E,"Negative")</f>
        <v/>
      </c>
      <c r="J173" s="62">
        <f>MAX(0,MIN(100,50+H173+I173))</f>
        <v/>
      </c>
      <c r="K173" s="63">
        <f>IF(J173&gt;=80,"Champion",IF(J173&gt;=65,"Ally",IF(J173&gt;=50,"Neutral",IF(J173&gt;=35,"Performative",IF(J173&gt;=20,"Harmful","Adversarial")))))</f>
        <v/>
      </c>
      <c r="L173" s="58" t="inlineStr">
        <is>
          <t>No</t>
        </is>
      </c>
      <c r="M173" s="58" t="inlineStr">
        <is>
          <t>No</t>
        </is>
      </c>
      <c r="N173" s="58" t="inlineStr">
        <is>
          <t>No</t>
        </is>
      </c>
      <c r="O173" s="58" t="inlineStr">
        <is>
          <t>No</t>
        </is>
      </c>
      <c r="P173" s="58" t="inlineStr">
        <is>
          <t>No</t>
        </is>
      </c>
      <c r="Q173" s="59" t="inlineStr">
        <is>
          <t>No meaningful public LGBTQ+ record located in either direction.</t>
        </is>
      </c>
    </row>
    <row r="174" ht="15" customHeight="1" s="42">
      <c r="A174" s="57" t="inlineStr">
        <is>
          <t>Bath &amp; Body Works</t>
        </is>
      </c>
      <c r="B174" s="58" t="inlineStr">
        <is>
          <t>BBWI</t>
        </is>
      </c>
      <c r="C174" s="59" t="inlineStr">
        <is>
          <t>Retail / Consumer Goods</t>
        </is>
      </c>
      <c r="D174" s="58" t="n">
        <v>7.3</v>
      </c>
      <c r="E174" s="58" t="n">
        <v>100</v>
      </c>
      <c r="F174" s="58" t="n">
        <v>2024</v>
      </c>
      <c r="G174" s="58" t="inlineStr">
        <is>
          <t>No</t>
        </is>
      </c>
      <c r="H174" s="60">
        <f>MIN(20,SUMIFS(Action_Log!$F:$F,Action_Log!$A:$A,$A174,Action_Log!$D:$D,"Cosmetic")+SUMIFS(Action_Log!$F:$F,Action_Log!$A:$A,$A174,Action_Log!$D:$D,"Commercial"))+SUMIFS(Action_Log!$F:$F,Action_Log!$A:$A,$A174,Action_Log!$D:$D,"Civic")+SUMIFS(Action_Log!$F:$F,Action_Log!$A:$A,$A174,Action_Log!$D:$D,"Financial")+SUMIFS(Action_Log!$F:$F,Action_Log!$A:$A,$A174,Action_Log!$D:$D,"Structural")</f>
        <v/>
      </c>
      <c r="I174" s="61">
        <f>SUMIFS(Action_Log!$F:$F,Action_Log!$A:$A,$A174,Action_Log!$E:$E,"Negative")</f>
        <v/>
      </c>
      <c r="J174" s="62">
        <f>MAX(0,MIN(100,50+H174+I174))</f>
        <v/>
      </c>
      <c r="K174" s="63">
        <f>IF(J174&gt;=80,"Champion",IF(J174&gt;=65,"Ally",IF(J174&gt;=50,"Neutral",IF(J174&gt;=35,"Performative",IF(J174&gt;=20,"Harmful","Adversarial")))))</f>
        <v/>
      </c>
      <c r="L174" s="58" t="inlineStr">
        <is>
          <t>No</t>
        </is>
      </c>
      <c r="M174" s="58" t="inlineStr">
        <is>
          <t>No</t>
        </is>
      </c>
      <c r="N174" s="58" t="inlineStr">
        <is>
          <t>No</t>
        </is>
      </c>
      <c r="O174" s="58" t="inlineStr">
        <is>
          <t>No</t>
        </is>
      </c>
      <c r="P174" s="58" t="inlineStr">
        <is>
          <t>No</t>
        </is>
      </c>
      <c r="Q174" s="59" t="inlineStr">
        <is>
          <t>Ran visible Pride collections (rainbow candles and body care) through 2024 and weathered periodic boycott noise without pulling product. Quiet on policy; no documented reversal.</t>
        </is>
      </c>
    </row>
    <row r="175" ht="15" customHeight="1" s="42">
      <c r="A175" s="57" t="inlineStr">
        <is>
          <t>Publix</t>
        </is>
      </c>
      <c r="B175" s="58" t="inlineStr">
        <is>
          <t>Private</t>
        </is>
      </c>
      <c r="C175" s="59" t="inlineStr">
        <is>
          <t>Retail — Grocery</t>
        </is>
      </c>
      <c r="D175" s="58" t="n">
        <v>59.6</v>
      </c>
      <c r="E175" s="58" t="inlineStr">
        <is>
          <t>Not rated</t>
        </is>
      </c>
      <c r="F175" s="58" t="inlineStr">
        <is>
          <t>—</t>
        </is>
      </c>
      <c r="G175" s="58" t="inlineStr">
        <is>
          <t>Never</t>
        </is>
      </c>
      <c r="H175" s="60">
        <f>MIN(20,SUMIFS(Action_Log!$F:$F,Action_Log!$A:$A,$A175,Action_Log!$D:$D,"Cosmetic")+SUMIFS(Action_Log!$F:$F,Action_Log!$A:$A,$A175,Action_Log!$D:$D,"Commercial"))+SUMIFS(Action_Log!$F:$F,Action_Log!$A:$A,$A175,Action_Log!$D:$D,"Civic")+SUMIFS(Action_Log!$F:$F,Action_Log!$A:$A,$A175,Action_Log!$D:$D,"Financial")+SUMIFS(Action_Log!$F:$F,Action_Log!$A:$A,$A175,Action_Log!$D:$D,"Structural")</f>
        <v/>
      </c>
      <c r="I175" s="61">
        <f>SUMIFS(Action_Log!$F:$F,Action_Log!$A:$A,$A175,Action_Log!$E:$E,"Negative")</f>
        <v/>
      </c>
      <c r="J175" s="62">
        <f>MAX(0,MIN(100,50+H175+I175))</f>
        <v/>
      </c>
      <c r="K175" s="63">
        <f>IF(J175&gt;=80,"Champion",IF(J175&gt;=65,"Ally",IF(J175&gt;=50,"Neutral",IF(J175&gt;=35,"Performative",IF(J175&gt;=20,"Harmful","Adversarial")))))</f>
        <v/>
      </c>
      <c r="L175" s="58" t="inlineStr">
        <is>
          <t>No</t>
        </is>
      </c>
      <c r="M175" s="58" t="inlineStr">
        <is>
          <t>No</t>
        </is>
      </c>
      <c r="N175" s="58" t="inlineStr">
        <is>
          <t>No</t>
        </is>
      </c>
      <c r="O175" s="58" t="inlineStr">
        <is>
          <t>No</t>
        </is>
      </c>
      <c r="P175" s="58" t="inlineStr">
        <is>
          <t>No</t>
        </is>
      </c>
      <c r="Q175" s="59" t="inlineStr">
        <is>
          <t>Refused to cover PrEP HIV prevention for employees until a 2018 national outcry forced reversal; political giving has flowed to Florida sponsors of anti-LGBTQ+ legislation. No Pride support at any point.</t>
        </is>
      </c>
    </row>
    <row r="176" ht="15" customHeight="1" s="42">
      <c r="A176" s="57" t="inlineStr">
        <is>
          <t>Hobby Lobby</t>
        </is>
      </c>
      <c r="B176" s="58" t="inlineStr">
        <is>
          <t>Private</t>
        </is>
      </c>
      <c r="C176" s="59" t="inlineStr">
        <is>
          <t>Retail — Big Box / Crafts</t>
        </is>
      </c>
      <c r="D176" s="58" t="n">
        <v>8</v>
      </c>
      <c r="E176" s="58" t="inlineStr">
        <is>
          <t>Not rated</t>
        </is>
      </c>
      <c r="F176" s="58" t="inlineStr">
        <is>
          <t>—</t>
        </is>
      </c>
      <c r="G176" s="58" t="inlineStr">
        <is>
          <t>Never</t>
        </is>
      </c>
      <c r="H176" s="60">
        <f>MIN(20,SUMIFS(Action_Log!$F:$F,Action_Log!$A:$A,$A176,Action_Log!$D:$D,"Cosmetic")+SUMIFS(Action_Log!$F:$F,Action_Log!$A:$A,$A176,Action_Log!$D:$D,"Commercial"))+SUMIFS(Action_Log!$F:$F,Action_Log!$A:$A,$A176,Action_Log!$D:$D,"Civic")+SUMIFS(Action_Log!$F:$F,Action_Log!$A:$A,$A176,Action_Log!$D:$D,"Financial")+SUMIFS(Action_Log!$F:$F,Action_Log!$A:$A,$A176,Action_Log!$D:$D,"Structural")</f>
        <v/>
      </c>
      <c r="I176" s="61">
        <f>SUMIFS(Action_Log!$F:$F,Action_Log!$A:$A,$A176,Action_Log!$E:$E,"Negative")</f>
        <v/>
      </c>
      <c r="J176" s="62">
        <f>MAX(0,MIN(100,50+H176+I176))</f>
        <v/>
      </c>
      <c r="K176" s="63">
        <f>IF(J176&gt;=80,"Champion",IF(J176&gt;=65,"Ally",IF(J176&gt;=50,"Neutral",IF(J176&gt;=35,"Performative",IF(J176&gt;=20,"Harmful","Adversarial")))))</f>
        <v/>
      </c>
      <c r="L176" s="58" t="inlineStr">
        <is>
          <t>No</t>
        </is>
      </c>
      <c r="M176" s="58" t="inlineStr">
        <is>
          <t>No</t>
        </is>
      </c>
      <c r="N176" s="58" t="inlineStr">
        <is>
          <t>No</t>
        </is>
      </c>
      <c r="O176" s="58" t="inlineStr">
        <is>
          <t>Yes</t>
        </is>
      </c>
      <c r="P176" s="58" t="inlineStr">
        <is>
          <t>No</t>
        </is>
      </c>
      <c r="Q176" s="59" t="inlineStr">
        <is>
          <t>Litigated for years against a trans employee's restroom access (lost, Sommerville v. Hobby Lobby, 2021) and its owners are among the largest funders of anti-LGBTQ+ advocacy through the National Christian Foundation. No support record of any kind.</t>
        </is>
      </c>
    </row>
    <row r="177" ht="15" customHeight="1" s="42">
      <c r="A177" s="57" t="inlineStr">
        <is>
          <t>Ross Stores / Ross Dress for Less</t>
        </is>
      </c>
      <c r="B177" s="58" t="inlineStr">
        <is>
          <t>ROST</t>
        </is>
      </c>
      <c r="C177" s="59" t="inlineStr">
        <is>
          <t>Retail / Apparel Retail</t>
        </is>
      </c>
      <c r="D177" s="58" t="n">
        <v>21.1</v>
      </c>
      <c r="E177" s="58" t="inlineStr">
        <is>
          <t>Not rated</t>
        </is>
      </c>
      <c r="F177" s="58" t="inlineStr">
        <is>
          <t>—</t>
        </is>
      </c>
      <c r="G177" s="58" t="inlineStr">
        <is>
          <t>Never</t>
        </is>
      </c>
      <c r="H177" s="60">
        <f>MIN(20,SUMIFS(Action_Log!$F:$F,Action_Log!$A:$A,$A177,Action_Log!$D:$D,"Cosmetic")+SUMIFS(Action_Log!$F:$F,Action_Log!$A:$A,$A177,Action_Log!$D:$D,"Commercial"))+SUMIFS(Action_Log!$F:$F,Action_Log!$A:$A,$A177,Action_Log!$D:$D,"Civic")+SUMIFS(Action_Log!$F:$F,Action_Log!$A:$A,$A177,Action_Log!$D:$D,"Financial")+SUMIFS(Action_Log!$F:$F,Action_Log!$A:$A,$A177,Action_Log!$D:$D,"Structural")</f>
        <v/>
      </c>
      <c r="I177" s="61">
        <f>SUMIFS(Action_Log!$F:$F,Action_Log!$A:$A,$A177,Action_Log!$E:$E,"Negative")</f>
        <v/>
      </c>
      <c r="J177" s="62">
        <f>MAX(0,MIN(100,50+H177+I177))</f>
        <v/>
      </c>
      <c r="K177" s="63">
        <f>IF(J177&gt;=80,"Champion",IF(J177&gt;=65,"Ally",IF(J177&gt;=50,"Neutral",IF(J177&gt;=35,"Performative",IF(J177&gt;=20,"Harmful","Adversarial")))))</f>
        <v/>
      </c>
      <c r="L177" s="58" t="inlineStr">
        <is>
          <t>No</t>
        </is>
      </c>
      <c r="M177" s="58" t="inlineStr">
        <is>
          <t>No</t>
        </is>
      </c>
      <c r="N177" s="58" t="inlineStr">
        <is>
          <t>No</t>
        </is>
      </c>
      <c r="O177" s="58" t="inlineStr">
        <is>
          <t>No</t>
        </is>
      </c>
      <c r="P177" s="58" t="inlineStr">
        <is>
          <t>No</t>
        </is>
      </c>
      <c r="Q177" s="59" t="inlineStr">
        <is>
          <t>No meaningful public LGBTQ+ record located in either direction; the company does almost no brand marketing of any kind.</t>
        </is>
      </c>
    </row>
    <row r="178" ht="15" customHeight="1" s="42">
      <c r="A178" s="57" t="inlineStr">
        <is>
          <t>Burlington Stores</t>
        </is>
      </c>
      <c r="B178" s="58" t="inlineStr">
        <is>
          <t>BURL</t>
        </is>
      </c>
      <c r="C178" s="59" t="inlineStr">
        <is>
          <t>Retail / Apparel Retail</t>
        </is>
      </c>
      <c r="D178" s="58" t="n">
        <v>10.6</v>
      </c>
      <c r="E178" s="58" t="inlineStr">
        <is>
          <t>Not rated</t>
        </is>
      </c>
      <c r="F178" s="58" t="inlineStr">
        <is>
          <t>—</t>
        </is>
      </c>
      <c r="G178" s="58" t="inlineStr">
        <is>
          <t>Never</t>
        </is>
      </c>
      <c r="H178" s="60">
        <f>MIN(20,SUMIFS(Action_Log!$F:$F,Action_Log!$A:$A,$A178,Action_Log!$D:$D,"Cosmetic")+SUMIFS(Action_Log!$F:$F,Action_Log!$A:$A,$A178,Action_Log!$D:$D,"Commercial"))+SUMIFS(Action_Log!$F:$F,Action_Log!$A:$A,$A178,Action_Log!$D:$D,"Civic")+SUMIFS(Action_Log!$F:$F,Action_Log!$A:$A,$A178,Action_Log!$D:$D,"Financial")+SUMIFS(Action_Log!$F:$F,Action_Log!$A:$A,$A178,Action_Log!$D:$D,"Structural")</f>
        <v/>
      </c>
      <c r="I178" s="61">
        <f>SUMIFS(Action_Log!$F:$F,Action_Log!$A:$A,$A178,Action_Log!$E:$E,"Negative")</f>
        <v/>
      </c>
      <c r="J178" s="62">
        <f>MAX(0,MIN(100,50+H178+I178))</f>
        <v/>
      </c>
      <c r="K178" s="63">
        <f>IF(J178&gt;=80,"Champion",IF(J178&gt;=65,"Ally",IF(J178&gt;=50,"Neutral",IF(J178&gt;=35,"Performative",IF(J178&gt;=20,"Harmful","Adversarial")))))</f>
        <v/>
      </c>
      <c r="L178" s="58" t="inlineStr">
        <is>
          <t>No</t>
        </is>
      </c>
      <c r="M178" s="58" t="inlineStr">
        <is>
          <t>No</t>
        </is>
      </c>
      <c r="N178" s="58" t="inlineStr">
        <is>
          <t>No</t>
        </is>
      </c>
      <c r="O178" s="58" t="inlineStr">
        <is>
          <t>No</t>
        </is>
      </c>
      <c r="P178" s="58" t="inlineStr">
        <is>
          <t>No</t>
        </is>
      </c>
      <c r="Q178" s="59" t="inlineStr">
        <is>
          <t>No meaningful public LGBTQ+ record located in either direction.</t>
        </is>
      </c>
    </row>
    <row r="179" ht="15" customHeight="1" s="42">
      <c r="A179" s="57" t="inlineStr">
        <is>
          <t>Ulta Beauty</t>
        </is>
      </c>
      <c r="B179" s="58" t="inlineStr">
        <is>
          <t>ULTA</t>
        </is>
      </c>
      <c r="C179" s="59" t="inlineStr">
        <is>
          <t>Retail / Beauty</t>
        </is>
      </c>
      <c r="D179" s="58" t="n">
        <v>11.3</v>
      </c>
      <c r="E179" s="58" t="n">
        <v>100</v>
      </c>
      <c r="F179" s="58" t="n">
        <v>2024</v>
      </c>
      <c r="G179" s="58" t="inlineStr">
        <is>
          <t>No</t>
        </is>
      </c>
      <c r="H179" s="60">
        <f>MIN(20,SUMIFS(Action_Log!$F:$F,Action_Log!$A:$A,$A179,Action_Log!$D:$D,"Cosmetic")+SUMIFS(Action_Log!$F:$F,Action_Log!$A:$A,$A179,Action_Log!$D:$D,"Commercial"))+SUMIFS(Action_Log!$F:$F,Action_Log!$A:$A,$A179,Action_Log!$D:$D,"Civic")+SUMIFS(Action_Log!$F:$F,Action_Log!$A:$A,$A179,Action_Log!$D:$D,"Financial")+SUMIFS(Action_Log!$F:$F,Action_Log!$A:$A,$A179,Action_Log!$D:$D,"Structural")</f>
        <v/>
      </c>
      <c r="I179" s="61">
        <f>SUMIFS(Action_Log!$F:$F,Action_Log!$A:$A,$A179,Action_Log!$E:$E,"Negative")</f>
        <v/>
      </c>
      <c r="J179" s="62">
        <f>MAX(0,MIN(100,50+H179+I179))</f>
        <v/>
      </c>
      <c r="K179" s="63">
        <f>IF(J179&gt;=80,"Champion",IF(J179&gt;=65,"Ally",IF(J179&gt;=50,"Neutral",IF(J179&gt;=35,"Performative",IF(J179&gt;=20,"Harmful","Adversarial")))))</f>
        <v/>
      </c>
      <c r="L179" s="58" t="inlineStr">
        <is>
          <t>No</t>
        </is>
      </c>
      <c r="M179" s="58" t="inlineStr">
        <is>
          <t>No</t>
        </is>
      </c>
      <c r="N179" s="58" t="inlineStr">
        <is>
          <t>No</t>
        </is>
      </c>
      <c r="O179" s="58" t="inlineStr">
        <is>
          <t>No</t>
        </is>
      </c>
      <c r="P179" s="58" t="inlineStr">
        <is>
          <t>No</t>
        </is>
      </c>
      <c r="Q179" s="59" t="inlineStr">
        <is>
          <t>Stood by its 2022 'The Beauty Of' podcast episode featuring trans creator Dylan Mulvaney through boycott calls — a year before Bud Light folded over the same person. Annual Pride assortments continue.</t>
        </is>
      </c>
    </row>
    <row r="180" ht="15" customHeight="1" s="42">
      <c r="A180" s="57" t="inlineStr">
        <is>
          <t>Wayfair</t>
        </is>
      </c>
      <c r="B180" s="58" t="inlineStr">
        <is>
          <t>W</t>
        </is>
      </c>
      <c r="C180" s="59" t="inlineStr">
        <is>
          <t>Retail / E-commerce</t>
        </is>
      </c>
      <c r="D180" s="58" t="n">
        <v>11.9</v>
      </c>
      <c r="E180" s="58" t="inlineStr">
        <is>
          <t>Not rated</t>
        </is>
      </c>
      <c r="F180" s="58" t="inlineStr">
        <is>
          <t>—</t>
        </is>
      </c>
      <c r="G180" s="58" t="inlineStr">
        <is>
          <t>No</t>
        </is>
      </c>
      <c r="H180" s="60">
        <f>MIN(20,SUMIFS(Action_Log!$F:$F,Action_Log!$A:$A,$A180,Action_Log!$D:$D,"Cosmetic")+SUMIFS(Action_Log!$F:$F,Action_Log!$A:$A,$A180,Action_Log!$D:$D,"Commercial"))+SUMIFS(Action_Log!$F:$F,Action_Log!$A:$A,$A180,Action_Log!$D:$D,"Civic")+SUMIFS(Action_Log!$F:$F,Action_Log!$A:$A,$A180,Action_Log!$D:$D,"Financial")+SUMIFS(Action_Log!$F:$F,Action_Log!$A:$A,$A180,Action_Log!$D:$D,"Structural")</f>
        <v/>
      </c>
      <c r="I180" s="61">
        <f>SUMIFS(Action_Log!$F:$F,Action_Log!$A:$A,$A180,Action_Log!$E:$E,"Negative")</f>
        <v/>
      </c>
      <c r="J180" s="62">
        <f>MAX(0,MIN(100,50+H180+I180))</f>
        <v/>
      </c>
      <c r="K180" s="63">
        <f>IF(J180&gt;=80,"Champion",IF(J180&gt;=65,"Ally",IF(J180&gt;=50,"Neutral",IF(J180&gt;=35,"Performative",IF(J180&gt;=20,"Harmful","Adversarial")))))</f>
        <v/>
      </c>
      <c r="L180" s="58" t="inlineStr">
        <is>
          <t>No</t>
        </is>
      </c>
      <c r="M180" s="58" t="inlineStr">
        <is>
          <t>No</t>
        </is>
      </c>
      <c r="N180" s="58" t="inlineStr">
        <is>
          <t>No</t>
        </is>
      </c>
      <c r="O180" s="58" t="inlineStr">
        <is>
          <t>No</t>
        </is>
      </c>
      <c r="P180" s="58" t="inlineStr">
        <is>
          <t>No</t>
        </is>
      </c>
      <c r="Q180" s="59" t="inlineStr">
        <is>
          <t>Sells Pride-themed goods seasonally; minimal corporate-level engagement documented; no reversal.</t>
        </is>
      </c>
    </row>
    <row r="181" ht="15" customHeight="1" s="42">
      <c r="A181" s="57" t="inlineStr">
        <is>
          <t>Chewy</t>
        </is>
      </c>
      <c r="B181" s="58" t="inlineStr">
        <is>
          <t>CHWY</t>
        </is>
      </c>
      <c r="C181" s="59" t="inlineStr">
        <is>
          <t>Retail / E-commerce / Pet</t>
        </is>
      </c>
      <c r="D181" s="58" t="n">
        <v>11.9</v>
      </c>
      <c r="E181" s="58" t="inlineStr">
        <is>
          <t>Not rated</t>
        </is>
      </c>
      <c r="F181" s="58" t="inlineStr">
        <is>
          <t>—</t>
        </is>
      </c>
      <c r="G181" s="58" t="inlineStr">
        <is>
          <t>Never</t>
        </is>
      </c>
      <c r="H181" s="60">
        <f>MIN(20,SUMIFS(Action_Log!$F:$F,Action_Log!$A:$A,$A181,Action_Log!$D:$D,"Cosmetic")+SUMIFS(Action_Log!$F:$F,Action_Log!$A:$A,$A181,Action_Log!$D:$D,"Commercial"))+SUMIFS(Action_Log!$F:$F,Action_Log!$A:$A,$A181,Action_Log!$D:$D,"Civic")+SUMIFS(Action_Log!$F:$F,Action_Log!$A:$A,$A181,Action_Log!$D:$D,"Financial")+SUMIFS(Action_Log!$F:$F,Action_Log!$A:$A,$A181,Action_Log!$D:$D,"Structural")</f>
        <v/>
      </c>
      <c r="I181" s="61">
        <f>SUMIFS(Action_Log!$F:$F,Action_Log!$A:$A,$A181,Action_Log!$E:$E,"Negative")</f>
        <v/>
      </c>
      <c r="J181" s="62">
        <f>MAX(0,MIN(100,50+H181+I181))</f>
        <v/>
      </c>
      <c r="K181" s="63">
        <f>IF(J181&gt;=80,"Champion",IF(J181&gt;=65,"Ally",IF(J181&gt;=50,"Neutral",IF(J181&gt;=35,"Performative",IF(J181&gt;=20,"Harmful","Adversarial")))))</f>
        <v/>
      </c>
      <c r="L181" s="58" t="inlineStr">
        <is>
          <t>No</t>
        </is>
      </c>
      <c r="M181" s="58" t="inlineStr">
        <is>
          <t>No</t>
        </is>
      </c>
      <c r="N181" s="58" t="inlineStr">
        <is>
          <t>No</t>
        </is>
      </c>
      <c r="O181" s="58" t="inlineStr">
        <is>
          <t>No</t>
        </is>
      </c>
      <c r="P181" s="58" t="inlineStr">
        <is>
          <t>No</t>
        </is>
      </c>
      <c r="Q181" s="59" t="inlineStr">
        <is>
          <t>No meaningful public LGBTQ+ record located in either direction.</t>
        </is>
      </c>
    </row>
    <row r="182" ht="15" customHeight="1" s="42">
      <c r="A182" s="57" t="inlineStr">
        <is>
          <t>Lululemon</t>
        </is>
      </c>
      <c r="B182" s="58" t="inlineStr">
        <is>
          <t>LULU</t>
        </is>
      </c>
      <c r="C182" s="59" t="inlineStr">
        <is>
          <t>Fashion &amp; Apparel</t>
        </is>
      </c>
      <c r="D182" s="58" t="n">
        <v>10.6</v>
      </c>
      <c r="E182" s="58" t="inlineStr">
        <is>
          <t>Not rated</t>
        </is>
      </c>
      <c r="F182" s="58" t="inlineStr">
        <is>
          <t>—</t>
        </is>
      </c>
      <c r="G182" s="58" t="inlineStr">
        <is>
          <t>No</t>
        </is>
      </c>
      <c r="H182" s="60">
        <f>MIN(20,SUMIFS(Action_Log!$F:$F,Action_Log!$A:$A,$A182,Action_Log!$D:$D,"Cosmetic")+SUMIFS(Action_Log!$F:$F,Action_Log!$A:$A,$A182,Action_Log!$D:$D,"Commercial"))+SUMIFS(Action_Log!$F:$F,Action_Log!$A:$A,$A182,Action_Log!$D:$D,"Civic")+SUMIFS(Action_Log!$F:$F,Action_Log!$A:$A,$A182,Action_Log!$D:$D,"Financial")+SUMIFS(Action_Log!$F:$F,Action_Log!$A:$A,$A182,Action_Log!$D:$D,"Structural")</f>
        <v/>
      </c>
      <c r="I182" s="61">
        <f>SUMIFS(Action_Log!$F:$F,Action_Log!$A:$A,$A182,Action_Log!$E:$E,"Negative")</f>
        <v/>
      </c>
      <c r="J182" s="62">
        <f>MAX(0,MIN(100,50+H182+I182))</f>
        <v/>
      </c>
      <c r="K182" s="63">
        <f>IF(J182&gt;=80,"Champion",IF(J182&gt;=65,"Ally",IF(J182&gt;=50,"Neutral",IF(J182&gt;=35,"Performative",IF(J182&gt;=20,"Harmful","Adversarial")))))</f>
        <v/>
      </c>
      <c r="L182" s="58" t="inlineStr">
        <is>
          <t>No</t>
        </is>
      </c>
      <c r="M182" s="58" t="inlineStr">
        <is>
          <t>No</t>
        </is>
      </c>
      <c r="N182" s="58" t="inlineStr">
        <is>
          <t>No</t>
        </is>
      </c>
      <c r="O182" s="58" t="inlineStr">
        <is>
          <t>No</t>
        </is>
      </c>
      <c r="P182" s="58" t="inlineStr">
        <is>
          <t>No</t>
        </is>
      </c>
      <c r="Q182" s="59" t="inlineStr">
        <is>
          <t>Pride campaigns and an IDEA (Inclusion, Diversity, Equity, Action) function created in 2020; modest depth, no documented reversal.</t>
        </is>
      </c>
    </row>
    <row r="183" ht="15" customHeight="1" s="42">
      <c r="A183" s="57" t="inlineStr">
        <is>
          <t>Under Armour</t>
        </is>
      </c>
      <c r="B183" s="58" t="inlineStr">
        <is>
          <t>UAA</t>
        </is>
      </c>
      <c r="C183" s="59" t="inlineStr">
        <is>
          <t>Fashion &amp; Apparel</t>
        </is>
      </c>
      <c r="D183" s="58" t="n">
        <v>5.7</v>
      </c>
      <c r="E183" s="58" t="inlineStr">
        <is>
          <t>Not rated</t>
        </is>
      </c>
      <c r="F183" s="58" t="inlineStr">
        <is>
          <t>—</t>
        </is>
      </c>
      <c r="G183" s="58" t="inlineStr">
        <is>
          <t>No</t>
        </is>
      </c>
      <c r="H183" s="60">
        <f>MIN(20,SUMIFS(Action_Log!$F:$F,Action_Log!$A:$A,$A183,Action_Log!$D:$D,"Cosmetic")+SUMIFS(Action_Log!$F:$F,Action_Log!$A:$A,$A183,Action_Log!$D:$D,"Commercial"))+SUMIFS(Action_Log!$F:$F,Action_Log!$A:$A,$A183,Action_Log!$D:$D,"Civic")+SUMIFS(Action_Log!$F:$F,Action_Log!$A:$A,$A183,Action_Log!$D:$D,"Financial")+SUMIFS(Action_Log!$F:$F,Action_Log!$A:$A,$A183,Action_Log!$D:$D,"Structural")</f>
        <v/>
      </c>
      <c r="I183" s="61">
        <f>SUMIFS(Action_Log!$F:$F,Action_Log!$A:$A,$A183,Action_Log!$E:$E,"Negative")</f>
        <v/>
      </c>
      <c r="J183" s="62">
        <f>MAX(0,MIN(100,50+H183+I183))</f>
        <v/>
      </c>
      <c r="K183" s="63">
        <f>IF(J183&gt;=80,"Champion",IF(J183&gt;=65,"Ally",IF(J183&gt;=50,"Neutral",IF(J183&gt;=35,"Performative",IF(J183&gt;=20,"Harmful","Adversarial")))))</f>
        <v/>
      </c>
      <c r="L183" s="58" t="inlineStr">
        <is>
          <t>No</t>
        </is>
      </c>
      <c r="M183" s="58" t="inlineStr">
        <is>
          <t>No</t>
        </is>
      </c>
      <c r="N183" s="58" t="inlineStr">
        <is>
          <t>No</t>
        </is>
      </c>
      <c r="O183" s="58" t="inlineStr">
        <is>
          <t>No</t>
        </is>
      </c>
      <c r="P183" s="58" t="inlineStr">
        <is>
          <t>No</t>
        </is>
      </c>
      <c r="Q183" s="59" t="inlineStr">
        <is>
          <t>Minimal public LGBTQ+ engagement; no documented reversal.</t>
        </is>
      </c>
    </row>
    <row r="184" ht="15" customHeight="1" s="42">
      <c r="A184" s="57" t="inlineStr">
        <is>
          <t>VF Corp.</t>
        </is>
      </c>
      <c r="B184" s="58" t="inlineStr">
        <is>
          <t>VFC</t>
        </is>
      </c>
      <c r="C184" s="59" t="inlineStr">
        <is>
          <t>Fashion &amp; Apparel</t>
        </is>
      </c>
      <c r="D184" s="58" t="n">
        <v>10.5</v>
      </c>
      <c r="E184" s="58" t="n">
        <v>100</v>
      </c>
      <c r="F184" s="58" t="n">
        <v>2024</v>
      </c>
      <c r="G184" s="58" t="inlineStr">
        <is>
          <t>Yes</t>
        </is>
      </c>
      <c r="H184" s="60">
        <f>MIN(20,SUMIFS(Action_Log!$F:$F,Action_Log!$A:$A,$A184,Action_Log!$D:$D,"Cosmetic")+SUMIFS(Action_Log!$F:$F,Action_Log!$A:$A,$A184,Action_Log!$D:$D,"Commercial"))+SUMIFS(Action_Log!$F:$F,Action_Log!$A:$A,$A184,Action_Log!$D:$D,"Civic")+SUMIFS(Action_Log!$F:$F,Action_Log!$A:$A,$A184,Action_Log!$D:$D,"Financial")+SUMIFS(Action_Log!$F:$F,Action_Log!$A:$A,$A184,Action_Log!$D:$D,"Structural")</f>
        <v/>
      </c>
      <c r="I184" s="61">
        <f>SUMIFS(Action_Log!$F:$F,Action_Log!$A:$A,$A184,Action_Log!$E:$E,"Negative")</f>
        <v/>
      </c>
      <c r="J184" s="62">
        <f>MAX(0,MIN(100,50+H184+I184))</f>
        <v/>
      </c>
      <c r="K184" s="63">
        <f>IF(J184&gt;=80,"Champion",IF(J184&gt;=65,"Ally",IF(J184&gt;=50,"Neutral",IF(J184&gt;=35,"Performative",IF(J184&gt;=20,"Harmful","Adversarial")))))</f>
        <v/>
      </c>
      <c r="L184" s="58" t="inlineStr">
        <is>
          <t>No</t>
        </is>
      </c>
      <c r="M184" s="58" t="inlineStr">
        <is>
          <t>No</t>
        </is>
      </c>
      <c r="N184" s="58" t="inlineStr">
        <is>
          <t>No</t>
        </is>
      </c>
      <c r="O184" s="58" t="inlineStr">
        <is>
          <t>No</t>
        </is>
      </c>
      <c r="P184" s="58" t="inlineStr">
        <is>
          <t>No</t>
        </is>
      </c>
      <c r="Q184" s="59" t="inlineStr">
        <is>
          <t>The North Face kept its 'Summer of Pride' campaign with drag environmentalist Pattie Gonia through the 2023 boycott; Vans runs recurring Pride collections. Brand-led but tested allyship.</t>
        </is>
      </c>
    </row>
    <row r="185" ht="15" customHeight="1" s="42">
      <c r="A185" s="57" t="inlineStr">
        <is>
          <t>Tapestry</t>
        </is>
      </c>
      <c r="B185" s="58" t="inlineStr">
        <is>
          <t>TPR</t>
        </is>
      </c>
      <c r="C185" s="59" t="inlineStr">
        <is>
          <t>Fashion &amp; Apparel</t>
        </is>
      </c>
      <c r="D185" s="58" t="n">
        <v>6.7</v>
      </c>
      <c r="E185" s="58" t="n">
        <v>100</v>
      </c>
      <c r="F185" s="58" t="n">
        <v>2024</v>
      </c>
      <c r="G185" s="58" t="inlineStr">
        <is>
          <t>Yes</t>
        </is>
      </c>
      <c r="H185" s="60">
        <f>MIN(20,SUMIFS(Action_Log!$F:$F,Action_Log!$A:$A,$A185,Action_Log!$D:$D,"Cosmetic")+SUMIFS(Action_Log!$F:$F,Action_Log!$A:$A,$A185,Action_Log!$D:$D,"Commercial"))+SUMIFS(Action_Log!$F:$F,Action_Log!$A:$A,$A185,Action_Log!$D:$D,"Civic")+SUMIFS(Action_Log!$F:$F,Action_Log!$A:$A,$A185,Action_Log!$D:$D,"Financial")+SUMIFS(Action_Log!$F:$F,Action_Log!$A:$A,$A185,Action_Log!$D:$D,"Structural")</f>
        <v/>
      </c>
      <c r="I185" s="61">
        <f>SUMIFS(Action_Log!$F:$F,Action_Log!$A:$A,$A185,Action_Log!$E:$E,"Negative")</f>
        <v/>
      </c>
      <c r="J185" s="62">
        <f>MAX(0,MIN(100,50+H185+I185))</f>
        <v/>
      </c>
      <c r="K185" s="63">
        <f>IF(J185&gt;=80,"Champion",IF(J185&gt;=65,"Ally",IF(J185&gt;=50,"Neutral",IF(J185&gt;=35,"Performative",IF(J185&gt;=20,"Harmful","Adversarial")))))</f>
        <v/>
      </c>
      <c r="L185" s="58" t="inlineStr">
        <is>
          <t>No</t>
        </is>
      </c>
      <c r="M185" s="58" t="inlineStr">
        <is>
          <t>No</t>
        </is>
      </c>
      <c r="N185" s="58" t="inlineStr">
        <is>
          <t>No</t>
        </is>
      </c>
      <c r="O185" s="58" t="inlineStr">
        <is>
          <t>No</t>
        </is>
      </c>
      <c r="P185" s="58" t="inlineStr">
        <is>
          <t>No</t>
        </is>
      </c>
      <c r="Q185" s="59" t="inlineStr">
        <is>
          <t>Coach and Kate Spade run recurring Pride collections with donations to LGBTQ+ youth organizations (Hetrick-Martin Institute, CenterLink); CEI 100 record; no reversal.</t>
        </is>
      </c>
    </row>
    <row r="186" ht="15" customHeight="1" s="42">
      <c r="A186" s="57" t="inlineStr">
        <is>
          <t>Wendy's</t>
        </is>
      </c>
      <c r="B186" s="58" t="inlineStr">
        <is>
          <t>WEN</t>
        </is>
      </c>
      <c r="C186" s="59" t="inlineStr">
        <is>
          <t>Food &amp; Beverage</t>
        </is>
      </c>
      <c r="D186" s="58" t="n">
        <v>2.2</v>
      </c>
      <c r="E186" s="58" t="inlineStr">
        <is>
          <t>Not rated</t>
        </is>
      </c>
      <c r="F186" s="58" t="inlineStr">
        <is>
          <t>—</t>
        </is>
      </c>
      <c r="G186" s="58" t="inlineStr">
        <is>
          <t>No</t>
        </is>
      </c>
      <c r="H186" s="60">
        <f>MIN(20,SUMIFS(Action_Log!$F:$F,Action_Log!$A:$A,$A186,Action_Log!$D:$D,"Cosmetic")+SUMIFS(Action_Log!$F:$F,Action_Log!$A:$A,$A186,Action_Log!$D:$D,"Commercial"))+SUMIFS(Action_Log!$F:$F,Action_Log!$A:$A,$A186,Action_Log!$D:$D,"Civic")+SUMIFS(Action_Log!$F:$F,Action_Log!$A:$A,$A186,Action_Log!$D:$D,"Financial")+SUMIFS(Action_Log!$F:$F,Action_Log!$A:$A,$A186,Action_Log!$D:$D,"Structural")</f>
        <v/>
      </c>
      <c r="I186" s="61">
        <f>SUMIFS(Action_Log!$F:$F,Action_Log!$A:$A,$A186,Action_Log!$E:$E,"Negative")</f>
        <v/>
      </c>
      <c r="J186" s="62">
        <f>MAX(0,MIN(100,50+H186+I186))</f>
        <v/>
      </c>
      <c r="K186" s="63">
        <f>IF(J186&gt;=80,"Champion",IF(J186&gt;=65,"Ally",IF(J186&gt;=50,"Neutral",IF(J186&gt;=35,"Performative",IF(J186&gt;=20,"Harmful","Adversarial")))))</f>
        <v/>
      </c>
      <c r="L186" s="58" t="inlineStr">
        <is>
          <t>No</t>
        </is>
      </c>
      <c r="M186" s="58" t="inlineStr">
        <is>
          <t>No</t>
        </is>
      </c>
      <c r="N186" s="58" t="inlineStr">
        <is>
          <t>No</t>
        </is>
      </c>
      <c r="O186" s="58" t="inlineStr">
        <is>
          <t>No</t>
        </is>
      </c>
      <c r="P186" s="58" t="inlineStr">
        <is>
          <t>No</t>
        </is>
      </c>
      <c r="Q186" s="59" t="inlineStr">
        <is>
          <t>Minimal public LGBTQ+ engagement; no documented reversal.</t>
        </is>
      </c>
    </row>
    <row r="187" ht="15" customHeight="1" s="42">
      <c r="A187" s="57" t="inlineStr">
        <is>
          <t>DoorDash</t>
        </is>
      </c>
      <c r="B187" s="58" t="inlineStr">
        <is>
          <t>DASH</t>
        </is>
      </c>
      <c r="C187" s="59" t="inlineStr">
        <is>
          <t>Food &amp; Beverage / Technology</t>
        </is>
      </c>
      <c r="D187" s="58" t="n">
        <v>10.7</v>
      </c>
      <c r="E187" s="58" t="inlineStr">
        <is>
          <t>Not rated</t>
        </is>
      </c>
      <c r="F187" s="58" t="inlineStr">
        <is>
          <t>—</t>
        </is>
      </c>
      <c r="G187" s="58" t="inlineStr">
        <is>
          <t>No</t>
        </is>
      </c>
      <c r="H187" s="60">
        <f>MIN(20,SUMIFS(Action_Log!$F:$F,Action_Log!$A:$A,$A187,Action_Log!$D:$D,"Cosmetic")+SUMIFS(Action_Log!$F:$F,Action_Log!$A:$A,$A187,Action_Log!$D:$D,"Commercial"))+SUMIFS(Action_Log!$F:$F,Action_Log!$A:$A,$A187,Action_Log!$D:$D,"Civic")+SUMIFS(Action_Log!$F:$F,Action_Log!$A:$A,$A187,Action_Log!$D:$D,"Financial")+SUMIFS(Action_Log!$F:$F,Action_Log!$A:$A,$A187,Action_Log!$D:$D,"Structural")</f>
        <v/>
      </c>
      <c r="I187" s="61">
        <f>SUMIFS(Action_Log!$F:$F,Action_Log!$A:$A,$A187,Action_Log!$E:$E,"Negative")</f>
        <v/>
      </c>
      <c r="J187" s="62">
        <f>MAX(0,MIN(100,50+H187+I187))</f>
        <v/>
      </c>
      <c r="K187" s="63">
        <f>IF(J187&gt;=80,"Champion",IF(J187&gt;=65,"Ally",IF(J187&gt;=50,"Neutral",IF(J187&gt;=35,"Performative",IF(J187&gt;=20,"Harmful","Adversarial")))))</f>
        <v/>
      </c>
      <c r="L187" s="58" t="inlineStr">
        <is>
          <t>No</t>
        </is>
      </c>
      <c r="M187" s="58" t="inlineStr">
        <is>
          <t>No</t>
        </is>
      </c>
      <c r="N187" s="58" t="inlineStr">
        <is>
          <t>No</t>
        </is>
      </c>
      <c r="O187" s="58" t="inlineStr">
        <is>
          <t>No</t>
        </is>
      </c>
      <c r="P187" s="58" t="inlineStr">
        <is>
          <t>No</t>
        </is>
      </c>
      <c r="Q187" s="59" t="inlineStr">
        <is>
          <t>Pride@DoorDash ERG and annual Pride campaigns; quiet on policy; no documented reversal.</t>
        </is>
      </c>
    </row>
    <row r="188" ht="15" customHeight="1" s="42">
      <c r="A188" s="57" t="inlineStr">
        <is>
          <t>Mars, Inc.</t>
        </is>
      </c>
      <c r="B188" s="58" t="inlineStr">
        <is>
          <t>Private</t>
        </is>
      </c>
      <c r="C188" s="59" t="inlineStr">
        <is>
          <t>Food &amp; Beverage / Consumer Goods</t>
        </is>
      </c>
      <c r="D188" s="58" t="n">
        <v>50</v>
      </c>
      <c r="E188" s="58" t="n">
        <v>100</v>
      </c>
      <c r="F188" s="58" t="n">
        <v>2024</v>
      </c>
      <c r="G188" s="58" t="inlineStr">
        <is>
          <t>No</t>
        </is>
      </c>
      <c r="H188" s="60">
        <f>MIN(20,SUMIFS(Action_Log!$F:$F,Action_Log!$A:$A,$A188,Action_Log!$D:$D,"Cosmetic")+SUMIFS(Action_Log!$F:$F,Action_Log!$A:$A,$A188,Action_Log!$D:$D,"Commercial"))+SUMIFS(Action_Log!$F:$F,Action_Log!$A:$A,$A188,Action_Log!$D:$D,"Civic")+SUMIFS(Action_Log!$F:$F,Action_Log!$A:$A,$A188,Action_Log!$D:$D,"Financial")+SUMIFS(Action_Log!$F:$F,Action_Log!$A:$A,$A188,Action_Log!$D:$D,"Structural")</f>
        <v/>
      </c>
      <c r="I188" s="61">
        <f>SUMIFS(Action_Log!$F:$F,Action_Log!$A:$A,$A188,Action_Log!$E:$E,"Negative")</f>
        <v/>
      </c>
      <c r="J188" s="62">
        <f>MAX(0,MIN(100,50+H188+I188))</f>
        <v/>
      </c>
      <c r="K188" s="63">
        <f>IF(J188&gt;=80,"Champion",IF(J188&gt;=65,"Ally",IF(J188&gt;=50,"Neutral",IF(J188&gt;=35,"Performative",IF(J188&gt;=20,"Harmful","Adversarial")))))</f>
        <v/>
      </c>
      <c r="L188" s="58" t="inlineStr">
        <is>
          <t>No</t>
        </is>
      </c>
      <c r="M188" s="58" t="inlineStr">
        <is>
          <t>No</t>
        </is>
      </c>
      <c r="N188" s="58" t="inlineStr">
        <is>
          <t>No</t>
        </is>
      </c>
      <c r="O188" s="58" t="inlineStr">
        <is>
          <t>No</t>
        </is>
      </c>
      <c r="P188" s="58" t="inlineStr">
        <is>
          <t>No</t>
        </is>
      </c>
      <c r="Q188" s="59" t="inlineStr">
        <is>
          <t>Paused its M&amp;M's 'spokescandies' in Jan 2023 after right-wing mockery of inclusive redesigns — a small but telling flinch. Otherwise quiet with CEI participation history.</t>
        </is>
      </c>
    </row>
    <row r="189" ht="15" customHeight="1" s="42">
      <c r="A189" s="57" t="inlineStr">
        <is>
          <t>Panera Bread</t>
        </is>
      </c>
      <c r="B189" s="58" t="inlineStr">
        <is>
          <t>Private</t>
        </is>
      </c>
      <c r="C189" s="59" t="inlineStr">
        <is>
          <t>Food &amp; Beverage</t>
        </is>
      </c>
      <c r="D189" s="58" t="n">
        <v>4.9</v>
      </c>
      <c r="E189" s="58" t="inlineStr">
        <is>
          <t>Not rated</t>
        </is>
      </c>
      <c r="F189" s="58" t="inlineStr">
        <is>
          <t>—</t>
        </is>
      </c>
      <c r="G189" s="58" t="inlineStr">
        <is>
          <t>No</t>
        </is>
      </c>
      <c r="H189" s="60">
        <f>MIN(20,SUMIFS(Action_Log!$F:$F,Action_Log!$A:$A,$A189,Action_Log!$D:$D,"Cosmetic")+SUMIFS(Action_Log!$F:$F,Action_Log!$A:$A,$A189,Action_Log!$D:$D,"Commercial"))+SUMIFS(Action_Log!$F:$F,Action_Log!$A:$A,$A189,Action_Log!$D:$D,"Civic")+SUMIFS(Action_Log!$F:$F,Action_Log!$A:$A,$A189,Action_Log!$D:$D,"Financial")+SUMIFS(Action_Log!$F:$F,Action_Log!$A:$A,$A189,Action_Log!$D:$D,"Structural")</f>
        <v/>
      </c>
      <c r="I189" s="61">
        <f>SUMIFS(Action_Log!$F:$F,Action_Log!$A:$A,$A189,Action_Log!$E:$E,"Negative")</f>
        <v/>
      </c>
      <c r="J189" s="62">
        <f>MAX(0,MIN(100,50+H189+I189))</f>
        <v/>
      </c>
      <c r="K189" s="63">
        <f>IF(J189&gt;=80,"Champion",IF(J189&gt;=65,"Ally",IF(J189&gt;=50,"Neutral",IF(J189&gt;=35,"Performative",IF(J189&gt;=20,"Harmful","Adversarial")))))</f>
        <v/>
      </c>
      <c r="L189" s="58" t="inlineStr">
        <is>
          <t>No</t>
        </is>
      </c>
      <c r="M189" s="58" t="inlineStr">
        <is>
          <t>No</t>
        </is>
      </c>
      <c r="N189" s="58" t="inlineStr">
        <is>
          <t>No</t>
        </is>
      </c>
      <c r="O189" s="58" t="inlineStr">
        <is>
          <t>No</t>
        </is>
      </c>
      <c r="P189" s="58" t="inlineStr">
        <is>
          <t>No</t>
        </is>
      </c>
      <c r="Q189" s="59" t="inlineStr">
        <is>
          <t>Minimal public LGBTQ+ engagement; no documented reversal.</t>
        </is>
      </c>
    </row>
    <row r="190" ht="15" customHeight="1" s="42">
      <c r="A190" s="57" t="inlineStr">
        <is>
          <t>State Farm</t>
        </is>
      </c>
      <c r="B190" s="58" t="inlineStr">
        <is>
          <t>Private</t>
        </is>
      </c>
      <c r="C190" s="59" t="inlineStr">
        <is>
          <t>Financial Services / Insurance</t>
        </is>
      </c>
      <c r="D190" s="58" t="n">
        <v>104.2</v>
      </c>
      <c r="E190" s="58" t="inlineStr">
        <is>
          <t>Not rated</t>
        </is>
      </c>
      <c r="F190" s="58" t="inlineStr">
        <is>
          <t>—</t>
        </is>
      </c>
      <c r="G190" s="58" t="inlineStr">
        <is>
          <t>No</t>
        </is>
      </c>
      <c r="H190" s="60">
        <f>MIN(20,SUMIFS(Action_Log!$F:$F,Action_Log!$A:$A,$A190,Action_Log!$D:$D,"Cosmetic")+SUMIFS(Action_Log!$F:$F,Action_Log!$A:$A,$A190,Action_Log!$D:$D,"Commercial"))+SUMIFS(Action_Log!$F:$F,Action_Log!$A:$A,$A190,Action_Log!$D:$D,"Civic")+SUMIFS(Action_Log!$F:$F,Action_Log!$A:$A,$A190,Action_Log!$D:$D,"Financial")+SUMIFS(Action_Log!$F:$F,Action_Log!$A:$A,$A190,Action_Log!$D:$D,"Structural")</f>
        <v/>
      </c>
      <c r="I190" s="61">
        <f>SUMIFS(Action_Log!$F:$F,Action_Log!$A:$A,$A190,Action_Log!$E:$E,"Negative")</f>
        <v/>
      </c>
      <c r="J190" s="62">
        <f>MAX(0,MIN(100,50+H190+I190))</f>
        <v/>
      </c>
      <c r="K190" s="63">
        <f>IF(J190&gt;=80,"Champion",IF(J190&gt;=65,"Ally",IF(J190&gt;=50,"Neutral",IF(J190&gt;=35,"Performative",IF(J190&gt;=20,"Harmful","Adversarial")))))</f>
        <v/>
      </c>
      <c r="L190" s="58" t="inlineStr">
        <is>
          <t>No</t>
        </is>
      </c>
      <c r="M190" s="58" t="inlineStr">
        <is>
          <t>Yes</t>
        </is>
      </c>
      <c r="N190" s="58" t="inlineStr">
        <is>
          <t>No</t>
        </is>
      </c>
      <c r="O190" s="58" t="inlineStr">
        <is>
          <t>No</t>
        </is>
      </c>
      <c r="P190" s="58" t="inlineStr">
        <is>
          <t>No</t>
        </is>
      </c>
      <c r="Q190" s="59" t="inlineStr">
        <is>
          <t>Dropped its GenderCool partnership donating LGBTQ+-themed children's books within 48 hours of a conservative pressure campaign (May 2022) — a pre-2024 preview of the capitulation era. Documented anti-LGBTQ+ political giving lowers the score (-30); see Political_Donations sheet.</t>
        </is>
      </c>
    </row>
    <row r="191" ht="15" customHeight="1" s="42">
      <c r="A191" s="57" t="inlineStr">
        <is>
          <t>Geico</t>
        </is>
      </c>
      <c r="B191" s="58" t="inlineStr">
        <is>
          <t>Private</t>
        </is>
      </c>
      <c r="C191" s="59" t="inlineStr">
        <is>
          <t>Financial Services / Insurance</t>
        </is>
      </c>
      <c r="D191" s="58" t="n">
        <v>42.9</v>
      </c>
      <c r="E191" s="58" t="inlineStr">
        <is>
          <t>Not rated</t>
        </is>
      </c>
      <c r="F191" s="58" t="inlineStr">
        <is>
          <t>—</t>
        </is>
      </c>
      <c r="G191" s="58" t="inlineStr">
        <is>
          <t>No</t>
        </is>
      </c>
      <c r="H191" s="60">
        <f>MIN(20,SUMIFS(Action_Log!$F:$F,Action_Log!$A:$A,$A191,Action_Log!$D:$D,"Cosmetic")+SUMIFS(Action_Log!$F:$F,Action_Log!$A:$A,$A191,Action_Log!$D:$D,"Commercial"))+SUMIFS(Action_Log!$F:$F,Action_Log!$A:$A,$A191,Action_Log!$D:$D,"Civic")+SUMIFS(Action_Log!$F:$F,Action_Log!$A:$A,$A191,Action_Log!$D:$D,"Financial")+SUMIFS(Action_Log!$F:$F,Action_Log!$A:$A,$A191,Action_Log!$D:$D,"Structural")</f>
        <v/>
      </c>
      <c r="I191" s="61">
        <f>SUMIFS(Action_Log!$F:$F,Action_Log!$A:$A,$A191,Action_Log!$E:$E,"Negative")</f>
        <v/>
      </c>
      <c r="J191" s="62">
        <f>MAX(0,MIN(100,50+H191+I191))</f>
        <v/>
      </c>
      <c r="K191" s="63">
        <f>IF(J191&gt;=80,"Champion",IF(J191&gt;=65,"Ally",IF(J191&gt;=50,"Neutral",IF(J191&gt;=35,"Performative",IF(J191&gt;=20,"Harmful","Adversarial")))))</f>
        <v/>
      </c>
      <c r="L191" s="58" t="inlineStr">
        <is>
          <t>No</t>
        </is>
      </c>
      <c r="M191" s="58" t="inlineStr">
        <is>
          <t>No</t>
        </is>
      </c>
      <c r="N191" s="58" t="inlineStr">
        <is>
          <t>No</t>
        </is>
      </c>
      <c r="O191" s="58" t="inlineStr">
        <is>
          <t>No</t>
        </is>
      </c>
      <c r="P191" s="58" t="inlineStr">
        <is>
          <t>No</t>
        </is>
      </c>
      <c r="Q191" s="59" t="inlineStr">
        <is>
          <t>Minimal public LGBTQ+ engagement; no documented reversal (Berkshire subsidiary, minimal cause marketing).</t>
        </is>
      </c>
    </row>
    <row r="192" ht="15" customHeight="1" s="42">
      <c r="A192" s="57" t="inlineStr">
        <is>
          <t>Liberty Mutual</t>
        </is>
      </c>
      <c r="B192" s="58" t="inlineStr">
        <is>
          <t>Private</t>
        </is>
      </c>
      <c r="C192" s="59" t="inlineStr">
        <is>
          <t>Financial Services / Insurance</t>
        </is>
      </c>
      <c r="D192" s="58" t="n">
        <v>49.4</v>
      </c>
      <c r="E192" s="58" t="n">
        <v>100</v>
      </c>
      <c r="F192" s="58" t="n">
        <v>2024</v>
      </c>
      <c r="G192" s="58" t="inlineStr">
        <is>
          <t>Yes</t>
        </is>
      </c>
      <c r="H192" s="60">
        <f>MIN(20,SUMIFS(Action_Log!$F:$F,Action_Log!$A:$A,$A192,Action_Log!$D:$D,"Cosmetic")+SUMIFS(Action_Log!$F:$F,Action_Log!$A:$A,$A192,Action_Log!$D:$D,"Commercial"))+SUMIFS(Action_Log!$F:$F,Action_Log!$A:$A,$A192,Action_Log!$D:$D,"Civic")+SUMIFS(Action_Log!$F:$F,Action_Log!$A:$A,$A192,Action_Log!$D:$D,"Financial")+SUMIFS(Action_Log!$F:$F,Action_Log!$A:$A,$A192,Action_Log!$D:$D,"Structural")</f>
        <v/>
      </c>
      <c r="I192" s="61">
        <f>SUMIFS(Action_Log!$F:$F,Action_Log!$A:$A,$A192,Action_Log!$E:$E,"Negative")</f>
        <v/>
      </c>
      <c r="J192" s="62">
        <f>MAX(0,MIN(100,50+H192+I192))</f>
        <v/>
      </c>
      <c r="K192" s="63">
        <f>IF(J192&gt;=80,"Champion",IF(J192&gt;=65,"Ally",IF(J192&gt;=50,"Neutral",IF(J192&gt;=35,"Performative",IF(J192&gt;=20,"Harmful","Adversarial")))))</f>
        <v/>
      </c>
      <c r="L192" s="58" t="inlineStr">
        <is>
          <t>No</t>
        </is>
      </c>
      <c r="M192" s="58" t="inlineStr">
        <is>
          <t>No</t>
        </is>
      </c>
      <c r="N192" s="58" t="inlineStr">
        <is>
          <t>No</t>
        </is>
      </c>
      <c r="O192" s="58" t="inlineStr">
        <is>
          <t>No</t>
        </is>
      </c>
      <c r="P192" s="58" t="inlineStr">
        <is>
          <t>No</t>
        </is>
      </c>
      <c r="Q192" s="59" t="inlineStr">
        <is>
          <t>Quiet CEI 100 holder with inclusive benefits and Pride@Liberty ERG; no documented reversal.</t>
        </is>
      </c>
    </row>
    <row r="193" ht="15" customHeight="1" s="42">
      <c r="A193" s="57" t="inlineStr">
        <is>
          <t>Farmers Insurance</t>
        </is>
      </c>
      <c r="B193" s="58" t="inlineStr">
        <is>
          <t>Private</t>
        </is>
      </c>
      <c r="C193" s="59" t="inlineStr">
        <is>
          <t>Financial Services / Insurance</t>
        </is>
      </c>
      <c r="D193" s="58" t="n">
        <v>27</v>
      </c>
      <c r="E193" s="58" t="inlineStr">
        <is>
          <t>Not rated</t>
        </is>
      </c>
      <c r="F193" s="58" t="inlineStr">
        <is>
          <t>—</t>
        </is>
      </c>
      <c r="G193" s="58" t="inlineStr">
        <is>
          <t>No</t>
        </is>
      </c>
      <c r="H193" s="60">
        <f>MIN(20,SUMIFS(Action_Log!$F:$F,Action_Log!$A:$A,$A193,Action_Log!$D:$D,"Cosmetic")+SUMIFS(Action_Log!$F:$F,Action_Log!$A:$A,$A193,Action_Log!$D:$D,"Commercial"))+SUMIFS(Action_Log!$F:$F,Action_Log!$A:$A,$A193,Action_Log!$D:$D,"Civic")+SUMIFS(Action_Log!$F:$F,Action_Log!$A:$A,$A193,Action_Log!$D:$D,"Financial")+SUMIFS(Action_Log!$F:$F,Action_Log!$A:$A,$A193,Action_Log!$D:$D,"Structural")</f>
        <v/>
      </c>
      <c r="I193" s="61">
        <f>SUMIFS(Action_Log!$F:$F,Action_Log!$A:$A,$A193,Action_Log!$E:$E,"Negative")</f>
        <v/>
      </c>
      <c r="J193" s="62">
        <f>MAX(0,MIN(100,50+H193+I193))</f>
        <v/>
      </c>
      <c r="K193" s="63">
        <f>IF(J193&gt;=80,"Champion",IF(J193&gt;=65,"Ally",IF(J193&gt;=50,"Neutral",IF(J193&gt;=35,"Performative",IF(J193&gt;=20,"Harmful","Adversarial")))))</f>
        <v/>
      </c>
      <c r="L193" s="58" t="inlineStr">
        <is>
          <t>No</t>
        </is>
      </c>
      <c r="M193" s="58" t="inlineStr">
        <is>
          <t>No</t>
        </is>
      </c>
      <c r="N193" s="58" t="inlineStr">
        <is>
          <t>No</t>
        </is>
      </c>
      <c r="O193" s="58" t="inlineStr">
        <is>
          <t>No</t>
        </is>
      </c>
      <c r="P193" s="58" t="inlineStr">
        <is>
          <t>No</t>
        </is>
      </c>
      <c r="Q193" s="59" t="inlineStr">
        <is>
          <t>Minimal public LGBTQ+ engagement; no documented reversal. Documented anti-LGBTQ+ political giving lowers the score (-30); see Political_Donations sheet.</t>
        </is>
      </c>
    </row>
    <row r="194" ht="15" customHeight="1" s="42">
      <c r="A194" s="57" t="inlineStr">
        <is>
          <t>Electronic Arts</t>
        </is>
      </c>
      <c r="B194" s="58" t="inlineStr">
        <is>
          <t>EA</t>
        </is>
      </c>
      <c r="C194" s="59" t="inlineStr">
        <is>
          <t>Media &amp; Entertainment / Gaming</t>
        </is>
      </c>
      <c r="D194" s="58" t="n">
        <v>7.6</v>
      </c>
      <c r="E194" s="58" t="n">
        <v>100</v>
      </c>
      <c r="F194" s="58" t="n">
        <v>2024</v>
      </c>
      <c r="G194" s="58" t="inlineStr">
        <is>
          <t>Yes</t>
        </is>
      </c>
      <c r="H194" s="60">
        <f>MIN(20,SUMIFS(Action_Log!$F:$F,Action_Log!$A:$A,$A194,Action_Log!$D:$D,"Cosmetic")+SUMIFS(Action_Log!$F:$F,Action_Log!$A:$A,$A194,Action_Log!$D:$D,"Commercial"))+SUMIFS(Action_Log!$F:$F,Action_Log!$A:$A,$A194,Action_Log!$D:$D,"Civic")+SUMIFS(Action_Log!$F:$F,Action_Log!$A:$A,$A194,Action_Log!$D:$D,"Financial")+SUMIFS(Action_Log!$F:$F,Action_Log!$A:$A,$A194,Action_Log!$D:$D,"Structural")</f>
        <v/>
      </c>
      <c r="I194" s="61">
        <f>SUMIFS(Action_Log!$F:$F,Action_Log!$A:$A,$A194,Action_Log!$E:$E,"Negative")</f>
        <v/>
      </c>
      <c r="J194" s="62">
        <f>MAX(0,MIN(100,50+H194+I194))</f>
        <v/>
      </c>
      <c r="K194" s="63">
        <f>IF(J194&gt;=80,"Champion",IF(J194&gt;=65,"Ally",IF(J194&gt;=50,"Neutral",IF(J194&gt;=35,"Performative",IF(J194&gt;=20,"Harmful","Adversarial")))))</f>
        <v/>
      </c>
      <c r="L194" s="58" t="inlineStr">
        <is>
          <t>No</t>
        </is>
      </c>
      <c r="M194" s="58" t="inlineStr">
        <is>
          <t>No</t>
        </is>
      </c>
      <c r="N194" s="58" t="inlineStr">
        <is>
          <t>No</t>
        </is>
      </c>
      <c r="O194" s="58" t="inlineStr">
        <is>
          <t>No</t>
        </is>
      </c>
      <c r="P194" s="58" t="inlineStr">
        <is>
          <t>No</t>
        </is>
      </c>
      <c r="Q194" s="59" t="inlineStr">
        <is>
          <t>Decades of inclusive game content (The Sims has allowed same-sex relationships since 2000, customizable pronouns since 2022) plus an active Pride ERG; no documented reversal.</t>
        </is>
      </c>
    </row>
    <row r="195" ht="15" customHeight="1" s="42">
      <c r="A195" s="57" t="inlineStr">
        <is>
          <t>Take-Two Interactive</t>
        </is>
      </c>
      <c r="B195" s="58" t="inlineStr">
        <is>
          <t>TTWO</t>
        </is>
      </c>
      <c r="C195" s="59" t="inlineStr">
        <is>
          <t>Media &amp; Entertainment / Gaming</t>
        </is>
      </c>
      <c r="D195" s="58" t="n">
        <v>5.4</v>
      </c>
      <c r="E195" s="58" t="inlineStr">
        <is>
          <t>Not rated</t>
        </is>
      </c>
      <c r="F195" s="58" t="inlineStr">
        <is>
          <t>—</t>
        </is>
      </c>
      <c r="G195" s="58" t="inlineStr">
        <is>
          <t>No</t>
        </is>
      </c>
      <c r="H195" s="60">
        <f>MIN(20,SUMIFS(Action_Log!$F:$F,Action_Log!$A:$A,$A195,Action_Log!$D:$D,"Cosmetic")+SUMIFS(Action_Log!$F:$F,Action_Log!$A:$A,$A195,Action_Log!$D:$D,"Commercial"))+SUMIFS(Action_Log!$F:$F,Action_Log!$A:$A,$A195,Action_Log!$D:$D,"Civic")+SUMIFS(Action_Log!$F:$F,Action_Log!$A:$A,$A195,Action_Log!$D:$D,"Financial")+SUMIFS(Action_Log!$F:$F,Action_Log!$A:$A,$A195,Action_Log!$D:$D,"Structural")</f>
        <v/>
      </c>
      <c r="I195" s="61">
        <f>SUMIFS(Action_Log!$F:$F,Action_Log!$A:$A,$A195,Action_Log!$E:$E,"Negative")</f>
        <v/>
      </c>
      <c r="J195" s="62">
        <f>MAX(0,MIN(100,50+H195+I195))</f>
        <v/>
      </c>
      <c r="K195" s="63">
        <f>IF(J195&gt;=80,"Champion",IF(J195&gt;=65,"Ally",IF(J195&gt;=50,"Neutral",IF(J195&gt;=35,"Performative",IF(J195&gt;=20,"Harmful","Adversarial")))))</f>
        <v/>
      </c>
      <c r="L195" s="58" t="inlineStr">
        <is>
          <t>No</t>
        </is>
      </c>
      <c r="M195" s="58" t="inlineStr">
        <is>
          <t>No</t>
        </is>
      </c>
      <c r="N195" s="58" t="inlineStr">
        <is>
          <t>No</t>
        </is>
      </c>
      <c r="O195" s="58" t="inlineStr">
        <is>
          <t>No</t>
        </is>
      </c>
      <c r="P195" s="58" t="inlineStr">
        <is>
          <t>No</t>
        </is>
      </c>
      <c r="Q195" s="59" t="inlineStr">
        <is>
          <t>Minimal corporate LGBTQ+ engagement; game content mixed historically; no documented reversal.</t>
        </is>
      </c>
    </row>
    <row r="196" ht="15" customHeight="1" s="42">
      <c r="A196" s="57" t="inlineStr">
        <is>
          <t>The New York Times Company</t>
        </is>
      </c>
      <c r="B196" s="58" t="inlineStr">
        <is>
          <t>NYT</t>
        </is>
      </c>
      <c r="C196" s="59" t="inlineStr">
        <is>
          <t>Media &amp; Entertainment</t>
        </is>
      </c>
      <c r="D196" s="58" t="n">
        <v>2.6</v>
      </c>
      <c r="E196" s="58" t="n">
        <v>100</v>
      </c>
      <c r="F196" s="58" t="n">
        <v>2024</v>
      </c>
      <c r="G196" s="58" t="inlineStr">
        <is>
          <t>No</t>
        </is>
      </c>
      <c r="H196" s="60">
        <f>MIN(20,SUMIFS(Action_Log!$F:$F,Action_Log!$A:$A,$A196,Action_Log!$D:$D,"Cosmetic")+SUMIFS(Action_Log!$F:$F,Action_Log!$A:$A,$A196,Action_Log!$D:$D,"Commercial"))+SUMIFS(Action_Log!$F:$F,Action_Log!$A:$A,$A196,Action_Log!$D:$D,"Civic")+SUMIFS(Action_Log!$F:$F,Action_Log!$A:$A,$A196,Action_Log!$D:$D,"Financial")+SUMIFS(Action_Log!$F:$F,Action_Log!$A:$A,$A196,Action_Log!$D:$D,"Structural")</f>
        <v/>
      </c>
      <c r="I196" s="61">
        <f>SUMIFS(Action_Log!$F:$F,Action_Log!$A:$A,$A196,Action_Log!$E:$E,"Negative")</f>
        <v/>
      </c>
      <c r="J196" s="62">
        <f>MAX(0,MIN(100,50+H196+I196))</f>
        <v/>
      </c>
      <c r="K196" s="63">
        <f>IF(J196&gt;=80,"Champion",IF(J196&gt;=65,"Ally",IF(J196&gt;=50,"Neutral",IF(J196&gt;=35,"Performative",IF(J196&gt;=20,"Harmful","Adversarial")))))</f>
        <v/>
      </c>
      <c r="L196" s="58" t="inlineStr">
        <is>
          <t>No</t>
        </is>
      </c>
      <c r="M196" s="58" t="inlineStr">
        <is>
          <t>No</t>
        </is>
      </c>
      <c r="N196" s="58" t="inlineStr">
        <is>
          <t>No</t>
        </is>
      </c>
      <c r="O196" s="58" t="inlineStr">
        <is>
          <t>No</t>
        </is>
      </c>
      <c r="P196" s="58" t="inlineStr">
        <is>
          <t>No</t>
        </is>
      </c>
      <c r="Q196" s="59" t="inlineStr">
        <is>
          <t>Inclusive workplace and Pride-era journalism legacy, but its trans-coverage choices drew a 2023 open letter from GLAAD and 1,000+ contributors; the company defended the coverage.</t>
        </is>
      </c>
    </row>
    <row r="197" ht="15" customHeight="1" s="42">
      <c r="A197" s="57" t="inlineStr">
        <is>
          <t>iHeartMedia</t>
        </is>
      </c>
      <c r="B197" s="58" t="inlineStr">
        <is>
          <t>IHRT</t>
        </is>
      </c>
      <c r="C197" s="59" t="inlineStr">
        <is>
          <t>Media &amp; Entertainment</t>
        </is>
      </c>
      <c r="D197" s="58" t="n">
        <v>3.7</v>
      </c>
      <c r="E197" s="58" t="inlineStr">
        <is>
          <t>Not rated</t>
        </is>
      </c>
      <c r="F197" s="58" t="inlineStr">
        <is>
          <t>—</t>
        </is>
      </c>
      <c r="G197" s="58" t="inlineStr">
        <is>
          <t>No</t>
        </is>
      </c>
      <c r="H197" s="60">
        <f>MIN(20,SUMIFS(Action_Log!$F:$F,Action_Log!$A:$A,$A197,Action_Log!$D:$D,"Cosmetic")+SUMIFS(Action_Log!$F:$F,Action_Log!$A:$A,$A197,Action_Log!$D:$D,"Commercial"))+SUMIFS(Action_Log!$F:$F,Action_Log!$A:$A,$A197,Action_Log!$D:$D,"Civic")+SUMIFS(Action_Log!$F:$F,Action_Log!$A:$A,$A197,Action_Log!$D:$D,"Financial")+SUMIFS(Action_Log!$F:$F,Action_Log!$A:$A,$A197,Action_Log!$D:$D,"Structural")</f>
        <v/>
      </c>
      <c r="I197" s="61">
        <f>SUMIFS(Action_Log!$F:$F,Action_Log!$A:$A,$A197,Action_Log!$E:$E,"Negative")</f>
        <v/>
      </c>
      <c r="J197" s="62">
        <f>MAX(0,MIN(100,50+H197+I197))</f>
        <v/>
      </c>
      <c r="K197" s="63">
        <f>IF(J197&gt;=80,"Champion",IF(J197&gt;=65,"Ally",IF(J197&gt;=50,"Neutral",IF(J197&gt;=35,"Performative",IF(J197&gt;=20,"Harmful","Adversarial")))))</f>
        <v/>
      </c>
      <c r="L197" s="58" t="inlineStr">
        <is>
          <t>No</t>
        </is>
      </c>
      <c r="M197" s="58" t="inlineStr">
        <is>
          <t>No</t>
        </is>
      </c>
      <c r="N197" s="58" t="inlineStr">
        <is>
          <t>No</t>
        </is>
      </c>
      <c r="O197" s="58" t="inlineStr">
        <is>
          <t>No</t>
        </is>
      </c>
      <c r="P197" s="58" t="inlineStr">
        <is>
          <t>No</t>
        </is>
      </c>
      <c r="Q197" s="59" t="inlineStr">
        <is>
          <t>Pride-season programming and LGBTQ+ podcast content; minimal corporate-level commitments documented.</t>
        </is>
      </c>
    </row>
    <row r="198" ht="15" customHeight="1" s="42">
      <c r="A198" s="57" t="inlineStr">
        <is>
          <t>Kaiser Permanente</t>
        </is>
      </c>
      <c r="B198" s="58" t="inlineStr">
        <is>
          <t>Private</t>
        </is>
      </c>
      <c r="C198" s="59" t="inlineStr">
        <is>
          <t>Healthcare &amp; Pharma</t>
        </is>
      </c>
      <c r="D198" s="58" t="n">
        <v>115.8</v>
      </c>
      <c r="E198" s="58" t="n">
        <v>100</v>
      </c>
      <c r="F198" s="58" t="n">
        <v>2024</v>
      </c>
      <c r="G198" s="58" t="inlineStr">
        <is>
          <t>Yes</t>
        </is>
      </c>
      <c r="H198" s="60">
        <f>MIN(20,SUMIFS(Action_Log!$F:$F,Action_Log!$A:$A,$A198,Action_Log!$D:$D,"Cosmetic")+SUMIFS(Action_Log!$F:$F,Action_Log!$A:$A,$A198,Action_Log!$D:$D,"Commercial"))+SUMIFS(Action_Log!$F:$F,Action_Log!$A:$A,$A198,Action_Log!$D:$D,"Civic")+SUMIFS(Action_Log!$F:$F,Action_Log!$A:$A,$A198,Action_Log!$D:$D,"Financial")+SUMIFS(Action_Log!$F:$F,Action_Log!$A:$A,$A198,Action_Log!$D:$D,"Structural")</f>
        <v/>
      </c>
      <c r="I198" s="61">
        <f>SUMIFS(Action_Log!$F:$F,Action_Log!$A:$A,$A198,Action_Log!$E:$E,"Negative")</f>
        <v/>
      </c>
      <c r="J198" s="62">
        <f>MAX(0,MIN(100,50+H198+I198))</f>
        <v/>
      </c>
      <c r="K198" s="63">
        <f>IF(J198&gt;=80,"Champion",IF(J198&gt;=65,"Ally",IF(J198&gt;=50,"Neutral",IF(J198&gt;=35,"Performative",IF(J198&gt;=20,"Harmful","Adversarial")))))</f>
        <v/>
      </c>
      <c r="L198" s="58" t="inlineStr">
        <is>
          <t>No</t>
        </is>
      </c>
      <c r="M198" s="58" t="inlineStr">
        <is>
          <t>No</t>
        </is>
      </c>
      <c r="N198" s="58" t="inlineStr">
        <is>
          <t>No</t>
        </is>
      </c>
      <c r="O198" s="58" t="inlineStr">
        <is>
          <t>No</t>
        </is>
      </c>
      <c r="P198" s="58" t="inlineStr">
        <is>
          <t>No</t>
        </is>
      </c>
      <c r="Q198" s="59" t="inlineStr">
        <is>
          <t>A care-delivery ally: longtime provider of gender-affirming care with dedicated transgender health programs, top Healthcare Equality Index ratings across facilities, and CEI 100 standing. Substance through services.</t>
        </is>
      </c>
    </row>
    <row r="199" ht="15" customHeight="1" s="42">
      <c r="A199" s="57" t="inlineStr">
        <is>
          <t>Quest Diagnostics</t>
        </is>
      </c>
      <c r="B199" s="58" t="inlineStr">
        <is>
          <t>DGX</t>
        </is>
      </c>
      <c r="C199" s="59" t="inlineStr">
        <is>
          <t>Healthcare &amp; Pharma</t>
        </is>
      </c>
      <c r="D199" s="58" t="n">
        <v>9.9</v>
      </c>
      <c r="E199" s="58" t="inlineStr">
        <is>
          <t>Not rated</t>
        </is>
      </c>
      <c r="F199" s="58" t="inlineStr">
        <is>
          <t>—</t>
        </is>
      </c>
      <c r="G199" s="58" t="inlineStr">
        <is>
          <t>No</t>
        </is>
      </c>
      <c r="H199" s="60">
        <f>MIN(20,SUMIFS(Action_Log!$F:$F,Action_Log!$A:$A,$A199,Action_Log!$D:$D,"Cosmetic")+SUMIFS(Action_Log!$F:$F,Action_Log!$A:$A,$A199,Action_Log!$D:$D,"Commercial"))+SUMIFS(Action_Log!$F:$F,Action_Log!$A:$A,$A199,Action_Log!$D:$D,"Civic")+SUMIFS(Action_Log!$F:$F,Action_Log!$A:$A,$A199,Action_Log!$D:$D,"Financial")+SUMIFS(Action_Log!$F:$F,Action_Log!$A:$A,$A199,Action_Log!$D:$D,"Structural")</f>
        <v/>
      </c>
      <c r="I199" s="61">
        <f>SUMIFS(Action_Log!$F:$F,Action_Log!$A:$A,$A199,Action_Log!$E:$E,"Negative")</f>
        <v/>
      </c>
      <c r="J199" s="62">
        <f>MAX(0,MIN(100,50+H199+I199))</f>
        <v/>
      </c>
      <c r="K199" s="63">
        <f>IF(J199&gt;=80,"Champion",IF(J199&gt;=65,"Ally",IF(J199&gt;=50,"Neutral",IF(J199&gt;=35,"Performative",IF(J199&gt;=20,"Harmful","Adversarial")))))</f>
        <v/>
      </c>
      <c r="L199" s="58" t="inlineStr">
        <is>
          <t>No</t>
        </is>
      </c>
      <c r="M199" s="58" t="inlineStr">
        <is>
          <t>No</t>
        </is>
      </c>
      <c r="N199" s="58" t="inlineStr">
        <is>
          <t>No</t>
        </is>
      </c>
      <c r="O199" s="58" t="inlineStr">
        <is>
          <t>No</t>
        </is>
      </c>
      <c r="P199" s="58" t="inlineStr">
        <is>
          <t>No</t>
        </is>
      </c>
      <c r="Q199" s="59" t="inlineStr">
        <is>
          <t>Minimal public LGBTQ+ engagement; no documented reversal.</t>
        </is>
      </c>
    </row>
    <row r="200" ht="15" customHeight="1" s="42">
      <c r="A200" s="57" t="inlineStr">
        <is>
          <t>AMD</t>
        </is>
      </c>
      <c r="B200" s="58" t="inlineStr">
        <is>
          <t>AMD</t>
        </is>
      </c>
      <c r="C200" s="59" t="inlineStr">
        <is>
          <t>Technology</t>
        </is>
      </c>
      <c r="D200" s="58" t="n">
        <v>25.8</v>
      </c>
      <c r="E200" s="58" t="n">
        <v>100</v>
      </c>
      <c r="F200" s="58" t="n">
        <v>2024</v>
      </c>
      <c r="G200" s="58" t="inlineStr">
        <is>
          <t>Yes</t>
        </is>
      </c>
      <c r="H200" s="60">
        <f>MIN(20,SUMIFS(Action_Log!$F:$F,Action_Log!$A:$A,$A200,Action_Log!$D:$D,"Cosmetic")+SUMIFS(Action_Log!$F:$F,Action_Log!$A:$A,$A200,Action_Log!$D:$D,"Commercial"))+SUMIFS(Action_Log!$F:$F,Action_Log!$A:$A,$A200,Action_Log!$D:$D,"Civic")+SUMIFS(Action_Log!$F:$F,Action_Log!$A:$A,$A200,Action_Log!$D:$D,"Financial")+SUMIFS(Action_Log!$F:$F,Action_Log!$A:$A,$A200,Action_Log!$D:$D,"Structural")</f>
        <v/>
      </c>
      <c r="I200" s="61">
        <f>SUMIFS(Action_Log!$F:$F,Action_Log!$A:$A,$A200,Action_Log!$E:$E,"Negative")</f>
        <v/>
      </c>
      <c r="J200" s="62">
        <f>MAX(0,MIN(100,50+H200+I200))</f>
        <v/>
      </c>
      <c r="K200" s="63">
        <f>IF(J200&gt;=80,"Champion",IF(J200&gt;=65,"Ally",IF(J200&gt;=50,"Neutral",IF(J200&gt;=35,"Performative",IF(J200&gt;=20,"Harmful","Adversarial")))))</f>
        <v/>
      </c>
      <c r="L200" s="58" t="inlineStr">
        <is>
          <t>No</t>
        </is>
      </c>
      <c r="M200" s="58" t="inlineStr">
        <is>
          <t>No</t>
        </is>
      </c>
      <c r="N200" s="58" t="inlineStr">
        <is>
          <t>No</t>
        </is>
      </c>
      <c r="O200" s="58" t="inlineStr">
        <is>
          <t>No</t>
        </is>
      </c>
      <c r="P200" s="58" t="inlineStr">
        <is>
          <t>No</t>
        </is>
      </c>
      <c r="Q200" s="59" t="inlineStr">
        <is>
          <t>Quiet CEI 100 holder with inclusive benefits; no documented reversal.</t>
        </is>
      </c>
    </row>
    <row r="201" ht="15" customHeight="1" s="42">
      <c r="A201" s="57" t="inlineStr">
        <is>
          <t>Booz Allen Hamilton</t>
        </is>
      </c>
      <c r="B201" s="58" t="inlineStr">
        <is>
          <t>BAH</t>
        </is>
      </c>
      <c r="C201" s="59" t="inlineStr">
        <is>
          <t>Defense &amp; Gov Contracting</t>
        </is>
      </c>
      <c r="D201" s="58" t="n">
        <v>11</v>
      </c>
      <c r="E201" s="58" t="n">
        <v>100</v>
      </c>
      <c r="F201" s="58" t="n">
        <v>2024</v>
      </c>
      <c r="G201" s="58" t="inlineStr">
        <is>
          <t>No</t>
        </is>
      </c>
      <c r="H201" s="60">
        <f>MIN(20,SUMIFS(Action_Log!$F:$F,Action_Log!$A:$A,$A201,Action_Log!$D:$D,"Cosmetic")+SUMIFS(Action_Log!$F:$F,Action_Log!$A:$A,$A201,Action_Log!$D:$D,"Commercial"))+SUMIFS(Action_Log!$F:$F,Action_Log!$A:$A,$A201,Action_Log!$D:$D,"Civic")+SUMIFS(Action_Log!$F:$F,Action_Log!$A:$A,$A201,Action_Log!$D:$D,"Financial")+SUMIFS(Action_Log!$F:$F,Action_Log!$A:$A,$A201,Action_Log!$D:$D,"Structural")</f>
        <v/>
      </c>
      <c r="I201" s="61">
        <f>SUMIFS(Action_Log!$F:$F,Action_Log!$A:$A,$A201,Action_Log!$E:$E,"Negative")</f>
        <v/>
      </c>
      <c r="J201" s="62">
        <f>MAX(0,MIN(100,50+H201+I201))</f>
        <v/>
      </c>
      <c r="K201" s="63">
        <f>IF(J201&gt;=80,"Champion",IF(J201&gt;=65,"Ally",IF(J201&gt;=50,"Neutral",IF(J201&gt;=35,"Performative",IF(J201&gt;=20,"Harmful","Adversarial")))))</f>
        <v/>
      </c>
      <c r="L201" s="58" t="inlineStr">
        <is>
          <t>Yes</t>
        </is>
      </c>
      <c r="M201" s="58" t="inlineStr">
        <is>
          <t>Yes</t>
        </is>
      </c>
      <c r="N201" s="58" t="inlineStr">
        <is>
          <t>No</t>
        </is>
      </c>
      <c r="O201" s="58" t="inlineStr">
        <is>
          <t>No</t>
        </is>
      </c>
      <c r="P201" s="58" t="inlineStr">
        <is>
          <t>No</t>
        </is>
      </c>
      <c r="Q201" s="59" t="inlineStr">
        <is>
          <t>Scrapped DEI programs in Feb 2025 citing federal contract risk, then dropped its WorldPride 2025 sponsorship — the most-cited single Pride withdrawal of the season.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0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40" customWidth="1" style="41" min="2" max="2"/>
    <col width="50" customWidth="1" style="41" min="3" max="4"/>
    <col width="40" customWidth="1" style="41" min="5" max="5"/>
    <col width="32" customWidth="1" style="41" min="6" max="6"/>
    <col width="12" customWidth="1" style="41" min="7" max="7"/>
  </cols>
  <sheetData>
    <row r="1" ht="15" customHeight="1" s="42">
      <c r="A1" s="49" t="inlineStr">
        <is>
          <t>Company</t>
        </is>
      </c>
      <c r="B1" s="49" t="inlineStr">
        <is>
          <t>Verdict (one line)</t>
        </is>
      </c>
      <c r="C1" s="49" t="inlineStr">
        <is>
          <t>Why — Drivers Up</t>
        </is>
      </c>
      <c r="D1" s="49" t="inlineStr">
        <is>
          <t>Why — Drivers Down</t>
        </is>
      </c>
      <c r="E1" s="49" t="inlineStr">
        <is>
          <t>Decisive Factor</t>
        </is>
      </c>
      <c r="F1" s="49" t="inlineStr">
        <is>
          <t>Trajectory</t>
        </is>
      </c>
      <c r="G1" s="49" t="inlineStr">
        <is>
          <t>Confidence</t>
        </is>
      </c>
    </row>
    <row r="2" ht="53.7" customHeight="1" s="42">
      <c r="A2" s="64" t="inlineStr">
        <is>
          <t>(match Company_Master)</t>
        </is>
      </c>
      <c r="B2" s="64" t="inlineStr">
        <is>
          <t>A longtime self-declared ally that stripped its DEI commitments in May 2025 to win FCC approval of its Frontier acquisition.</t>
        </is>
      </c>
      <c r="C2" s="64" t="inlineStr">
        <is>
          <t>Annual rainbow branding and Pride statements; sponsorship of Pride events; a funded LGBTQ+ employee resource group; CEI score of 100 as recently as 2024.</t>
        </is>
      </c>
      <c r="D2" s="64" t="inlineStr">
        <is>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is>
      </c>
      <c r="E2" s="64" t="inlineStr">
        <is>
          <t>The May 2025 reversal under direct regulatory pressure — support evaporated exactly when it carried a cost, proving it was conditional.</t>
        </is>
      </c>
      <c r="F2" s="64" t="inlineStr">
        <is>
          <t>Sharp Reversal</t>
        </is>
      </c>
      <c r="G2" s="64" t="inlineStr">
        <is>
          <t>High</t>
        </is>
      </c>
    </row>
    <row r="3" ht="15" customHeight="1" s="42">
      <c r="A3" s="65">
        <f>Company_Master!A2</f>
        <v/>
      </c>
      <c r="B3" s="59" t="inlineStr">
        <is>
          <t>Decades of pioneering LGBTQ+ workplace inclusion ended with a written pledge to the FCC to abandon DEI.</t>
        </is>
      </c>
      <c r="C3" s="59" t="inlineStr">
        <is>
          <t>LEAGUE at AT&amp;T, founded 1987, is among the oldest LGBTQ+ ERGs in the US; years of CEI 100 scores; long-running Pride event sponsorships (e.g., Dallas Pride) and rainbow campaign branding.</t>
        </is>
      </c>
      <c r="D3" s="59" t="inlineStr">
        <is>
          <t>Stopped participating in HRC's Corporate Equality Index and ceased funding some LGBTQ+ organizations; in a Dec 1, 2025 FCC filing committed to ending DEI programs company-wide, with hiring and advancement framed as purely 'merit-based' (CNN, ESG Dive). Campaign-finance records additionally document contributions to anti-LGBTQ+ politicians/committees (see Political_Donations sheet; Data for Progress 2019-22 / Popular Information 2022-24).</t>
        </is>
      </c>
      <c r="E3" s="59" t="inlineStr">
        <is>
          <t>The December 2025 FCC letter — a formal, written renunciation of DEI made to secure deal approval.</t>
        </is>
      </c>
      <c r="F3" s="59" t="inlineStr">
        <is>
          <t>Sharp Reversal</t>
        </is>
      </c>
      <c r="G3" s="58" t="inlineStr">
        <is>
          <t>High</t>
        </is>
      </c>
    </row>
    <row r="4" ht="15" customHeight="1" s="42">
      <c r="A4" s="66">
        <f>Company_Master!A3</f>
        <v/>
      </c>
      <c r="B4" s="52" t="inlineStr">
        <is>
          <t>A visible Pride-marketing brand that formally renounced DEI in writing to win FCC deal approvals in July 2025.</t>
        </is>
      </c>
      <c r="C4" s="52" t="inlineStr">
        <is>
          <t>Years of Pride branding and event sponsorship; funded LGBTQ+ ERG; CEI 100 as recently as 2024.</t>
        </is>
      </c>
      <c r="D4" s="52" t="inlineStr">
        <is>
          <t>July 2025 letter to FCC chairman Brendan Carr ending all DEI programs 'not just in name, but in substance,' removing DEI references from websites and trainings, while awaiting approval of its $4.4B UScellular transaction and Metronet JV — both approved that month (Deadline, Fortune).</t>
        </is>
      </c>
      <c r="E4" s="52" t="inlineStr">
        <is>
          <t>The July 2025 written renunciation of DEI as the explicit price of regulatory approval.</t>
        </is>
      </c>
      <c r="F4" s="52" t="inlineStr">
        <is>
          <t>Sharp Reversal</t>
        </is>
      </c>
      <c r="G4" s="51" t="inlineStr">
        <is>
          <t>High</t>
        </is>
      </c>
    </row>
    <row r="5" ht="15" customHeight="1" s="42">
      <c r="A5" s="65">
        <f>Company_Master!A4</f>
        <v/>
      </c>
      <c r="B5" s="59" t="inlineStr">
        <is>
          <t>A decades-long Pride sponsor that pulled its marquee SF Pride backing within weeks of an FCC investigation into its DEI practices.</t>
        </is>
      </c>
      <c r="C5" s="59" t="inlineStr">
        <is>
          <t>Long-time San Francisco Pride corporate sponsor; Pride programming on Xfinity platforms; funded LGBTQ+ ERG; CEI 100 history; retained some smaller California Pride sponsorships (Silicon Valley, Oakland) in 2025.</t>
        </is>
      </c>
      <c r="D5" s="59" t="inlineStr">
        <is>
          <t>Withdrew SF Pride sponsorship in March 2025, one of five major sponsors to cut ties (~$200-300K total) (NPR); the pullback followed the FCC's February 2025 investigation into Comcast's DEI programs; declined to explain the withdrawal publicly (Advocate/NBC). Campaign-finance records additionally document contributions to anti-LGBTQ+ politicians/committees (see Political_Donations sheet; Data for Progress 2019-22 / Popular Information 2022-24).</t>
        </is>
      </c>
      <c r="E5" s="59" t="inlineStr">
        <is>
          <t>Dropping its highest-visibility Pride commitment precisely when federal scrutiny arrived.</t>
        </is>
      </c>
      <c r="F5" s="59" t="inlineStr">
        <is>
          <t>Declining</t>
        </is>
      </c>
      <c r="G5" s="58" t="inlineStr">
        <is>
          <t>High</t>
        </is>
      </c>
    </row>
    <row r="6" ht="15" customHeight="1" s="42">
      <c r="A6" s="66">
        <f>Company_Master!A5</f>
        <v/>
      </c>
      <c r="B6" s="52" t="inlineStr">
        <is>
          <t>A telecom that largely never engaged: minimal Pride presence, minimal retreat.</t>
        </is>
      </c>
      <c r="C6" s="52" t="inlineStr">
        <is>
          <t>Basic workplace nondiscrimination policy covering sexual orientation and gender identity; occasional local community engagement.</t>
        </is>
      </c>
      <c r="D6" s="52" t="inlineStr">
        <is>
          <t>No meaningful public LGBTQ+ support to credit: no significant Pride sponsorship record, no CEI participation in recent cycles, and language around its 2025 Cox merger emphasized 'merit-based' employment in line with FCC expectations. Campaign-finance records additionally document contributions to anti-LGBTQ+ politicians/committees (see Political_Donations sheet; Data for Progress 2019-22 / Popular Information 2022-24).</t>
        </is>
      </c>
      <c r="E6" s="52" t="inlineStr">
        <is>
          <t>Absence of engagement — Charter scores near baseline because it never built commitments to keep or break.</t>
        </is>
      </c>
      <c r="F6" s="52" t="inlineStr">
        <is>
          <t>Stable</t>
        </is>
      </c>
      <c r="G6" s="51" t="inlineStr">
        <is>
          <t>Med</t>
        </is>
      </c>
    </row>
    <row r="7" ht="15" customHeight="1" s="42">
      <c r="A7" s="65">
        <f>Company_Master!A6</f>
        <v/>
      </c>
      <c r="B7" s="59" t="inlineStr">
        <is>
          <t>A sustained, structural ally that publicly held its DEI position through the 2025 backlash.</t>
        </is>
      </c>
      <c r="C7" s="59" t="inlineStr">
        <is>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is>
      </c>
      <c r="D7" s="59" t="inlineStr">
        <is>
          <t>Operates in countries that criminalize homosexuality without comparable advocacy there — a limit on, though not a reversal of, its commitments. No post-2025 retreat documented.</t>
        </is>
      </c>
      <c r="E7" s="59" t="inlineStr">
        <is>
          <t>Holding the line in February 2025: Apple urged shareholders to reject the anti-DEI proposal while peers capitulated preemptively.</t>
        </is>
      </c>
      <c r="F7" s="59" t="inlineStr">
        <is>
          <t>Stable</t>
        </is>
      </c>
      <c r="G7" s="58" t="inlineStr">
        <is>
          <t>High</t>
        </is>
      </c>
    </row>
    <row r="8" ht="15" customHeight="1" s="42">
      <c r="A8" s="66">
        <f>Company_Master!A7</f>
        <v/>
      </c>
      <c r="B8" s="52" t="inlineStr">
        <is>
          <t>A formerly loud ally that quietly dismantled the public scaffolding of its support while keeping internal benefits.</t>
        </is>
      </c>
      <c r="C8" s="52" t="inlineStr">
        <is>
          <t>Two decades of SF Pride sponsorship and employee contingents; funded LGBTQ+ ERGs; early adopter of trans-inclusive healthcare (2011-era gold standard); CEI 100 streak.</t>
        </is>
      </c>
      <c r="D8" s="52" t="inlineStr">
        <is>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is>
      </c>
      <c r="E8" s="52" t="inlineStr">
        <is>
          <t>The February 2025 decision to end diversity hiring targets under federal pressure — the pivot from advocacy to compliance.</t>
        </is>
      </c>
      <c r="F8" s="52" t="inlineStr">
        <is>
          <t>Declining</t>
        </is>
      </c>
      <c r="G8" s="51" t="inlineStr">
        <is>
          <t>High</t>
        </is>
      </c>
    </row>
    <row r="9" ht="15" customHeight="1" s="42">
      <c r="A9" s="65">
        <f>Company_Master!A8</f>
        <v/>
      </c>
      <c r="B9" s="59" t="inlineStr">
        <is>
          <t>Preemptive capitulation: Meta dismantled DEI and rewrote its rules to permit anti-LGBTQ+ abuse before Trump took office.</t>
        </is>
      </c>
      <c r="C9" s="59" t="inlineStr">
        <is>
          <t>Years of rainbow branding and Pride features across Facebook/Instagram; funded LGBTQ+ ERG; trans-inclusive benefits; CEI 100 history.</t>
        </is>
      </c>
      <c r="D9" s="59" t="inlineStr">
        <is>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is>
      </c>
      <c r="E9" s="59" t="inlineStr">
        <is>
          <t>The January 2025 hate-speech carve-out — Meta didn't just retreat from support, it re-engineered its platform rules in ways that target LGBTQ+ users.</t>
        </is>
      </c>
      <c r="F9" s="59" t="inlineStr">
        <is>
          <t>Sharp Reversal</t>
        </is>
      </c>
      <c r="G9" s="58" t="inlineStr">
        <is>
          <t>High</t>
        </is>
      </c>
    </row>
    <row r="10" ht="15" customHeight="1" s="42">
      <c r="A10" s="66">
        <f>Company_Master!A9</f>
        <v/>
      </c>
      <c r="B10" s="52" t="inlineStr">
        <is>
          <t>A steady structural ally that kept its commitments intact through the backlash years.</t>
        </is>
      </c>
      <c r="C10" s="52" t="inlineStr">
        <is>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is>
      </c>
      <c r="D10" s="52" t="inlineStr">
        <is>
          <t>Laid off an internal DEI team in July 2024 citing 'changing business needs' (Business Insider memo) — a warning sign, though public commitments and the inclusion report continued.</t>
        </is>
      </c>
      <c r="E10" s="52" t="inlineStr">
        <is>
          <t>Continuity: while peers scrubbed pages and quit the CEI, Microsoft kept reporting and kept its programs.</t>
        </is>
      </c>
      <c r="F10" s="52" t="inlineStr">
        <is>
          <t>Stable</t>
        </is>
      </c>
      <c r="G10" s="51" t="inlineStr">
        <is>
          <t>High</t>
        </is>
      </c>
    </row>
    <row r="11" ht="15" customHeight="1" s="42">
      <c r="A11" s="65">
        <f>Company_Master!A10</f>
        <v/>
      </c>
      <c r="B11" s="59" t="inlineStr">
        <is>
          <t>Quietly deleted its public LGBTQ+ commitments while keeping the commercial trappings of Pride.</t>
        </is>
      </c>
      <c r="C11" s="59" t="inlineStr">
        <is>
          <t>Funded glamazon ERG (one of Amazon's oldest); years of Pride merchandise storefronts and rainbow branding; historically strong trans-inclusive benefits and CEI 100 scores.</t>
        </is>
      </c>
      <c r="D11" s="59" t="inlineStr">
        <is>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 Campaign-finance records additionally document contributions to anti-LGBTQ+ politicians/committees (see Political_Donations sheet; Data for Progress 2019-22 / Popular Information 2022-24).</t>
        </is>
      </c>
      <c r="E11" s="59" t="inlineStr">
        <is>
          <t>Erasing the word 'transgender' from its public positions — a targeted scrubbing of the most vulnerable group while Pride merch stayed on sale.</t>
        </is>
      </c>
      <c r="F11" s="59" t="inlineStr">
        <is>
          <t>Declining</t>
        </is>
      </c>
      <c r="G11" s="58" t="inlineStr">
        <is>
          <t>High</t>
        </is>
      </c>
    </row>
    <row r="12" ht="15" customHeight="1" s="42">
      <c r="A12" s="66">
        <f>Company_Master!A11</f>
        <v/>
      </c>
      <c r="B12" s="52" t="inlineStr">
        <is>
          <t>The self-styled 'Equality' company kept its people programs but sanded the public edges off its commitments.</t>
        </is>
      </c>
      <c r="C12" s="52" t="inlineStr">
        <is>
          <t>Marc Benioff led corporate fights against Indiana's RFRA (2015) and Georgia's anti-LGBTQ+ bills — landmark vocal CEO advocacy; funded Outforce ERG; strong trans-inclusive benefits; 'Equality' as a stated core value for a decade; CEI 100.</t>
        </is>
      </c>
      <c r="D12" s="52" t="inlineStr">
        <is>
          <t>March 2025 annual filing dropped diversity-as-core-value language, hiring/representation goals, and exec-comp diversity ties (SF Examiner, TechRepublic) — reframing equality as legal compliance.</t>
        </is>
      </c>
      <c r="E12" s="52" t="inlineStr">
        <is>
          <t>The March 2025 10-K rewrite: values that defined the brand were quietly edited out under political pressure, though programs largely persist.</t>
        </is>
      </c>
      <c r="F12" s="52" t="inlineStr">
        <is>
          <t>Declining</t>
        </is>
      </c>
      <c r="G12" s="51" t="inlineStr">
        <is>
          <t>High</t>
        </is>
      </c>
    </row>
    <row r="13" ht="15" customHeight="1" s="42">
      <c r="A13" s="65">
        <f>Company_Master!A12</f>
        <v/>
      </c>
      <c r="B13" s="59" t="inlineStr">
        <is>
          <t>Forty years of pioneering inclusion infrastructure dismantled in a single 2025 restructuring.</t>
        </is>
      </c>
      <c r="C13" s="59" t="inlineStr">
        <is>
          <t>Sexual orientation in nondiscrimination policy since 1984; early adopter of trans-inclusive health benefits; EAGLE ERG; 2020 Lifetime Achievement recognition of trans computing pioneer Lynn Conway; long CEI 100 streak.</t>
        </is>
      </c>
      <c r="D13" s="59" t="inlineStr">
        <is>
          <t>April 2025 internal memo ended the DEI department and Diversity Council, dropped exec-comp diversity ties and de-raced its supplier diversity program (hr-brew); change publicized by anti-DEI activist Robby Starbuck, indicating pressure-driven timing.</t>
        </is>
      </c>
      <c r="E13" s="59" t="inlineStr">
        <is>
          <t>The April 2025 dismantling — IBM didn't trim language, it removed the institutional machinery of four decades of inclusion.</t>
        </is>
      </c>
      <c r="F13" s="59" t="inlineStr">
        <is>
          <t>Sharp Reversal</t>
        </is>
      </c>
      <c r="G13" s="58" t="inlineStr">
        <is>
          <t>High</t>
        </is>
      </c>
    </row>
    <row r="14" ht="15" customHeight="1" s="42">
      <c r="A14" s="66">
        <f>Company_Master!A13</f>
        <v/>
      </c>
      <c r="B14" s="52" t="inlineStr">
        <is>
          <t>Near-baseline by design: Oracle never built a public LGBTQ+ commitment, so it had nothing to walk back.</t>
        </is>
      </c>
      <c r="C14" s="52" t="inlineStr">
        <is>
          <t>Maintains a culture-and-inclusion careers page and an internal LGBTQ+ employee network; occasional Pride Month posts.</t>
        </is>
      </c>
      <c r="D14" s="52" t="inlineStr">
        <is>
          <t>No documented Pride event sponsorships, LGBTQ+ donations, or executive advocacy; not a recent CEI participant; founder/CTO is a prominent backer of the current administration, and the company has stayed conspicuously silent on anti-LGBTQ+ policy.</t>
        </is>
      </c>
      <c r="E14" s="52" t="inlineStr">
        <is>
          <t>A thin record: minimal support, minimal retreat.</t>
        </is>
      </c>
      <c r="F14" s="52" t="inlineStr">
        <is>
          <t>Stable</t>
        </is>
      </c>
      <c r="G14" s="51" t="inlineStr">
        <is>
          <t>Low</t>
        </is>
      </c>
    </row>
    <row r="15" ht="15" customHeight="1" s="42">
      <c r="A15" s="65">
        <f>Company_Master!A14</f>
        <v/>
      </c>
      <c r="B15" s="59" t="inlineStr">
        <is>
          <t>A quiet capitulator: solid inclusion record trimmed back once the pressure campaign reached it.</t>
        </is>
      </c>
      <c r="C15" s="59" t="inlineStr">
        <is>
          <t>Years of CEI 100 ratings; funded Pride ERG; inclusive benefits; Pride Month engagement.</t>
        </is>
      </c>
      <c r="D15" s="59" t="inlineStr">
        <is>
          <t>Rolled back DEI commitments and diversity goals during the 2024-25 corporate retreat wave (tracked in industry DEI-rollback reporting); reduced public DEI language and reporting.</t>
        </is>
      </c>
      <c r="E15" s="59" t="inlineStr">
        <is>
          <t>Choosing the rollback path during 2025 rather than the hold-firm path taken by Apple and Microsoft.</t>
        </is>
      </c>
      <c r="F15" s="59" t="inlineStr">
        <is>
          <t>Declining</t>
        </is>
      </c>
      <c r="G15" s="58" t="inlineStr">
        <is>
          <t>Med</t>
        </is>
      </c>
    </row>
    <row r="16" ht="15" customHeight="1" s="42">
      <c r="A16" s="66">
        <f>Company_Master!A15</f>
        <v/>
      </c>
      <c r="B16" s="52" t="inlineStr">
        <is>
          <t>A quiet keeper: HP maintained its inclusion infrastructure without loud marketing or any documented retreat.</t>
        </is>
      </c>
      <c r="C16" s="52" t="inlineStr">
        <is>
          <t>Long CEI 100 record; funded LGBTQ+ ERG (Pride Business Impact Network); early Silicon Valley adopter of domestic-partner benefits; inclusive policies retained through 2025.</t>
        </is>
      </c>
      <c r="D16" s="52" t="inlineStr">
        <is>
          <t>Limited public-facing Pride investment relative to peers; modest visibility means modest civic credit.</t>
        </is>
      </c>
      <c r="E16" s="52" t="inlineStr">
        <is>
          <t>Consistency without retreat — absent from every major 2025 rollback list.</t>
        </is>
      </c>
      <c r="F16" s="52" t="inlineStr">
        <is>
          <t>Stable</t>
        </is>
      </c>
      <c r="G16" s="51" t="inlineStr">
        <is>
          <t>Med</t>
        </is>
      </c>
    </row>
    <row r="17" ht="15" customHeight="1" s="42">
      <c r="A17" s="65">
        <f>Company_Master!A16</f>
        <v/>
      </c>
      <c r="B17" s="59" t="inlineStr">
        <is>
          <t>America's largest retailer dismantled its LGBTQ+ commitments wholesale under activist pressure in late 2024, then kept retreating.</t>
        </is>
      </c>
      <c r="C17" s="59" t="inlineStr">
        <is>
          <t>Years of Pride merchandise, rainbow branding, a funded PRIDE ERG, and Pride event sponsorships including Stonewall Columbus.</t>
        </is>
      </c>
      <c r="D17" s="59" t="inlineStr">
        <is>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 Campaign-finance records additionally document contributions to anti-LGBTQ+ politicians/committees (see Political_Donations sheet; Data for Progress 2019-22 / Popular Information 2022-24).</t>
        </is>
      </c>
      <c r="E17" s="59" t="inlineStr">
        <is>
          <t>The November 2024 capitulation to a pressure campaign — done preemptively, before any government mandate existed.</t>
        </is>
      </c>
      <c r="F17" s="59" t="inlineStr">
        <is>
          <t>Sharp Reversal</t>
        </is>
      </c>
      <c r="G17" s="58" t="inlineStr">
        <is>
          <t>High</t>
        </is>
      </c>
    </row>
    <row r="18" ht="15" customHeight="1" s="42">
      <c r="A18" s="66">
        <f>Company_Master!A17</f>
        <v/>
      </c>
      <c r="B18" s="52" t="inlineStr">
        <is>
          <t>The defining retail reversal: a decade of loud Pride allyship abandoned in stages — 2023 merch pullback, 2025 DEI termination, then anonymous-only sponsorship.</t>
        </is>
      </c>
      <c r="C18" s="52" t="inlineStr">
        <is>
          <t>A decade-plus of major Pride collections with queer designers, longtime Twin Cities Pride sponsorship, NYC Pride Platinum ($175K-level) sponsorship, and CEI 100 scores.</t>
        </is>
      </c>
      <c r="D18" s="52" t="inlineStr">
        <is>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is>
      </c>
      <c r="E18" s="52" t="inlineStr">
        <is>
          <t>The January 2025 DEI termination — coming after the 2023 capitulation, it confirmed a pattern: Target supports Pride only when it is free.</t>
        </is>
      </c>
      <c r="F18" s="52" t="inlineStr">
        <is>
          <t>Sharp Reversal</t>
        </is>
      </c>
      <c r="G18" s="51" t="inlineStr">
        <is>
          <t>High</t>
        </is>
      </c>
    </row>
    <row r="19" ht="15" customHeight="1" s="42">
      <c r="A19" s="65">
        <f>Company_Master!A18</f>
        <v/>
      </c>
      <c r="B19" s="59" t="inlineStr">
        <is>
          <t>Quiet structural ally that publicly defended its diversity commitments when directly attacked — the inverse of rainbow capitalism.</t>
        </is>
      </c>
      <c r="C19" s="59" t="inlineStr">
        <is>
          <t>Board unanimously recommended against the NCPPR anti-DEI proposal and 98%+ of shareholders rejected it (Jan 2025, CBS); inclusive nondiscrimination policy and benefits; DEI commitments maintained through the backlash.</t>
        </is>
      </c>
      <c r="D19" s="59" t="inlineStr">
        <is>
          <t>Minimal Pride-specific visibility: no significant Pride merchandising, sponsorships or campaigns — support is structural rather than community-facing.</t>
        </is>
      </c>
      <c r="E19" s="59" t="inlineStr">
        <is>
          <t>The January 2025 board statement and 98% shareholder vote — a deliberate public defense of inclusion when retreat was the easy path.</t>
        </is>
      </c>
      <c r="F19" s="59" t="inlineStr">
        <is>
          <t>Stable</t>
        </is>
      </c>
      <c r="G19" s="58" t="inlineStr">
        <is>
          <t>High</t>
        </is>
      </c>
    </row>
    <row r="20" ht="15" customHeight="1" s="42">
      <c r="A20" s="66">
        <f>Company_Master!A19</f>
        <v/>
      </c>
      <c r="B20" s="52" t="inlineStr">
        <is>
          <t>A bystander: Home Depot never invested in public LGBTQ+ support, so the backlash era required nothing of it.</t>
        </is>
      </c>
      <c r="C20" s="52" t="inlineStr">
        <is>
          <t>Standard nondiscrimination policy including sexual orientation and gender identity; occasional local ERG activity.</t>
        </is>
      </c>
      <c r="D20" s="52" t="inlineStr">
        <is>
          <t>No meaningful Pride sponsorships, campaigns, donations or executive advocacy on record; not a recent CEI participant.</t>
        </is>
      </c>
      <c r="E20" s="52" t="inlineStr">
        <is>
          <t>Non-engagement — the score sits near baseline for lack of evidence either way.</t>
        </is>
      </c>
      <c r="F20" s="52" t="inlineStr">
        <is>
          <t>Stable</t>
        </is>
      </c>
      <c r="G20" s="51" t="inlineStr">
        <is>
          <t>Low</t>
        </is>
      </c>
    </row>
    <row r="21" ht="15" customHeight="1" s="42">
      <c r="A21" s="65">
        <f>Company_Master!A20</f>
        <v/>
      </c>
      <c r="B21" s="59" t="inlineStr">
        <is>
          <t>An early and complete capitulator to the 2024 anti-DEI pressure campaign, formally penalized by HRC.</t>
        </is>
      </c>
      <c r="C21" s="59" t="inlineStr">
        <is>
          <t>Previous CEI 100 scores, a funded LGBTQ+ ERG, and Pride event sponsorships including Stonewall Columbus.</t>
        </is>
      </c>
      <c r="D21" s="59" t="inlineStr">
        <is>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is>
      </c>
      <c r="E21" s="59" t="inlineStr">
        <is>
          <t>The August 2024 preemptive surrender — before any legal or regulatory pressure existed.</t>
        </is>
      </c>
      <c r="F21" s="59" t="inlineStr">
        <is>
          <t>Sharp Reversal</t>
        </is>
      </c>
      <c r="G21" s="58" t="inlineStr">
        <is>
          <t>High</t>
        </is>
      </c>
    </row>
    <row r="22" ht="15" customHeight="1" s="42">
      <c r="A22" s="66">
        <f>Company_Master!A21</f>
        <v/>
      </c>
      <c r="B22" s="52" t="inlineStr">
        <is>
          <t>Held most of its commitments while quietly retiring the measurable targets — a hedge, not a retreat.</t>
        </is>
      </c>
      <c r="C22" s="52" t="inlineStr">
        <is>
          <t>Funded LGBTQ+ ERG; CEI 100 record; inclusive benefits; DEI web commitments reaffirmed as of January 2025 (Buildremote tracking).</t>
        </is>
      </c>
      <c r="D22" s="52" t="inlineStr">
        <is>
          <t>Dropped specific measurable diversity goals from its 2024 corporate report that had appeared in 2023 — a step away from public accountability, though programs and policy language remain.</t>
        </is>
      </c>
      <c r="E22" s="52" t="inlineStr">
        <is>
          <t>Maintaining its commitments through 2025 while peers reversed — tempered by reduced transparency.</t>
        </is>
      </c>
      <c r="F22" s="52" t="inlineStr">
        <is>
          <t>Stable</t>
        </is>
      </c>
      <c r="G22" s="51" t="inlineStr">
        <is>
          <t>Med</t>
        </is>
      </c>
    </row>
    <row r="23" ht="15" customHeight="1" s="42">
      <c r="A23" s="65">
        <f>Company_Master!A22</f>
        <v/>
      </c>
      <c r="B23" s="59" t="inlineStr">
        <is>
          <t>A long-running commercial ally whose support dimmed in the backlash years but never flipped to retreat — and resurfaced in 2026.</t>
        </is>
      </c>
      <c r="C23" s="59" t="inlineStr">
        <is>
          <t>BETRUE collection ran annually 2012-2023 with collaborations with LGBTQ+ athletes and creators and donations to LGBTQ+ sport organizations; currently offering the 'Love Unites' Pride collection (June 2026, Advocate); CEI 100 record.</t>
        </is>
      </c>
      <c r="D23" s="59" t="inlineStr">
        <is>
          <t>Pride visibility dropped sharply in 2024-2025 with no flagship collection at the height of the backlash — a quiet fade rather than a stated reversal.</t>
        </is>
      </c>
      <c r="E23" s="59" t="inlineStr">
        <is>
          <t>Continuity of commercial support across 14 years, including a 2026 return while peers stayed dark.</t>
        </is>
      </c>
      <c r="F23" s="59" t="inlineStr">
        <is>
          <t>Stable</t>
        </is>
      </c>
      <c r="G23" s="58" t="inlineStr">
        <is>
          <t>Med</t>
        </is>
      </c>
    </row>
    <row r="24" ht="15" customHeight="1" s="42">
      <c r="A24" s="66">
        <f>Company_Master!A23</f>
        <v/>
      </c>
      <c r="B24" s="52" t="inlineStr">
        <is>
          <t>A sustained commercial-plus-financial ally that increased support while the industry retreated.</t>
        </is>
      </c>
      <c r="C24" s="52" t="inlineStr">
        <is>
          <t>2026 Pride collection with a $400,000 donation to The Trevor Project (Advocate, June 2026); multi-year Trevor Project partnership predating the backlash; gender-inclusive product lines; CEI 100 record.</t>
        </is>
      </c>
      <c r="D24" s="52" t="inlineStr">
        <is>
          <t>No significant negatives documented; support is concentrated in Pride-season commerce and philanthropy rather than civic sponsorship.</t>
        </is>
      </c>
      <c r="E24" s="52" t="inlineStr">
        <is>
          <t>Raising its Trevor Project commitment to $400K in 2026 — expanding support precisely when retreat was the norm.</t>
        </is>
      </c>
      <c r="F24" s="52" t="inlineStr">
        <is>
          <t>Improving</t>
        </is>
      </c>
      <c r="G24" s="51" t="inlineStr">
        <is>
          <t>High</t>
        </is>
      </c>
    </row>
    <row r="25" ht="15" customHeight="1" s="42">
      <c r="A25" s="65">
        <f>Company_Master!A24</f>
        <v/>
      </c>
      <c r="B25" s="59" t="inlineStr">
        <is>
          <t>A consistent commercial ally whose Pride program survived the backlash intact.</t>
        </is>
      </c>
      <c r="C25" s="59" t="inlineStr">
        <is>
          <t>Pride collection ('The Pride Shop') running since the late 2010s with proceeds benefiting It Gets Better; $150,000 donation to It Gets Better in 2026 (Advocate); CEI-verified inclusive policies.</t>
        </is>
      </c>
      <c r="D25" s="59" t="inlineStr">
        <is>
          <t>Support is largely commercial/Pride-season; limited documented civic sponsorship or structural advocacy beyond retail programs.</t>
        </is>
      </c>
      <c r="E25" s="59" t="inlineStr">
        <is>
          <t>Maintaining and funding its Pride program in 2026 while larger retailers went silent.</t>
        </is>
      </c>
      <c r="F25" s="59" t="inlineStr">
        <is>
          <t>Stable</t>
        </is>
      </c>
      <c r="G25" s="58" t="inlineStr">
        <is>
          <t>High</t>
        </is>
      </c>
    </row>
    <row r="26" ht="15" customHeight="1" s="42">
      <c r="A26" s="66">
        <f>Company_Master!A25</f>
        <v/>
      </c>
      <c r="B26" s="52" t="inlineStr">
        <is>
          <t>Quietly present: brand-level Pride commerce continued through 2026 without corporate-level noise in either direction.</t>
        </is>
      </c>
      <c r="C26" s="52" t="inlineStr">
        <is>
          <t>Old Navy 2026 Pride collection featuring LGBTQ+ historical figures and family/kids' items (Advocate, June 2026); prior Gap/Old Navy Pride collections; CEI-rated inclusive policies.</t>
        </is>
      </c>
      <c r="D26" s="52" t="inlineStr">
        <is>
          <t>Low corporate visibility: no major sponsorships, donations or executive advocacy documented; no CEI 2026 participation confirmed.</t>
        </is>
      </c>
      <c r="E26" s="52" t="inlineStr">
        <is>
          <t>Continuing visible Pride retail — including children's items — in June 2026.</t>
        </is>
      </c>
      <c r="F26" s="52" t="inlineStr">
        <is>
          <t>Stable</t>
        </is>
      </c>
      <c r="G26" s="51" t="inlineStr">
        <is>
          <t>Med</t>
        </is>
      </c>
    </row>
    <row r="27" ht="15" customHeight="1" s="42">
      <c r="A27" s="65">
        <f>Company_Master!A26</f>
        <v/>
      </c>
      <c r="B27" s="59" t="inlineStr">
        <is>
          <t>A global commercial ally: recurring Pride collections tied to UN Free &amp; Equal donations, without deep US civic engagement.</t>
        </is>
      </c>
      <c r="C27" s="59" t="inlineStr">
        <is>
          <t>Pride apparel collections since 2018 with 10% of sales donated to the UN Free &amp; Equal campaign; global Pride marketing.</t>
        </is>
      </c>
      <c r="D27" s="59" t="inlineStr">
        <is>
          <t>Support is primarily commercial and seasonal; H&amp;M sells in markets that criminalize homosexuality without comparable advocacy there, and its Pride supply chain drew criticism in 2018.</t>
        </is>
      </c>
      <c r="E27" s="59" t="inlineStr">
        <is>
          <t>Sustained commercial support with a real donation mechanism, but limited structural depth.</t>
        </is>
      </c>
      <c r="F27" s="59" t="inlineStr">
        <is>
          <t>Stable</t>
        </is>
      </c>
      <c r="G27" s="58" t="inlineStr">
        <is>
          <t>Med</t>
        </is>
      </c>
    </row>
    <row r="28" ht="15" customHeight="1" s="42">
      <c r="A28" s="66">
        <f>Company_Master!A27</f>
        <v/>
      </c>
      <c r="B28" s="52" t="inlineStr">
        <is>
          <t>A blank: extensive search found no documented LGBTQ+ support or opposition.</t>
        </is>
      </c>
      <c r="C28" s="52" t="inlineStr">
        <is>
          <t>None documented.</t>
        </is>
      </c>
      <c r="D28" s="52" t="inlineStr">
        <is>
          <t>None documented — the absence of any engagement is itself the finding for a brand of this visibility.</t>
        </is>
      </c>
      <c r="E28" s="52" t="inlineStr">
        <is>
          <t>No evidence either way; baseline score by default.</t>
        </is>
      </c>
      <c r="F28" s="52" t="inlineStr">
        <is>
          <t>Stable</t>
        </is>
      </c>
      <c r="G28" s="51" t="inlineStr">
        <is>
          <t>Low</t>
        </is>
      </c>
    </row>
    <row r="29" ht="15" customHeight="1" s="42">
      <c r="A29" s="65">
        <f>Company_Master!A28</f>
        <v/>
      </c>
      <c r="B29" s="59" t="inlineStr">
        <is>
          <t>A steady, understated ally anchored in its recurring Polo Pride program.</t>
        </is>
      </c>
      <c r="C29" s="59" t="inlineStr">
        <is>
          <t>Polo Pride capsule collections (2019 onward) with donations to LGBTQ+ organizations including the Stonewall Community Foundation; CEI 100 record; inclusive marketing featuring LGBTQ+ models and families.</t>
        </is>
      </c>
      <c r="D29" s="59" t="inlineStr">
        <is>
          <t>Limited civic sponsorship footprint; engagement is primarily brand-led and seasonal.</t>
        </is>
      </c>
      <c r="E29" s="59" t="inlineStr">
        <is>
          <t>Program continuity — the Pride capsule and giving survived the backlash period.</t>
        </is>
      </c>
      <c r="F29" s="59" t="inlineStr">
        <is>
          <t>Stable</t>
        </is>
      </c>
      <c r="G29" s="58" t="inlineStr">
        <is>
          <t>Med</t>
        </is>
      </c>
    </row>
    <row r="30" ht="15" customHeight="1" s="42">
      <c r="A30" s="66">
        <f>Company_Master!A29</f>
        <v/>
      </c>
      <c r="B30" s="52" t="inlineStr">
        <is>
          <t>A generational ally: structural commitments dating to 1992, annual funding, and undiminished Pride programming through 2026.</t>
        </is>
      </c>
      <c r="C30" s="52" t="inlineStr">
        <is>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is>
      </c>
      <c r="D30" s="52" t="inlineStr">
        <is>
          <t>No significant negatives documented in the modern era.</t>
        </is>
      </c>
      <c r="E30" s="52" t="inlineStr">
        <is>
          <t>Thirty-plus years of structural, financial and commercial support that never wavered under pressure — the index's benchmark for consistency.</t>
        </is>
      </c>
      <c r="F30" s="52" t="inlineStr">
        <is>
          <t>Stable</t>
        </is>
      </c>
      <c r="G30" s="51" t="inlineStr">
        <is>
          <t>High</t>
        </is>
      </c>
    </row>
    <row r="31" ht="15" customHeight="1" s="42">
      <c r="A31" s="65">
        <f>Company_Master!A30</f>
        <v/>
      </c>
      <c r="B31" s="59" t="inlineStr">
        <is>
          <t>A brand-led commercial ally: CK and Tommy Pride campaigns recur annually atop CEI-verified inclusive policies.</t>
        </is>
      </c>
      <c r="C31" s="59" t="inlineStr">
        <is>
          <t>Calvin Klein 'This Is Love' Pride collections and campaigns featuring LGBTQ+ talent; Tommy Hilfiger Pride capsules; CEI 100 record with inclusive benefits.</t>
        </is>
      </c>
      <c r="D31" s="59" t="inlineStr">
        <is>
          <t>Engagement is mostly brand marketing; reduced Pride visibility since 2024 and no confirmed CEI 2026 participation.</t>
        </is>
      </c>
      <c r="E31" s="59" t="inlineStr">
        <is>
          <t>Recurring multi-brand Pride programming without retreat.</t>
        </is>
      </c>
      <c r="F31" s="59" t="inlineStr">
        <is>
          <t>Stable</t>
        </is>
      </c>
      <c r="G31" s="58" t="inlineStr">
        <is>
          <t>Med</t>
        </is>
      </c>
    </row>
    <row r="32" ht="15" customHeight="1" s="42">
      <c r="A32" s="66">
        <f>Company_Master!A31</f>
        <v/>
      </c>
      <c r="B32" s="52" t="inlineStr">
        <is>
          <t>A structural ally that absorbed pressure with adjustments rather than retreat.</t>
        </is>
      </c>
      <c r="C32" s="52" t="inlineStr">
        <is>
          <t>Industry-landmark gender-affirming healthcare benefits expanded in 2018 beyond WPATH baselines; funded Pride Alliance ERG; annual Pride merchandise and branding; diversity goals (30% corporate / 40% retail-manufacturing) explicitly retained in 2025; long CEI 100 record.</t>
        </is>
      </c>
      <c r="D32" s="52" t="inlineStr">
        <is>
          <t>March 2025: shareholders approved replacing the 7.5% DEI-linked executive bonus with a general workforce metric under conservative pressure (Seattle Times); 2023 union allegations that some stores restricted Pride decorations (company denied a policy change).</t>
        </is>
      </c>
      <c r="E32" s="52" t="inlineStr">
        <is>
          <t>Retaining its diversity goals and benefits while making only cosmetic concessions — substance survived the backlash.</t>
        </is>
      </c>
      <c r="F32" s="52" t="inlineStr">
        <is>
          <t>Stable</t>
        </is>
      </c>
      <c r="G32" s="51" t="inlineStr">
        <is>
          <t>High</t>
        </is>
      </c>
    </row>
    <row r="33" ht="15" customHeight="1" s="42">
      <c r="A33" s="65">
        <f>Company_Master!A32</f>
        <v/>
      </c>
      <c r="B33" s="59" t="inlineStr">
        <is>
          <t>An early-January 2025 capitulator that ended its diversity architecture before the new administration asked.</t>
        </is>
      </c>
      <c r="C33" s="59" t="inlineStr">
        <is>
          <t>Years of Pride branding and statements; funded PRIDE Network ERG; previous CEI 100 scores; local franchise Pride event participation.</t>
        </is>
      </c>
      <c r="D33" s="59" t="inlineStr">
        <is>
          <t>Jan 2025: ended aspirational representation goals, retired supplier diversity targets, and paused participation in external surveys including HRC's CEI (CBS News); rebranded diversity team as 'Global Inclusion.'</t>
        </is>
      </c>
      <c r="E33" s="59" t="inlineStr">
        <is>
          <t>Pausing CEI participation and scrapping goals within days of the inauguration — a preemptive political retreat.</t>
        </is>
      </c>
      <c r="F33" s="59" t="inlineStr">
        <is>
          <t>Sharp Reversal</t>
        </is>
      </c>
      <c r="G33" s="58" t="inlineStr">
        <is>
          <t>High</t>
        </is>
      </c>
    </row>
    <row r="34" ht="15" customHeight="1" s="42">
      <c r="A34" s="66">
        <f>Company_Master!A33</f>
        <v/>
      </c>
      <c r="B34" s="52" t="inlineStr">
        <is>
          <t>A consistent non-supporter with a documented history of funding organizations opposed to LGBTQ+ equality.</t>
        </is>
      </c>
      <c r="C34" s="52" t="inlineStr">
        <is>
          <t>None documented — no Pride engagement, inclusive-policy advocacy, or LGBTQ+ giving at any point.</t>
        </is>
      </c>
      <c r="D34" s="52" t="inlineStr">
        <is>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is>
      </c>
      <c r="E34" s="52" t="inlineStr">
        <is>
          <t>Its giving history — the company funded the opposition, which no subsequent quiet period erases without affirmative repair.</t>
        </is>
      </c>
      <c r="F34" s="52" t="inlineStr">
        <is>
          <t>Stable</t>
        </is>
      </c>
      <c r="G34" s="51" t="inlineStr">
        <is>
          <t>High</t>
        </is>
      </c>
    </row>
    <row r="35" ht="15" customHeight="1" s="42">
      <c r="A35" s="65">
        <f>Company_Master!A34</f>
        <v/>
      </c>
      <c r="B35" s="59" t="inlineStr">
        <is>
          <t>A non-participant: no documented support, no documented opposition.</t>
        </is>
      </c>
      <c r="C35" s="59" t="inlineStr">
        <is>
          <t>None documented beyond standard nondiscrimination employment language.</t>
        </is>
      </c>
      <c r="D35" s="59" t="inlineStr">
        <is>
          <t>None documented.</t>
        </is>
      </c>
      <c r="E35" s="59" t="inlineStr">
        <is>
          <t>Absence of engagement keeps Subway at baseline.</t>
        </is>
      </c>
      <c r="F35" s="59" t="inlineStr">
        <is>
          <t>Stable</t>
        </is>
      </c>
      <c r="G35" s="58" t="inlineStr">
        <is>
          <t>Low</t>
        </is>
      </c>
    </row>
    <row r="36" ht="15" customHeight="1" s="42">
      <c r="A36" s="66">
        <f>Company_Master!A35</f>
        <v/>
      </c>
      <c r="B36" s="52" t="inlineStr">
        <is>
          <t>A holder: Coca-Cola publicly reaffirmed inclusion while its beverage rival retreated.</t>
        </is>
      </c>
      <c r="C36" s="52" t="inlineStr">
        <is>
          <t>Reaffirmed DEI efforts in 2025 as PepsiCo cut goals (12News/AP); shareholders rejected an anti-DEI proposal (CNN); longtime Atlanta Pride sponsor; funded LGBTQ+ ERG; CEI 100 record; 10-K names an inclusive culture as a business imperative.</t>
        </is>
      </c>
      <c r="D36" s="52" t="inlineStr">
        <is>
          <t>Past criticism over sponsorship of events in anti-LGBTQ+ jurisdictions (2014 Sochi Olympics era) — outside the current window; Pride visibility modest relative to its scale.</t>
        </is>
      </c>
      <c r="E36" s="52" t="inlineStr">
        <is>
          <t>Choosing public reaffirmation in 2025 when the path of least resistance was silence.</t>
        </is>
      </c>
      <c r="F36" s="52" t="inlineStr">
        <is>
          <t>Stable</t>
        </is>
      </c>
      <c r="G36" s="51" t="inlineStr">
        <is>
          <t>High</t>
        </is>
      </c>
    </row>
    <row r="37" ht="15" customHeight="1" s="42">
      <c r="A37" s="65">
        <f>Company_Master!A36</f>
        <v/>
      </c>
      <c r="B37" s="59" t="inlineStr">
        <is>
          <t>A longtime Pride sponsor that cut both its internal goals and its public sponsorship within months.</t>
        </is>
      </c>
      <c r="C37" s="59" t="inlineStr">
        <is>
          <t>Years of NYC Pride sponsorship as a top donor; funded EQUAL LGBTQ+ ERG; previous CEI 100 scores; Pride-themed marketing history.</t>
        </is>
      </c>
      <c r="D37" s="59" t="inlineStr">
        <is>
          <t>Feb 2025: ended DEI representation goals and restructured DEI leadership (12News/AP); withdrew or scaled back NYC Pride sponsorship for 2025 after years as a leading donor (NBC News, Advocate).</t>
        </is>
      </c>
      <c r="E37" s="59" t="inlineStr">
        <is>
          <t>Pairing the internal goal termination with the visible withdrawal from NYC Pride — retreat in both substance and symbol.</t>
        </is>
      </c>
      <c r="F37" s="59" t="inlineStr">
        <is>
          <t>Sharp Reversal</t>
        </is>
      </c>
      <c r="G37" s="58" t="inlineStr">
        <is>
          <t>High</t>
        </is>
      </c>
    </row>
    <row r="38" ht="15" customHeight="1" s="42">
      <c r="A38" s="66">
        <f>Company_Master!A37</f>
        <v/>
      </c>
      <c r="B38" s="52" t="inlineStr">
        <is>
          <t>Courted the community for marketing, then abandoned a trans partner and three decades of Pride sponsorship the moment it cost something.</t>
        </is>
      </c>
      <c r="C38" s="52" t="inlineStr">
        <is>
          <t>Decades of Pride sponsorships including ~30 years backing St. Louis Pride; rainbow Bud Light merchandise history; the 2023 Mulvaney partnership itself was a visible trans-inclusive commercial act.</t>
        </is>
      </c>
      <c r="D38" s="52" t="inlineStr">
        <is>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 Campaign-finance records additionally document contributions to anti-LGBTQ+ politicians/committees (see Political_Donations sheet; Data for Progress 2019-22 / Popular Information 2022-24).</t>
        </is>
      </c>
      <c r="E38" s="52" t="inlineStr">
        <is>
          <t>The Mulvaney abandonment — a reversal so public it became the template for 'allyship until it's inconvenient.'</t>
        </is>
      </c>
      <c r="F38" s="52" t="inlineStr">
        <is>
          <t>Sharp Reversal</t>
        </is>
      </c>
      <c r="G38" s="51" t="inlineStr">
        <is>
          <t>High</t>
        </is>
      </c>
    </row>
    <row r="39" ht="15" customHeight="1" s="42">
      <c r="A39" s="65">
        <f>Company_Master!A38</f>
        <v/>
      </c>
      <c r="B39" s="59" t="inlineStr">
        <is>
          <t>A quiet legacy-friendly grocer whose public posture is now subsumed — and diluted — by its parent.</t>
        </is>
      </c>
      <c r="C39" s="59" t="inlineStr">
        <is>
          <t>Early adopter of domestic-partner benefits among US grocers; local-store Pride participation; inclusive employment policies.</t>
        </is>
      </c>
      <c r="D39" s="59" t="inlineStr">
        <is>
          <t>No distinct corporate Pride program; parent Amazon removed 'LGBTQ+ rights' and 'transgender' references from its public positions in 2025, covering Whole Foods policy posture.</t>
        </is>
      </c>
      <c r="E39" s="59" t="inlineStr">
        <is>
          <t>Local friendliness without corporate commitment, under a parent in retreat.</t>
        </is>
      </c>
      <c r="F39" s="59" t="inlineStr">
        <is>
          <t>Stable</t>
        </is>
      </c>
      <c r="G39" s="58" t="inlineStr">
        <is>
          <t>Low</t>
        </is>
      </c>
    </row>
    <row r="40" ht="15" customHeight="1" s="42">
      <c r="A40" s="66">
        <f>Company_Master!A39</f>
        <v/>
      </c>
      <c r="B40" s="52" t="inlineStr">
        <is>
          <t>A non-participant in the Pride economy: nothing to credit, nothing to penalize.</t>
        </is>
      </c>
      <c r="C40" s="52" t="inlineStr">
        <is>
          <t>None documented beyond standard employment policy.</t>
        </is>
      </c>
      <c r="D40" s="52" t="inlineStr">
        <is>
          <t>None documented.</t>
        </is>
      </c>
      <c r="E40" s="52" t="inlineStr">
        <is>
          <t>Absence of engagement; baseline score.</t>
        </is>
      </c>
      <c r="F40" s="52" t="inlineStr">
        <is>
          <t>Stable</t>
        </is>
      </c>
      <c r="G40" s="51" t="inlineStr">
        <is>
          <t>Low</t>
        </is>
      </c>
    </row>
    <row r="41" ht="15" customHeight="1" s="42">
      <c r="A41" s="65">
        <f>Company_Master!A40</f>
        <v/>
      </c>
      <c r="B41" s="59" t="inlineStr">
        <is>
          <t>Held the substance, traded a word: JPMorgan kept its LGBTQ+ programs while renaming the umbrella under pressure.</t>
        </is>
      </c>
      <c r="C41" s="59" t="inlineStr">
        <is>
          <t>Funded PRIDE business resource group; comprehensive trans-inclusive benefits; 20+ years of CEI 100 ratings; CEO Jamie Dimon publicly affirmed in 2025 that outreach to LGBT communities continues: 'We're not changing that' (Banking Dive).</t>
        </is>
      </c>
      <c r="D41" s="59" t="inlineStr">
        <is>
          <t>March 2025 rename from 'Diversity, Equity &amp; Inclusion' to 'Diversity, Opportunity &amp; Inclusion,' folding some programs into other units — a symbolic concession to the political climate.</t>
        </is>
      </c>
      <c r="E41" s="59" t="inlineStr">
        <is>
          <t>Dimon's explicit public refusal to abandon LGBT outreach while peer CEOs went quiet.</t>
        </is>
      </c>
      <c r="F41" s="59" t="inlineStr">
        <is>
          <t>Stable</t>
        </is>
      </c>
      <c r="G41" s="58" t="inlineStr">
        <is>
          <t>High</t>
        </is>
      </c>
    </row>
    <row r="42" ht="15" customHeight="1" s="42">
      <c r="A42" s="66">
        <f>Company_Master!A41</f>
        <v/>
      </c>
      <c r="B42" s="52" t="inlineStr">
        <is>
          <t>A quiet retreat in paper and language while internal programs partially persist.</t>
        </is>
      </c>
      <c r="C42" s="52" t="inlineStr">
        <is>
          <t>Funded LGBTQ+ Pride ERG; comprehensive inclusive benefits; long CEI 100 record; major Pride sponsorships historically (e.g., Charlotte Pride).</t>
        </is>
      </c>
      <c r="D42" s="52" t="inlineStr">
        <is>
          <t>Early 2025: removed diversity language from its annual report, rebranded DEI as 'talent and opportunity,' and rolled back diverse-slate hiring practices alongside Goldman and Wells Fargo (Banking Dive, Fortune).</t>
        </is>
      </c>
      <c r="E42" s="52" t="inlineStr">
        <is>
          <t>Choosing linguistic erasure in federal filings — a signal to Washington at the community's expense.</t>
        </is>
      </c>
      <c r="F42" s="52" t="inlineStr">
        <is>
          <t>Declining</t>
        </is>
      </c>
      <c r="G42" s="51" t="inlineStr">
        <is>
          <t>Med</t>
        </is>
      </c>
    </row>
    <row r="43" ht="15" customHeight="1" s="42">
      <c r="A43" s="65">
        <f>Company_Master!A42</f>
        <v/>
      </c>
      <c r="B43" s="59" t="inlineStr">
        <is>
          <t>From pioneer to follower: decades of LGBTQ+ marketing ended in a compliance-driven trim.</t>
        </is>
      </c>
      <c r="C43" s="59" t="inlineStr">
        <is>
          <t>Among the first major US banks to advertise directly to LGBTQ+ customers (1990s onward); funded PRIDE ERG; inclusive benefits; long CEI 100 record.</t>
        </is>
      </c>
      <c r="D43" s="59" t="inlineStr">
        <is>
          <t>2025: dropped its diverse-slate hiring requirement and scaled back DEI programs and language alongside Goldman and BofA (Banking Dive). Campaign-finance records additionally document contributions to anti-LGBTQ+ politicians/committees (see Political_Donations sheet; Data for Progress 2019-22 / Popular Information 2022-24).</t>
        </is>
      </c>
      <c r="E43" s="59" t="inlineStr">
        <is>
          <t>Abandoning the diverse-slate policy — a concrete practice, not just vocabulary.</t>
        </is>
      </c>
      <c r="F43" s="59" t="inlineStr">
        <is>
          <t>Declining</t>
        </is>
      </c>
      <c r="G43" s="58" t="inlineStr">
        <is>
          <t>Med</t>
        </is>
      </c>
    </row>
    <row r="44" ht="15" customHeight="1" s="42">
      <c r="A44" s="66">
        <f>Company_Master!A43</f>
        <v/>
      </c>
      <c r="B44" s="52" t="inlineStr">
        <is>
          <t>A swift, comprehensive de-DEI-ing of public commitments by a bank whose shareholders showed no appetite for it.</t>
        </is>
      </c>
      <c r="C44" s="52" t="inlineStr">
        <is>
          <t>Funded LGBTQ+ network; inclusive benefits; CEI 100 record; shareholders rejected an anti-DEI proposal in 2025.</t>
        </is>
      </c>
      <c r="D44" s="52" t="inlineStr">
        <is>
          <t>Feb 2025: erased diversity goals set in 2022, ended diverse-slate requirements, abandoned its requirement that IPO clients have diverse boards, and removed 'Racial Equity'/'When Women Lead' pages from its website following Trump's DEI executive order (Fortune).</t>
        </is>
      </c>
      <c r="E44" s="52" t="inlineStr">
        <is>
          <t>The breadth of the February 2025 erasure — targets, slates, the IPO rule and the web pages all at once.</t>
        </is>
      </c>
      <c r="F44" s="52" t="inlineStr">
        <is>
          <t>Sharp Reversal</t>
        </is>
      </c>
      <c r="G44" s="51" t="inlineStr">
        <is>
          <t>High</t>
        </is>
      </c>
    </row>
    <row r="45" ht="15" customHeight="1" s="42">
      <c r="A45" s="65">
        <f>Company_Master!A44</f>
        <v/>
      </c>
      <c r="B45" s="59" t="inlineStr">
        <is>
          <t>A partial retreat: governance-level DEI commitments removed while employee-facing programs continue.</t>
        </is>
      </c>
      <c r="C45" s="59" t="inlineStr">
        <is>
          <t>Funded PRIDE employee network; inclusive benefits; CEI 100 record; prior $3B DEI spending commitment through 2025.</t>
        </is>
      </c>
      <c r="D45" s="59" t="inlineStr">
        <is>
          <t>2025: removed DEI criteria from its board selection process following investor pressure (Simply Wall St/proxy materials); pared public diversity language in filings.</t>
        </is>
      </c>
      <c r="E45" s="59" t="inlineStr">
        <is>
          <t>Walking back board-level commitments — the layer that signals institutional permanence.</t>
        </is>
      </c>
      <c r="F45" s="59" t="inlineStr">
        <is>
          <t>Declining</t>
        </is>
      </c>
      <c r="G45" s="58" t="inlineStr">
        <is>
          <t>Med</t>
        </is>
      </c>
    </row>
    <row r="46" ht="15" customHeight="1" s="42">
      <c r="A46" s="66">
        <f>Company_Master!A45</f>
        <v/>
      </c>
      <c r="B46" s="52" t="inlineStr">
        <is>
          <t>A low-noise holder: no retreat documented, modest visible investment.</t>
        </is>
      </c>
      <c r="C46" s="52" t="inlineStr">
        <is>
          <t>Shareholders rejected an anti-DEI proposal in 2025 (Uprise RI/CNN reporting on proxy season); funded LGBTQ+ ERG; CEI 100 record; Pride sponsorship history in its hometown Bay Area.</t>
        </is>
      </c>
      <c r="D46" s="52" t="inlineStr">
        <is>
          <t>Limited public Pride visibility in 2025-26; no confirmed CEI 2026 participation.</t>
        </is>
      </c>
      <c r="E46" s="52" t="inlineStr">
        <is>
          <t>Continuity without retreat in a sector that broadly retreated.</t>
        </is>
      </c>
      <c r="F46" s="52" t="inlineStr">
        <is>
          <t>Stable</t>
        </is>
      </c>
      <c r="G46" s="51" t="inlineStr">
        <is>
          <t>Med</t>
        </is>
      </c>
    </row>
    <row r="47" ht="15" customHeight="1" s="42">
      <c r="A47" s="65">
        <f>Company_Master!A46</f>
        <v/>
      </c>
      <c r="B47" s="59" t="inlineStr">
        <is>
          <t>Genuine product-level innovation for the community, undercut by a visible sponsorship retreat at the worst moment.</t>
        </is>
      </c>
      <c r="C47" s="59" t="inlineStr">
        <is>
          <t>True Name initiative (2019) letting trans and nonbinary customers use their chosen name on cards — concrete, year-round product inclusion; years of NYC Pride Platinum sponsorship; 2026: increased Pride spending and ~100 employees/executives marching (Bloomberg).</t>
        </is>
      </c>
      <c r="D47" s="59" t="inlineStr">
        <is>
          <t>2025: withdrew its NYC Pride Platinum-level ($175K) sponsorship after several years, while still participating in the march (Advocate, NYT).</t>
        </is>
      </c>
      <c r="E47" s="59" t="inlineStr">
        <is>
          <t>The 2025 Platinum withdrawal — quiet de-funding while keeping the photo op; partially reversed by renewed 2026 spending.</t>
        </is>
      </c>
      <c r="F47" s="59" t="inlineStr">
        <is>
          <t>Improving</t>
        </is>
      </c>
      <c r="G47" s="58" t="inlineStr">
        <is>
          <t>High</t>
        </is>
      </c>
    </row>
    <row r="48" ht="15" customHeight="1" s="42">
      <c r="A48" s="66">
        <f>Company_Master!A47</f>
        <v/>
      </c>
      <c r="B48" s="52" t="inlineStr">
        <is>
          <t>A low-engagement firm with little to credit and little to penalize.</t>
        </is>
      </c>
      <c r="C48" s="52" t="inlineStr">
        <is>
          <t>Standard inclusive employment policies; occasional internal inclusion programming.</t>
        </is>
      </c>
      <c r="D48" s="52" t="inlineStr">
        <is>
          <t>No meaningful Pride sponsorships, donations, or advocacy documented; reduced DEI visibility in 2025 consistent with sector trend but without a documented formal rollback.</t>
        </is>
      </c>
      <c r="E48" s="52" t="inlineStr">
        <is>
          <t>Thin record on both sides keeps Schwab near baseline.</t>
        </is>
      </c>
      <c r="F48" s="52" t="inlineStr">
        <is>
          <t>Stable</t>
        </is>
      </c>
      <c r="G48" s="51" t="inlineStr">
        <is>
          <t>Low</t>
        </is>
      </c>
    </row>
    <row r="49" ht="15" customHeight="1" s="42">
      <c r="A49" s="65">
        <f>Company_Master!A48</f>
        <v/>
      </c>
      <c r="B49" s="59" t="inlineStr">
        <is>
          <t>A double retreat — internal goals dropped in February, public Pride support pared by June.</t>
        </is>
      </c>
      <c r="C49" s="59" t="inlineStr">
        <is>
          <t>Funded Pride ERG; inclusive benefits; long CEI 100 record; years of NYC Pride sponsorship.</t>
        </is>
      </c>
      <c r="D49" s="59" t="inlineStr">
        <is>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is>
      </c>
      <c r="E49" s="59" t="inlineStr">
        <is>
          <t>Pairing the internal dismantling with the visible Pride pullback in the same year.</t>
        </is>
      </c>
      <c r="F49" s="59" t="inlineStr">
        <is>
          <t>Sharp Reversal</t>
        </is>
      </c>
      <c r="G49" s="58" t="inlineStr">
        <is>
          <t>High</t>
        </is>
      </c>
    </row>
    <row r="50" ht="15" customHeight="1" s="42">
      <c r="A50" s="66">
        <f>Company_Master!A49</f>
        <v/>
      </c>
      <c r="B50" s="52" t="inlineStr">
        <is>
          <t>The most conflicted record in media: substantial ongoing programs shadowed by repeated capitulations when politics got expensive.</t>
        </is>
      </c>
      <c r="C50" s="52" t="inlineStr">
        <is>
          <t>Annual Disney Pride Collection merchandise; Disneyland Pride Nite events; funded LGBTQ+ ERGs; comprehensive inclusive benefits; decades of CEI 100 scores.</t>
        </is>
      </c>
      <c r="D50" s="52" t="inlineStr">
        <is>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is>
      </c>
      <c r="E50" s="52" t="inlineStr">
        <is>
          <t>The pattern: each retreat (2022 silence, 2024 content cut, 2025 DEI rollback) came under political pressure, revealing commitments that bend at exactly the wrong moments.</t>
        </is>
      </c>
      <c r="F50" s="52" t="inlineStr">
        <is>
          <t>Declining</t>
        </is>
      </c>
      <c r="G50" s="51" t="inlineStr">
        <is>
          <t>High</t>
        </is>
      </c>
    </row>
    <row r="51" ht="15" customHeight="1" s="42">
      <c r="A51" s="65">
        <f>Company_Master!A50</f>
        <v/>
      </c>
      <c r="B51" s="59" t="inlineStr">
        <is>
          <t>A content-led ally whose programming does more for visibility than most sponsorships — minus the Chappelle precedent.</t>
        </is>
      </c>
      <c r="C51" s="59" t="inlineStr">
        <is>
          <t>Sustained slate of LGBTQ+ programming and queer-creator partnerships; funded inclusive policies and benefits; CEI 100 record; no DEI retreat documented through 2025-26.</t>
        </is>
      </c>
      <c r="D51" s="59" t="inlineStr">
        <is>
          <t>2021: leadership defended Dave Chappelle's 'The Closer' over GLAAD criticism and a trans employee walkout, and the walkout organizer was fired — a precedent of choosing star talent over trans staff.</t>
        </is>
      </c>
      <c r="E51" s="59" t="inlineStr">
        <is>
          <t>Programming consistency through the backlash era, with no post-2025 retreat.</t>
        </is>
      </c>
      <c r="F51" s="59" t="inlineStr">
        <is>
          <t>Stable</t>
        </is>
      </c>
      <c r="G51" s="58" t="inlineStr">
        <is>
          <t>Med</t>
        </is>
      </c>
    </row>
    <row r="52" ht="15" customHeight="1" s="42">
      <c r="A52" s="66">
        <f>Company_Master!A51</f>
        <v/>
      </c>
      <c r="B52" s="52" t="inlineStr">
        <is>
          <t>Content-forward, corporately quiet: the programming carries the record.</t>
        </is>
      </c>
      <c r="C52" s="52" t="inlineStr">
        <is>
          <t>HBO/Max queer programming legacy incl. 'We're Here' and inclusive prestige series; CEI-verified inclusive policies; Pride content collections on Max.</t>
        </is>
      </c>
      <c r="D52" s="52" t="inlineStr">
        <is>
          <t>Low corporate Pride engagement; DEI visibility declined in 2025 industry-wide without a documented formal WBD rollback.</t>
        </is>
      </c>
      <c r="E52" s="52" t="inlineStr">
        <is>
          <t>Programming continuity in lieu of corporate visibility.</t>
        </is>
      </c>
      <c r="F52" s="52" t="inlineStr">
        <is>
          <t>Stable</t>
        </is>
      </c>
      <c r="G52" s="51" t="inlineStr">
        <is>
          <t>Low</t>
        </is>
      </c>
    </row>
    <row r="53" ht="15" customHeight="1" s="42">
      <c r="A53" s="65">
        <f>Company_Master!A52</f>
        <v/>
      </c>
      <c r="B53" s="59" t="inlineStr">
        <is>
          <t>An editorially committed subsidiary under a retreating parent.</t>
        </is>
      </c>
      <c r="C53" s="59" t="inlineStr">
        <is>
          <t>NBC Out dedicated LGBTQ+ news desk; funded OUT@NBCUniversal ERG; inclusive benefits via Comcast NBCU policies; queer-inclusive programming (Bravo et al.).</t>
        </is>
      </c>
      <c r="D53" s="59" t="inlineStr">
        <is>
          <t>Parent Comcast withdrew SF Pride sponsorship in 2025 and was targeted by the FCC's February 2025 DEI investigation; NBCU's own DEI page visibility was reduced.</t>
        </is>
      </c>
      <c r="E53" s="59" t="inlineStr">
        <is>
          <t>Editorial commitment (NBC Out) holding while the corporate environment tightens.</t>
        </is>
      </c>
      <c r="F53" s="59" t="inlineStr">
        <is>
          <t>Stable</t>
        </is>
      </c>
      <c r="G53" s="58" t="inlineStr">
        <is>
          <t>Med</t>
        </is>
      </c>
    </row>
    <row r="54" ht="15" customHeight="1" s="42">
      <c r="A54" s="66">
        <f>Company_Master!A53</f>
        <v/>
      </c>
      <c r="B54" s="52" t="inlineStr">
        <is>
          <t>A queer-legacy media house that traded its DEI commitments for merger clearance.</t>
        </is>
      </c>
      <c r="C54" s="52" t="inlineStr">
        <is>
          <t>Decades of LGBTQ+ programming legacy (MTV, Logo TV); funded ERGs; CEI 100 record; inclusive benefits.</t>
        </is>
      </c>
      <c r="D54" s="52" t="inlineStr">
        <is>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is>
      </c>
      <c r="E54" s="52" t="inlineStr">
        <is>
          <t>Capitulating during merger review — regulatory leverage converted decades of inclusion identity into a bargaining chip.</t>
        </is>
      </c>
      <c r="F54" s="52" t="inlineStr">
        <is>
          <t>Sharp Reversal</t>
        </is>
      </c>
      <c r="G54" s="51" t="inlineStr">
        <is>
          <t>High</t>
        </is>
      </c>
    </row>
    <row r="55" ht="15" customHeight="1" s="42">
      <c r="A55" s="65">
        <f>Company_Master!A54</f>
        <v/>
      </c>
      <c r="B55" s="59" t="inlineStr">
        <is>
          <t>Rainbow playlists with a Rogan-sized asterisk.</t>
        </is>
      </c>
      <c r="C55" s="59" t="inlineStr">
        <is>
          <t>Annual Pride hubs, playlists and queer-artist editorial campaigns; GLAAD-recognized content features.</t>
        </is>
      </c>
      <c r="D55" s="59" t="inlineStr">
        <is>
          <t>Continues to bankroll and platform programming criticized by GLAAD for anti-trans content (Joe Rogan deal); LGBTQ+ engagement is largely confined to June marketing — branding without proportional structural commitment.</t>
        </is>
      </c>
      <c r="E55" s="59" t="inlineStr">
        <is>
          <t>The mismatch between Pride-month marketing and year-round platform choices.</t>
        </is>
      </c>
      <c r="F55" s="59" t="inlineStr">
        <is>
          <t>Stable</t>
        </is>
      </c>
      <c r="G55" s="58" t="inlineStr">
        <is>
          <t>Med</t>
        </is>
      </c>
    </row>
    <row r="56" ht="15" customHeight="1" s="42">
      <c r="A56" s="66">
        <f>Company_Master!A55</f>
        <v/>
      </c>
      <c r="B56" s="52" t="inlineStr">
        <is>
          <t>Commercially adjacent to Pride through live events, without deep documented policy commitments.</t>
        </is>
      </c>
      <c r="C56" s="52" t="inlineStr">
        <is>
          <t>Pride-season concert programming and event sponsorships; promotion of LGBTQ+ artists' tours.</t>
        </is>
      </c>
      <c r="D56" s="52" t="inlineStr">
        <is>
          <t>Minimal corporate policy disclosure; no CEI participation; engagement tracks revenue opportunity.</t>
        </is>
      </c>
      <c r="E56" s="52" t="inlineStr">
        <is>
          <t>Event-driven support without structural depth.</t>
        </is>
      </c>
      <c r="F56" s="52" t="inlineStr">
        <is>
          <t>Stable</t>
        </is>
      </c>
      <c r="G56" s="51" t="inlineStr">
        <is>
          <t>Low</t>
        </is>
      </c>
    </row>
    <row r="57" ht="15" customHeight="1" s="42">
      <c r="A57" s="65">
        <f>Company_Master!A56</f>
        <v/>
      </c>
      <c r="B57" s="59" t="inlineStr">
        <is>
          <t>A filings-level retreat atop a moderate inclusion record.</t>
        </is>
      </c>
      <c r="C57" s="59" t="inlineStr">
        <is>
          <t>Funded GM PLUS LGBTQ+ ERG; CEI 100 record; inclusive benefits; periodic Pride engagement (Motor City Pride participation).</t>
        </is>
      </c>
      <c r="D57" s="59" t="inlineStr">
        <is>
          <t>Removed DEI language from its annual report in early 2025 amid the federal-contractor climate, joining the documented industry pattern of scrubbing diversity from filings. Campaign-finance records additionally document contributions to anti-LGBTQ+ politicians/committees (see Political_Donations sheet; Data for Progress 2019-22 / Popular Information 2022-24).</t>
        </is>
      </c>
      <c r="E57" s="59" t="inlineStr">
        <is>
          <t>Quiet linguistic retreat without programmatic noise — a hedge that still signals to Washington.</t>
        </is>
      </c>
      <c r="F57" s="59" t="inlineStr">
        <is>
          <t>Declining</t>
        </is>
      </c>
      <c r="G57" s="58" t="inlineStr">
        <is>
          <t>Med</t>
        </is>
      </c>
    </row>
    <row r="58" ht="15" customHeight="1" s="42">
      <c r="A58" s="66">
        <f>Company_Master!A57</f>
        <v/>
      </c>
      <c r="B58" s="52" t="inlineStr">
        <is>
          <t>An early capitulator: two decades of CEI leadership abandoned by memo in August 2024.</t>
        </is>
      </c>
      <c r="C58" s="52" t="inlineStr">
        <is>
          <t>Ford GLOBE, among the earliest auto-industry LGBTQ+ ERGs; 20+ years of CEI 100 scores; Motor City Pride sponsorship history; inclusive benefits.</t>
        </is>
      </c>
      <c r="D58" s="52" t="inlineStr">
        <is>
          <t>Aug 2024: CEO memo ended CEI participation and external culture-survey engagement after the Robby Starbuck pressure campaign; HRC docked Ford 25 points as one of seven companies penalized for abandoning inclusion commitments (HRC press release).</t>
        </is>
      </c>
      <c r="E58" s="52" t="inlineStr">
        <is>
          <t>Quitting the CEI after 20+ years — a deliberate, public exit from accountability, made before any government pressure existed.</t>
        </is>
      </c>
      <c r="F58" s="52" t="inlineStr">
        <is>
          <t>Sharp Reversal</t>
        </is>
      </c>
      <c r="G58" s="51" t="inlineStr">
        <is>
          <t>High</t>
        </is>
      </c>
    </row>
    <row r="59" ht="15" customHeight="1" s="42">
      <c r="A59" s="65">
        <f>Company_Master!A58</f>
        <v/>
      </c>
      <c r="B59" s="59" t="inlineStr">
        <is>
          <t>Hostile-adjacent by leadership: no support record, an early DEI scrub, and a CEO whose anti-trans rhetoric shapes brand perception.</t>
        </is>
      </c>
      <c r="C59" s="59" t="inlineStr">
        <is>
          <t>None documented — no Pride engagement, donations or CEI participation.</t>
        </is>
      </c>
      <c r="D59" s="59" t="inlineStr">
        <is>
          <t>Scrubbed all DEI mentions from its 10-K (first major to do so, 2024); CEO Elon Musk has repeatedly amplified anti-trans rhetoric, declared 'cisgender' a slur on X, and funded political efforts that ran anti-trans advertising; only one diversity report ever published (2020).</t>
        </is>
      </c>
      <c r="E59" s="59" t="inlineStr">
        <is>
          <t>Leadership tone plus the early filings scrub: Tesla didn't follow the retreat — it led it.</t>
        </is>
      </c>
      <c r="F59" s="59" t="inlineStr">
        <is>
          <t>Declining</t>
        </is>
      </c>
      <c r="G59" s="58" t="inlineStr">
        <is>
          <t>High</t>
        </is>
      </c>
    </row>
    <row r="60" ht="15" customHeight="1" s="42">
      <c r="A60" s="66">
        <f>Company_Master!A59</f>
        <v/>
      </c>
      <c r="B60" s="52" t="inlineStr">
        <is>
          <t>A pre-inauguration reversal: Toyota cut its LGBTQ+ event sponsorships and CEI participation the moment the pressure campaign turned its way.</t>
        </is>
      </c>
      <c r="C60" s="52" t="inlineStr">
        <is>
          <t>Years of CEI 100 scores; Pride event sponsorships in multiple US markets; funded LGBTQ+ ERG (Spectrum); inclusive benefits.</t>
        </is>
      </c>
      <c r="D60" s="52" t="inlineStr">
        <is>
          <t>Oct 2024 memo: ended sponsorship of LGBTQ+ community events including Pride, withdrew from HRC CEI participation, and refocused ERGs — a direct response to the Robby Starbuck campaign (widely reported; company confirmed). Campaign-finance records additionally document contributions to anti-LGBTQ+ politicians/committees (see Political_Donations sheet; Data for Progress 2019-22 / Popular Information 2022-24).</t>
        </is>
      </c>
      <c r="E60" s="52" t="inlineStr">
        <is>
          <t>Explicitly naming LGBTQ+ event sponsorships as the thing being cut — rare candor about whom the retreat targets.</t>
        </is>
      </c>
      <c r="F60" s="52" t="inlineStr">
        <is>
          <t>Sharp Reversal</t>
        </is>
      </c>
      <c r="G60" s="51" t="inlineStr">
        <is>
          <t>High</t>
        </is>
      </c>
    </row>
    <row r="61" ht="15" customHeight="1" s="42">
      <c r="A61" s="65">
        <f>Company_Master!A60</f>
        <v/>
      </c>
      <c r="B61" s="59" t="inlineStr">
        <is>
          <t>A low-visibility holder — no retreat documented, modest engagement.</t>
        </is>
      </c>
      <c r="C61" s="59" t="inlineStr">
        <is>
          <t>CEI 100 record; funded LGBTQ+ ERG; inclusive benefits; occasional Pride engagement.</t>
        </is>
      </c>
      <c r="D61" s="59" t="inlineStr">
        <is>
          <t>Minimal public Pride investment; no major sponsorships or donations documented.</t>
        </is>
      </c>
      <c r="E61" s="59" t="inlineStr">
        <is>
          <t>Stability without spectacle; absent from every rollback list.</t>
        </is>
      </c>
      <c r="F61" s="59" t="inlineStr">
        <is>
          <t>Stable</t>
        </is>
      </c>
      <c r="G61" s="58" t="inlineStr">
        <is>
          <t>Med</t>
        </is>
      </c>
    </row>
    <row r="62" ht="15" customHeight="1" s="42">
      <c r="A62" s="66">
        <f>Company_Master!A61</f>
        <v/>
      </c>
      <c r="B62" s="52" t="inlineStr">
        <is>
          <t>Thin engagement either way across its US brands.</t>
        </is>
      </c>
      <c r="C62" s="52" t="inlineStr">
        <is>
          <t>CEI-rated inclusive policies; occasional brand-level Pride gestures (Jeep).</t>
        </is>
      </c>
      <c r="D62" s="52" t="inlineStr">
        <is>
          <t>No significant sponsorships, donations, or advocacy documented; DEI visibility reduced in 2025 industry-wide without a documented formal rollback.</t>
        </is>
      </c>
      <c r="E62" s="52" t="inlineStr">
        <is>
          <t>Sparse evidence keeps the score near baseline.</t>
        </is>
      </c>
      <c r="F62" s="52" t="inlineStr">
        <is>
          <t>Stable</t>
        </is>
      </c>
      <c r="G62" s="51" t="inlineStr">
        <is>
          <t>Low</t>
        </is>
      </c>
    </row>
    <row r="63" ht="15" customHeight="1" s="42">
      <c r="A63" s="65">
        <f>Company_Master!A62</f>
        <v/>
      </c>
      <c r="B63" s="59" t="inlineStr">
        <is>
          <t>Held its inclusion infrastructure without seeking Pride-season attention.</t>
        </is>
      </c>
      <c r="C63" s="59" t="inlineStr">
        <is>
          <t>CEI 100 record; comprehensive inclusive benefits incl. gender-affirming care coverage; PRIDE+ colleague resource group; no documented retreat through 2025-26.</t>
        </is>
      </c>
      <c r="D63" s="59" t="inlineStr">
        <is>
          <t>Modest public Pride engagement; no major sponsorships or donations documented. Campaign-finance records additionally document contributions to anti-LGBTQ+ politicians/committees (see Political_Donations sheet; Data for Progress 2019-22 / Popular Information 2022-24).</t>
        </is>
      </c>
      <c r="E63" s="59" t="inlineStr">
        <is>
          <t>Continuity through the backlash without retreat.</t>
        </is>
      </c>
      <c r="F63" s="59" t="inlineStr">
        <is>
          <t>Stable</t>
        </is>
      </c>
      <c r="G63" s="58" t="inlineStr">
        <is>
          <t>Med</t>
        </is>
      </c>
    </row>
    <row r="64" ht="15" customHeight="1" s="42">
      <c r="A64" s="66">
        <f>Company_Master!A63</f>
        <v/>
      </c>
      <c r="B64" s="52" t="inlineStr">
        <is>
          <t>Quiet and distracted: inclusion policies persist while the business itself retrenches.</t>
        </is>
      </c>
      <c r="C64" s="52" t="inlineStr">
        <is>
          <t>CEI 100 record; inclusive benefits; Pride engagement in prior years.</t>
        </is>
      </c>
      <c r="D64" s="52" t="inlineStr">
        <is>
          <t>Minimal current engagement of any kind; no confirmed CEI 2026 participation.</t>
        </is>
      </c>
      <c r="E64" s="52" t="inlineStr">
        <is>
          <t>No retreat documented — but visibility has faded with the company's broader struggles.</t>
        </is>
      </c>
      <c r="F64" s="52" t="inlineStr">
        <is>
          <t>Stable</t>
        </is>
      </c>
      <c r="G64" s="51" t="inlineStr">
        <is>
          <t>Low</t>
        </is>
      </c>
    </row>
    <row r="65" ht="15" customHeight="1" s="42">
      <c r="A65" s="65">
        <f>Company_Master!A64</f>
        <v/>
      </c>
      <c r="B65" s="59" t="inlineStr">
        <is>
          <t>A steady pharma holder with mild linguistic hedging.</t>
        </is>
      </c>
      <c r="C65" s="59" t="inlineStr">
        <is>
          <t>Open&amp;Out LGBTQ+ ERG; CEI 100 record; comprehensive inclusive benefits; continued inclusion reporting.</t>
        </is>
      </c>
      <c r="D65" s="59" t="inlineStr">
        <is>
          <t>Trimmed some DEI phrasing in 2025 corporate filings consistent with sector practice — language, not programs.</t>
        </is>
      </c>
      <c r="E65" s="59" t="inlineStr">
        <is>
          <t>Program continuity despite quieter packaging.</t>
        </is>
      </c>
      <c r="F65" s="59" t="inlineStr">
        <is>
          <t>Stable</t>
        </is>
      </c>
      <c r="G65" s="58" t="inlineStr">
        <is>
          <t>Med</t>
        </is>
      </c>
    </row>
    <row r="66" ht="15" customHeight="1" s="42">
      <c r="A66" s="66">
        <f>Company_Master!A65</f>
        <v/>
      </c>
      <c r="B66" s="52" t="inlineStr">
        <is>
          <t>Held under fire: a named target of the anti-DEI movement that did not capitulate on LGBTQ+ programs.</t>
        </is>
      </c>
      <c r="C66" s="52" t="inlineStr">
        <is>
          <t>Funded OPEN (Out Pfizer Employee Network) ERG; CEI 100 record; inclusive benefits; named target of anti-DEI pressure groups (Fortune) without documented retreat.</t>
        </is>
      </c>
      <c r="D66" s="52" t="inlineStr">
        <is>
          <t>Reduced DEI prominence in public materials in 2025; engagement is mostly internal rather than community-facing. Campaign-finance records additionally document contributions to anti-LGBTQ+ politicians/committees (see Political_Donations sheet; Data for Progress 2019-22 / Popular Information 2022-24).</t>
        </is>
      </c>
      <c r="E66" s="52" t="inlineStr">
        <is>
          <t>Maintaining programs while being explicitly targeted.</t>
        </is>
      </c>
      <c r="F66" s="52" t="inlineStr">
        <is>
          <t>Stable</t>
        </is>
      </c>
      <c r="G66" s="51" t="inlineStr">
        <is>
          <t>Med</t>
        </is>
      </c>
    </row>
    <row r="67" ht="15" customHeight="1" s="42">
      <c r="A67" s="65">
        <f>Company_Master!A66</f>
        <v/>
      </c>
      <c r="B67" s="59" t="inlineStr">
        <is>
          <t>A website-level erasure: UnitedHealth removed its public DEI presence while keeping plan-level policies.</t>
        </is>
      </c>
      <c r="C67" s="59" t="inlineStr">
        <is>
          <t>CEI 100 record; inclusive employee benefits; prior public DEI commitments and reporting.</t>
        </is>
      </c>
      <c r="D67" s="59" t="inlineStr">
        <is>
          <t>March 2025: removed DEI mentions across its website — several dedicated pages no longer load and a 2022 DEI blog post was deleted (TechCrunch); changes tucked into annual-report risk language (Modern Healthcare). Campaign-finance records additionally document contributions to anti-LGBTQ+ politicians/committees (see Political_Donations sheet; Data for Progress 2019-22 / Popular Information 2022-24).</t>
        </is>
      </c>
      <c r="E67" s="59" t="inlineStr">
        <is>
          <t>The quiet deletion of its public commitments — erasure without announcement.</t>
        </is>
      </c>
      <c r="F67" s="59" t="inlineStr">
        <is>
          <t>Declining</t>
        </is>
      </c>
      <c r="G67" s="58" t="inlineStr">
        <is>
          <t>High</t>
        </is>
      </c>
    </row>
    <row r="68" ht="15" customHeight="1" s="42">
      <c r="A68" s="66">
        <f>Company_Master!A67</f>
        <v/>
      </c>
      <c r="B68" s="52" t="inlineStr">
        <is>
          <t>Quietly rewrote its DEI posture in filings while maintaining clinical inclusion resources.</t>
        </is>
      </c>
      <c r="C68" s="52" t="inlineStr">
        <is>
          <t>CEI 100 record; inclusive benefits; publicly maintained transgender health information and gender-affirmation clinical resources on cigna.com.</t>
        </is>
      </c>
      <c r="D68" s="52" t="inlineStr">
        <is>
          <t>2025 annual report quietly revised DEI strategy language and reframed diversity as a risk topic, part of the insurer pattern documented by Modern Healthcare. Campaign-finance records additionally document contributions to anti-LGBTQ+ politicians/committees (see Political_Donations sheet; Data for Progress 2019-22 / Popular Information 2022-24).</t>
        </is>
      </c>
      <c r="E68" s="52" t="inlineStr">
        <is>
          <t>The filings-level walk-back of previously explicit commitments.</t>
        </is>
      </c>
      <c r="F68" s="52" t="inlineStr">
        <is>
          <t>Declining</t>
        </is>
      </c>
      <c r="G68" s="51" t="inlineStr">
        <is>
          <t>Med</t>
        </is>
      </c>
    </row>
    <row r="69" ht="15" customHeight="1" s="42">
      <c r="A69" s="65">
        <f>Company_Master!A68</f>
        <v/>
      </c>
      <c r="B69" s="59" t="inlineStr">
        <is>
          <t>A filings-level retreat consistent with its sector.</t>
        </is>
      </c>
      <c r="C69" s="59" t="inlineStr">
        <is>
          <t>CEI 100 record; inclusive benefits; prior Pride engagement and ERG support.</t>
        </is>
      </c>
      <c r="D69" s="59" t="inlineStr">
        <is>
          <t>2025 annual report quietly revised DEI strategy and risk language (Modern Healthcare insurer analysis); public DEI visibility reduced.</t>
        </is>
      </c>
      <c r="E69" s="59" t="inlineStr">
        <is>
          <t>Following the insurer pack into quiet retreat.</t>
        </is>
      </c>
      <c r="F69" s="59" t="inlineStr">
        <is>
          <t>Declining</t>
        </is>
      </c>
      <c r="G69" s="58" t="inlineStr">
        <is>
          <t>Med</t>
        </is>
      </c>
    </row>
    <row r="70" ht="15" customHeight="1" s="42">
      <c r="A70" s="66">
        <f>Company_Master!A69</f>
        <v/>
      </c>
      <c r="B70" s="52" t="inlineStr">
        <is>
          <t>Decades of documented resistance, never offset by affirmative support.</t>
        </is>
      </c>
      <c r="C70" s="52" t="inlineStr">
        <is>
          <t>Current nondiscrimination policy covering sexual orientation and gender identity (adopted 2015 under federal contractor requirements); PRIDE employee group now permitted.</t>
        </is>
      </c>
      <c r="D70" s="52" t="inlineStr">
        <is>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is>
      </c>
      <c r="E70" s="52" t="inlineStr">
        <is>
          <t>A through-line of resistance: even its 2015 policy adoption was externally compelled, and the 2022 flag ban reaffirmed the posture.</t>
        </is>
      </c>
      <c r="F70" s="52" t="inlineStr">
        <is>
          <t>Stable</t>
        </is>
      </c>
      <c r="G70" s="51" t="inlineStr">
        <is>
          <t>High</t>
        </is>
      </c>
    </row>
    <row r="71" ht="15" customHeight="1" s="42">
      <c r="A71" s="65">
        <f>Company_Master!A70</f>
        <v/>
      </c>
      <c r="B71" s="59" t="inlineStr">
        <is>
          <t>The rare oil major with a real, sustained internal inclusion record.</t>
        </is>
      </c>
      <c r="C71" s="59" t="inlineStr">
        <is>
          <t>CEI 100 record stretching back two decades; funded PRIDE Chevron ERG; early adopter of domestic-partner benefits among energy majors; inclusive benefits maintained.</t>
        </is>
      </c>
      <c r="D71" s="59" t="inlineStr">
        <is>
          <t>Engagement is almost entirely internal; minimal public Pride or community presence, and operations span jurisdictions hostile to LGBTQ+ people without corresponding advocacy.</t>
        </is>
      </c>
      <c r="E71" s="59" t="inlineStr">
        <is>
          <t>Internal consistency over decades in a sector that mostly never tried.</t>
        </is>
      </c>
      <c r="F71" s="59" t="inlineStr">
        <is>
          <t>Stable</t>
        </is>
      </c>
      <c r="G71" s="58" t="inlineStr">
        <is>
          <t>Med</t>
        </is>
      </c>
    </row>
    <row r="72" ht="15" customHeight="1" s="42">
      <c r="A72" s="66">
        <f>Company_Master!A71</f>
        <v/>
      </c>
      <c r="B72" s="52" t="inlineStr">
        <is>
          <t>A utility outside the Pride economy entirely.</t>
        </is>
      </c>
      <c r="C72" s="52" t="inlineStr">
        <is>
          <t>None documented beyond standard employment policy.</t>
        </is>
      </c>
      <c r="D72" s="52" t="inlineStr">
        <is>
          <t>None documented. Campaign-finance records additionally document contributions to anti-LGBTQ+ politicians/committees (see Political_Donations sheet; Data for Progress 2019-22 / Popular Information 2022-24).</t>
        </is>
      </c>
      <c r="E72" s="52" t="inlineStr">
        <is>
          <t>Absence of engagement; baseline score.</t>
        </is>
      </c>
      <c r="F72" s="52" t="inlineStr">
        <is>
          <t>Stable</t>
        </is>
      </c>
      <c r="G72" s="51" t="inlineStr">
        <is>
          <t>Low</t>
        </is>
      </c>
    </row>
    <row r="73" ht="15" customHeight="1" s="42">
      <c r="A73" s="65">
        <f>Company_Master!A72</f>
        <v/>
      </c>
      <c r="B73" s="59" t="inlineStr">
        <is>
          <t>A Southeast utility with no documented engagement either way.</t>
        </is>
      </c>
      <c r="C73" s="59" t="inlineStr">
        <is>
          <t>None documented beyond standard employment policy.</t>
        </is>
      </c>
      <c r="D73" s="59" t="inlineStr">
        <is>
          <t>None documented.</t>
        </is>
      </c>
      <c r="E73" s="59" t="inlineStr">
        <is>
          <t>Absence of engagement; baseline score.</t>
        </is>
      </c>
      <c r="F73" s="59" t="inlineStr">
        <is>
          <t>Stable</t>
        </is>
      </c>
      <c r="G73" s="58" t="inlineStr">
        <is>
          <t>Low</t>
        </is>
      </c>
    </row>
    <row r="74" ht="15" customHeight="1" s="42">
      <c r="A74" s="66">
        <f>Company_Master!A73</f>
        <v/>
      </c>
      <c r="B74" s="52" t="inlineStr">
        <is>
          <t>A structural and commercial ally that treated the backlash as a non-event.</t>
        </is>
      </c>
      <c r="C74" s="52" t="inlineStr">
        <is>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is>
      </c>
      <c r="D74" s="52" t="inlineStr">
        <is>
          <t>Operates properties in jurisdictions hostile to LGBTQ+ people without comparable advocacy there — the standard global-hotelier asterisk.</t>
        </is>
      </c>
      <c r="E74" s="52" t="inlineStr">
        <is>
          <t>Public reaffirmation in 2025 while peers went quiet, anchored by an 11-year-old dedicated platform.</t>
        </is>
      </c>
      <c r="F74" s="52" t="inlineStr">
        <is>
          <t>Stable</t>
        </is>
      </c>
      <c r="G74" s="51" t="inlineStr">
        <is>
          <t>High</t>
        </is>
      </c>
    </row>
    <row r="75" ht="15" customHeight="1" s="42">
      <c r="A75" s="65">
        <f>Company_Master!A74</f>
        <v/>
      </c>
      <c r="B75" s="59" t="inlineStr">
        <is>
          <t>A holder that kept sponsoring when sponsorship became scarce.</t>
        </is>
      </c>
      <c r="C75" s="59" t="inlineStr">
        <is>
          <t>Supporter of WorldPride 2025 in Washington DC (HR Dive); 'Go Out' LGBTQ+ travel marketing heritage; CEI 100 record; funded ERG.</t>
        </is>
      </c>
      <c r="D75" s="59" t="inlineStr">
        <is>
          <t>Global property footprint includes anti-LGBTQ+ jurisdictions; engagement is lighter than Marriott's flagship platform.</t>
        </is>
      </c>
      <c r="E75" s="59" t="inlineStr">
        <is>
          <t>Visible 2025 sponsorship amid the corporate exodus.</t>
        </is>
      </c>
      <c r="F75" s="59" t="inlineStr">
        <is>
          <t>Stable</t>
        </is>
      </c>
      <c r="G75" s="58" t="inlineStr">
        <is>
          <t>High</t>
        </is>
      </c>
    </row>
    <row r="76" ht="15" customHeight="1" s="42">
      <c r="A76" s="66">
        <f>Company_Master!A75</f>
        <v/>
      </c>
      <c r="B76" s="52" t="inlineStr">
        <is>
          <t>The most visible large-employer holder in American travel: explicit reaffirmation plus continued physical presence at Pride.</t>
        </is>
      </c>
      <c r="C76" s="52" t="inlineStr">
        <is>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is>
      </c>
      <c r="D76" s="52" t="inlineStr">
        <is>
          <t>Faced criticism in past years over specific incidents (e.g., HIV-positive crew policies, since resolved); global route network includes hostile jurisdictions.</t>
        </is>
      </c>
      <c r="E76" s="52" t="inlineStr">
        <is>
          <t>Explicitly reaffirming DEI in January 2025 when peers were issuing retreat memos.</t>
        </is>
      </c>
      <c r="F76" s="52" t="inlineStr">
        <is>
          <t>Stable</t>
        </is>
      </c>
      <c r="G76" s="51" t="inlineStr">
        <is>
          <t>High</t>
        </is>
      </c>
    </row>
    <row r="77" ht="15" customHeight="1" s="42">
      <c r="A77" s="65">
        <f>Company_Master!A76</f>
        <v/>
      </c>
      <c r="B77" s="59" t="inlineStr">
        <is>
          <t>A holder with one of aviation's oldest LGBTQ+ ERGs and a board willing to say no.</t>
        </is>
      </c>
      <c r="C77" s="59" t="inlineStr">
        <is>
          <t>Board recommended against an anti-DEI shareholder proposal in 2025 proxy season (Uprise RI); PRIDE ERG dating to 1994; CEI 100 record; LGBTQ+ sales &amp; marketing heritage (first airline with a dedicated LGBT sales team).</t>
        </is>
      </c>
      <c r="D77" s="59" t="inlineStr">
        <is>
          <t>Lower public Pride visibility than peers in 2025-26; no confirmed CEI 2026 participation.</t>
        </is>
      </c>
      <c r="E77" s="59" t="inlineStr">
        <is>
          <t>Institutional continuity — the ERG and board posture held.</t>
        </is>
      </c>
      <c r="F77" s="59" t="inlineStr">
        <is>
          <t>Stable</t>
        </is>
      </c>
      <c r="G77" s="58" t="inlineStr">
        <is>
          <t>Med</t>
        </is>
      </c>
    </row>
    <row r="78" ht="15" customHeight="1" s="42">
      <c r="A78" s="66">
        <f>Company_Master!A77</f>
        <v/>
      </c>
      <c r="B78" s="52" t="inlineStr">
        <is>
          <t>A steady flyer: kept sponsoring and kept its programs.</t>
        </is>
      </c>
      <c r="C78" s="52" t="inlineStr">
        <is>
          <t>WorldPride 2025 supporter (HR Dive); funded EQUAL/Pride ERG; CEI 100 record; inclusive benefits; trans-inclusive customer policies.</t>
        </is>
      </c>
      <c r="D78" s="52" t="inlineStr">
        <is>
          <t>Less vocal at leadership level than Delta; global network includes hostile jurisdictions.</t>
        </is>
      </c>
      <c r="E78" s="52" t="inlineStr">
        <is>
          <t>2025 sponsorship continuity during the exodus.</t>
        </is>
      </c>
      <c r="F78" s="52" t="inlineStr">
        <is>
          <t>Stable</t>
        </is>
      </c>
      <c r="G78" s="51" t="inlineStr">
        <is>
          <t>High</t>
        </is>
      </c>
    </row>
    <row r="79" ht="15" customHeight="1" s="42">
      <c r="A79" s="65">
        <f>Company_Master!A78</f>
        <v/>
      </c>
      <c r="B79" s="59" t="inlineStr">
        <is>
          <t>Built nondiscrimination into the product itself — rarer and more durable than sponsorship.</t>
        </is>
      </c>
      <c r="C79" s="59" t="inlineStr">
        <is>
          <t>Community Commitment requires every user to agree to nondiscrimination incl. sexual orientation and gender identity; LGBTQ+ travel-safety features for hosts/guests in hostile regions; 'Until We All Belong' marriage-equality campaign (Australia 2017); CEI 100 record; no documented retreat.</t>
        </is>
      </c>
      <c r="D79" s="59" t="inlineStr">
        <is>
          <t>Periodic disputes over listings/policies in hostile jurisdictions; corporate Pride visibility modest in 2025-26.</t>
        </is>
      </c>
      <c r="E79" s="59" t="inlineStr">
        <is>
          <t>Structural product-level commitments that operate year-round, worldwide.</t>
        </is>
      </c>
      <c r="F79" s="59" t="inlineStr">
        <is>
          <t>Stable</t>
        </is>
      </c>
      <c r="G79" s="58" t="inlineStr">
        <is>
          <t>Med</t>
        </is>
      </c>
    </row>
    <row r="80" ht="15" customHeight="1" s="42">
      <c r="A80" s="66">
        <f>Company_Master!A79</f>
        <v/>
      </c>
      <c r="B80" s="52" t="inlineStr">
        <is>
          <t>A quiet inheritor of LGBTQ+ travel-marketing history.</t>
        </is>
      </c>
      <c r="C80" s="52" t="inlineStr">
        <is>
          <t>Orbitz (Expedia brand) pioneered dedicated LGBT travel marketing in the 2000s; CEI-rated inclusive policies; periodic Pride campaigns.</t>
        </is>
      </c>
      <c r="D80" s="52" t="inlineStr">
        <is>
          <t>Low current engagement; no major sponsorships or donations documented recently.</t>
        </is>
      </c>
      <c r="E80" s="52" t="inlineStr">
        <is>
          <t>Legacy and policies without much present-day investment.</t>
        </is>
      </c>
      <c r="F80" s="52" t="inlineStr">
        <is>
          <t>Stable</t>
        </is>
      </c>
      <c r="G80" s="51" t="inlineStr">
        <is>
          <t>Low</t>
        </is>
      </c>
    </row>
    <row r="81" ht="15" customHeight="1" s="42">
      <c r="A81" s="65">
        <f>Company_Master!A80</f>
        <v/>
      </c>
      <c r="B81" s="59" t="inlineStr">
        <is>
          <t>The consumer-goods holder: P&amp;G restated its inclusion commitments on the record during the retreat wave.</t>
        </is>
      </c>
      <c r="C81" s="59" t="inlineStr">
        <is>
          <t>Public 2024-25 reaffirmations of inclusion ('This cannot change'); CEI 100 in 2025 (HRC company page); multi-year GLAAD partnership researching LGBTQ+ inclusion in advertising; queer-inclusive campaigns across Pantene, Gillette (first trans shaving ad) and other brands; inclusive benefits.</t>
        </is>
      </c>
      <c r="D81" s="59" t="inlineStr">
        <is>
          <t>Brand campaigns have drawn boycott pressure and occasional quiet trims in ad placements; global footprint includes hostile markets.</t>
        </is>
      </c>
      <c r="E81" s="59" t="inlineStr">
        <is>
          <t>Saying 'this cannot change' in writing during 2025 — explicit reaffirmation when silence was free.</t>
        </is>
      </c>
      <c r="F81" s="59" t="inlineStr">
        <is>
          <t>Stable</t>
        </is>
      </c>
      <c r="G81" s="58" t="inlineStr">
        <is>
          <t>High</t>
        </is>
      </c>
    </row>
    <row r="82" ht="15" customHeight="1" s="42">
      <c r="A82" s="66">
        <f>Company_Master!A81</f>
        <v/>
      </c>
      <c r="B82" s="52" t="inlineStr">
        <is>
          <t>Strong brand-level allyship under a parent increasingly nervous about activism generally.</t>
        </is>
      </c>
      <c r="C82" s="52" t="inlineStr">
        <is>
          <t>Ben &amp; Jerry's decades of LGBTQ+ activism (marriage-equality campaigns since the 1980s-2000s); Dove inclusive campaigns; CEI 100 record; AdAge-documented year-round LGBTQ+ marketing efforts; inclusive benefits.</t>
        </is>
      </c>
      <c r="D82" s="52" t="inlineStr">
        <is>
          <t>2025 public fight with Ben &amp; Jerry's independent board over restricting its social-mission activism raises questions about how much brand-level advocacy the parent will tolerate going forward.</t>
        </is>
      </c>
      <c r="E82" s="52" t="inlineStr">
        <is>
          <t>Brand portfolio still carries the commitment; the parent's appetite is the open question.</t>
        </is>
      </c>
      <c r="F82" s="52" t="inlineStr">
        <is>
          <t>Stable</t>
        </is>
      </c>
      <c r="G82" s="51" t="inlineStr">
        <is>
          <t>Med</t>
        </is>
      </c>
    </row>
    <row r="83" ht="15" customHeight="1" s="42">
      <c r="A83" s="65">
        <f>Company_Master!A82</f>
        <v/>
      </c>
      <c r="B83" s="59" t="inlineStr">
        <is>
          <t>A food company with a real, if episodic, Pride record and no reversal.</t>
        </is>
      </c>
      <c r="C83" s="59" t="inlineStr">
        <is>
          <t>'Together With Pride' cereal with GLAAD donation mechanism (2021); CEI 100 record; inclusive benefits; continued inclusion programming post-split.</t>
        </is>
      </c>
      <c r="D83" s="59" t="inlineStr">
        <is>
          <t>Engagement is intermittent and marketing-led; limited civic or financial commitments since 2021.</t>
        </is>
      </c>
      <c r="E83" s="59" t="inlineStr">
        <is>
          <t>No retreat plus an actual product-level donation history.</t>
        </is>
      </c>
      <c r="F83" s="59" t="inlineStr">
        <is>
          <t>Stable</t>
        </is>
      </c>
      <c r="G83" s="58" t="inlineStr">
        <is>
          <t>Med</t>
        </is>
      </c>
    </row>
    <row r="84" ht="15" customHeight="1" s="42">
      <c r="A84" s="66">
        <f>Company_Master!A83</f>
        <v/>
      </c>
      <c r="B84" s="52" t="inlineStr">
        <is>
          <t>A Minneapolis holder that didn't follow its hometown neighbor into retreat.</t>
        </is>
      </c>
      <c r="C84" s="52" t="inlineStr">
        <is>
          <t>Long CEI 100 record; inclusive brand campaigns (Lucky Charms 'Magical Pride', Cheerios family ads); funded Betweeners/PRIDE network; inclusive benefits; no rollback documented through 2025-26.</t>
        </is>
      </c>
      <c r="D84" s="52" t="inlineStr">
        <is>
          <t>Lower public Pride spending recently; engagement mostly brand- and workplace-level.</t>
        </is>
      </c>
      <c r="E84" s="52" t="inlineStr">
        <is>
          <t>Continuity while Minneapolis-St. Paul corporate peers retreated.</t>
        </is>
      </c>
      <c r="F84" s="52" t="inlineStr">
        <is>
          <t>Stable</t>
        </is>
      </c>
      <c r="G84" s="51" t="inlineStr">
        <is>
          <t>Med</t>
        </is>
      </c>
    </row>
    <row r="85" ht="15" customHeight="1" s="42">
      <c r="A85" s="65">
        <f>Company_Master!A84</f>
        <v/>
      </c>
      <c r="B85" s="59" t="inlineStr">
        <is>
          <t>A low-profile holder.</t>
        </is>
      </c>
      <c r="C85" s="59" t="inlineStr">
        <is>
          <t>CEI 100 record; inclusive partner and gender-affirming benefits; internal inclusion programming maintained.</t>
        </is>
      </c>
      <c r="D85" s="59" t="inlineStr">
        <is>
          <t>Minimal public-facing Pride engagement of any kind.</t>
        </is>
      </c>
      <c r="E85" s="59" t="inlineStr">
        <is>
          <t>Steady policies, low volume.</t>
        </is>
      </c>
      <c r="F85" s="59" t="inlineStr">
        <is>
          <t>Stable</t>
        </is>
      </c>
      <c r="G85" s="58" t="inlineStr">
        <is>
          <t>Med</t>
        </is>
      </c>
    </row>
    <row r="86" ht="15" customHeight="1" s="42">
      <c r="A86" s="66">
        <f>Company_Master!A85</f>
        <v/>
      </c>
      <c r="B86" s="52" t="inlineStr">
        <is>
          <t>The defense sector's first public mover in dismantling DEI under the 2025 executive order.</t>
        </is>
      </c>
      <c r="C86" s="52" t="inlineStr">
        <is>
          <t>Years of CEI 100 scores; funded PRIDE/LGBTQ+ ERG; prior Pride event participation and inclusive benefits.</t>
        </is>
      </c>
      <c r="D86" s="52" t="inlineStr">
        <is>
          <t>Jan 2025: publicly announced it would abide by Trump's 'Ending Illegal Discrimination' EO while peers stayed mum (Defense Daily); removed DEI webpages as documented across the sector (Breaking Defense).</t>
        </is>
      </c>
      <c r="E86" s="52" t="inlineStr">
        <is>
          <t>Volunteering compliance first — speed and publicity of the reversal signal priorities.</t>
        </is>
      </c>
      <c r="F86" s="52" t="inlineStr">
        <is>
          <t>Sharp Reversal</t>
        </is>
      </c>
      <c r="G86" s="51" t="inlineStr">
        <is>
          <t>High</t>
        </is>
      </c>
    </row>
    <row r="87" ht="15" customHeight="1" s="42">
      <c r="A87" s="65">
        <f>Company_Master!A86</f>
        <v/>
      </c>
      <c r="B87" s="59" t="inlineStr">
        <is>
          <t>A silent eraser: no announcement, just deleted pages.</t>
        </is>
      </c>
      <c r="C87" s="59" t="inlineStr">
        <is>
          <t>Previous CEI 100 standing; funded LGBTQ+ ERG; inclusive benefits.</t>
        </is>
      </c>
      <c r="D87" s="59" t="inlineStr">
        <is>
          <t>Early 2025: DEI webpages removed and redirecting to dead links as documented by Breaking Defense's sector analysis; no public explanation given.</t>
        </is>
      </c>
      <c r="E87" s="59" t="inlineStr">
        <is>
          <t>The wordless deletion — accountability avoided in both directions.</t>
        </is>
      </c>
      <c r="F87" s="59" t="inlineStr">
        <is>
          <t>Sharp Reversal</t>
        </is>
      </c>
      <c r="G87" s="58" t="inlineStr">
        <is>
          <t>Med</t>
        </is>
      </c>
    </row>
    <row r="88" ht="15" customHeight="1" s="42">
      <c r="A88" s="66">
        <f>Company_Master!A87</f>
        <v/>
      </c>
      <c r="B88" s="52" t="inlineStr">
        <is>
          <t>A pre-inauguration dismantler: Boeing didn't wait to be pushed.</t>
        </is>
      </c>
      <c r="C88" s="52" t="inlineStr">
        <is>
          <t>Previous CEI 100 standing; funded LGBTQ+ ERG (Boeing Pride); inclusive benefits; prior Pride engagement.</t>
        </is>
      </c>
      <c r="D88" s="52" t="inlineStr">
        <is>
          <t>Nov 2024: dissolved its global DEI department, folding staff into HR under CEO Kelly Ortberg amid Starbuck-amplified pressure (widely reported; TechTarget rollback tracking); 2025: DEI web presence reduced in the documented defense-sector scrub. Campaign-finance records additionally document contributions to anti-LGBTQ+ politicians/committees (see Political_Donations sheet; Data for Progress 2019-22 / Popular Information 2022-24).</t>
        </is>
      </c>
      <c r="E88" s="52" t="inlineStr">
        <is>
          <t>Eliminating the department itself months before any executive order required anything.</t>
        </is>
      </c>
      <c r="F88" s="52" t="inlineStr">
        <is>
          <t>Sharp Reversal</t>
        </is>
      </c>
      <c r="G88" s="51" t="inlineStr">
        <is>
          <t>High</t>
        </is>
      </c>
    </row>
    <row r="89" ht="15" customHeight="1" s="42">
      <c r="A89" s="65">
        <f>Company_Master!A88</f>
        <v/>
      </c>
      <c r="B89" s="59" t="inlineStr">
        <is>
          <t>Ideologically opposed but behaviorally inert: nothing to log on either side of the ledger.</t>
        </is>
      </c>
      <c r="C89" s="59" t="inlineStr">
        <is>
          <t>None documented — no Pride engagement, donations, ERG visibility, or CEI participation at any point.</t>
        </is>
      </c>
      <c r="D89" s="59" t="inlineStr">
        <is>
          <t>No scoreable anti-LGBTQ+ corporate actions documented either; CEO Alex Karp publicly positions the company as 'the first company to be completely anti-woke' (Nov 2025 earnings call, Fortune/Fox Business), and leadership rhetoric is openly hostile to inclusion frameworks.</t>
        </is>
      </c>
      <c r="E89" s="59" t="inlineStr">
        <is>
          <t>The taxonomy scores actions; Palantir's hostility has so far been rhetorical, leaving it at baseline with a strong caveat.</t>
        </is>
      </c>
      <c r="F89" s="59" t="inlineStr">
        <is>
          <t>Stable</t>
        </is>
      </c>
      <c r="G89" s="58" t="inlineStr">
        <is>
          <t>High</t>
        </is>
      </c>
    </row>
    <row r="90" ht="15" customHeight="1" s="42">
      <c r="A90" s="65">
        <f>Company_Master!A90</f>
        <v/>
      </c>
      <c r="B90" s="59" t="inlineStr">
        <is>
          <t>A steady, low-volume tech holder.</t>
        </is>
      </c>
      <c r="C90" s="59" t="inlineStr">
        <is>
          <t>Long CEI 100 record; inclusive partner and gender-affirming benefits; annual Pride engagement; no documented retreat through 2025-26.</t>
        </is>
      </c>
      <c r="D90" s="59" t="inlineStr">
        <is>
          <t>Modest public Pride investment; engagement mostly workplace-level.</t>
        </is>
      </c>
      <c r="E90" s="59" t="inlineStr">
        <is>
          <t>Continuity without retreat.</t>
        </is>
      </c>
      <c r="F90" s="59" t="inlineStr">
        <is>
          <t>Stable</t>
        </is>
      </c>
      <c r="G90" s="58" t="inlineStr">
        <is>
          <t>Med</t>
        </is>
      </c>
    </row>
    <row r="91" ht="15" customHeight="1" s="42">
      <c r="A91" s="65">
        <f>Company_Master!A91</f>
        <v/>
      </c>
      <c r="B91" s="59" t="inlineStr">
        <is>
          <t>A partial trimmer: filings softened, programs largely intact.</t>
        </is>
      </c>
      <c r="C91" s="59" t="inlineStr">
        <is>
          <t>Long CEI 100 record; funded LGBTQ+ ERG (IGLOBE); inclusive benefits; website still states diversity and inclusion drive the company (TechCrunch survey).</t>
        </is>
      </c>
      <c r="D91" s="59" t="inlineStr">
        <is>
          <t>Cut back DEI language and removed some diversity targets in its 2025 10-K (TechCrunch/Portland Business Journal).</t>
        </is>
      </c>
      <c r="E91" s="59" t="inlineStr">
        <is>
          <t>Filing-level retreat while public commitments formally remain.</t>
        </is>
      </c>
      <c r="F91" s="59" t="inlineStr">
        <is>
          <t>Declining</t>
        </is>
      </c>
      <c r="G91" s="58" t="inlineStr">
        <is>
          <t>Med</t>
        </is>
      </c>
    </row>
    <row r="92" ht="15" customHeight="1" s="42">
      <c r="A92" s="65">
        <f>Company_Master!A92</f>
        <v/>
      </c>
      <c r="B92" s="59" t="inlineStr">
        <is>
          <t>A vocal holder at CEO level when silence was the norm.</t>
        </is>
      </c>
      <c r="C92" s="59" t="inlineStr">
        <is>
          <t>CEO Chuck Robbins publicly defended Cisco's DEI commitments after the Jan 2025 executive orders, citing business value (Fortune); long CEI 100 streak; inclusive partner and gender-affirming benefits; sustained Pride engagement.</t>
        </is>
      </c>
      <c r="D92" s="59" t="inlineStr">
        <is>
          <t>Engagement is largely workplace-level rather than community sponsorship.</t>
        </is>
      </c>
      <c r="E92" s="59" t="inlineStr">
        <is>
          <t>CEO-level public defense in early 2025.</t>
        </is>
      </c>
      <c r="F92" s="59" t="inlineStr">
        <is>
          <t>Stable</t>
        </is>
      </c>
      <c r="G92" s="58" t="inlineStr">
        <is>
          <t>High</t>
        </is>
      </c>
    </row>
    <row r="93" ht="15" customHeight="1" s="42">
      <c r="A93" s="65">
        <f>Company_Master!A93</f>
        <v/>
      </c>
      <c r="B93" s="59" t="inlineStr">
        <is>
          <t>A holder by inertia and conviction alike — nothing was scrubbed.</t>
        </is>
      </c>
      <c r="C93" s="59" t="inlineStr">
        <is>
          <t>Maintained its 'diversity, inclusion and belonging' page and sustainability-report DEI section through 2025 (TechCrunch survey); inclusive benefits; CEI-rated.</t>
        </is>
      </c>
      <c r="D93" s="59" t="inlineStr">
        <is>
          <t>Minimal Pride-specific or community-facing engagement.</t>
        </is>
      </c>
      <c r="E93" s="59" t="inlineStr">
        <is>
          <t>Kept everything public while peers deleted pages.</t>
        </is>
      </c>
      <c r="F93" s="59" t="inlineStr">
        <is>
          <t>Stable</t>
        </is>
      </c>
      <c r="G93" s="58" t="inlineStr">
        <is>
          <t>Med</t>
        </is>
      </c>
    </row>
    <row r="94" ht="15" customHeight="1" s="42">
      <c r="A94" s="65">
        <f>Company_Master!A94</f>
        <v/>
      </c>
      <c r="B94" s="59" t="inlineStr">
        <is>
          <t>A quiet workplace-level supporter.</t>
        </is>
      </c>
      <c r="C94" s="59" t="inlineStr">
        <is>
          <t>Funded eQuality LGBTQ+ ERG; CEI 100 history; San Diego Pride participation in prior years.</t>
        </is>
      </c>
      <c r="D94" s="59" t="inlineStr">
        <is>
          <t>Low current visibility; no confirmed CEI 2026 participation.</t>
        </is>
      </c>
      <c r="E94" s="59" t="inlineStr">
        <is>
          <t>No retreat documented; thin public record.</t>
        </is>
      </c>
      <c r="F94" s="59" t="inlineStr">
        <is>
          <t>Stable</t>
        </is>
      </c>
      <c r="G94" s="58" t="inlineStr">
        <is>
          <t>Low</t>
        </is>
      </c>
    </row>
    <row r="95" ht="15" customHeight="1" s="42">
      <c r="A95" s="65">
        <f>Company_Master!A95</f>
        <v/>
      </c>
      <c r="B95" s="59" t="inlineStr">
        <is>
          <t>Policy-solid, publicly silent.</t>
        </is>
      </c>
      <c r="C95" s="59" t="inlineStr">
        <is>
          <t>CEI 100 history; inclusive workplace policies and benefits.</t>
        </is>
      </c>
      <c r="D95" s="59" t="inlineStr">
        <is>
          <t>Essentially no public-facing LGBTQ+ engagement.</t>
        </is>
      </c>
      <c r="E95" s="59" t="inlineStr">
        <is>
          <t>Thin public record either way.</t>
        </is>
      </c>
      <c r="F95" s="59" t="inlineStr">
        <is>
          <t>Stable</t>
        </is>
      </c>
      <c r="G95" s="58" t="inlineStr">
        <is>
          <t>Low</t>
        </is>
      </c>
    </row>
    <row r="96" ht="15" customHeight="1" s="42">
      <c r="A96" s="65">
        <f>Company_Master!A96</f>
        <v/>
      </c>
      <c r="B96" s="59" t="inlineStr">
        <is>
          <t>The company that actually walked away from money over an anti-trans law.</t>
        </is>
      </c>
      <c r="C96" s="59" t="inlineStr">
        <is>
          <t>2016: canceled a planned 400-employee Charlotte operations center over North Carolina's HB2 'bathroom bill,' with then-CEO Dan Schulman framing it as a values decision — among the most concrete corporate acts of trans allyship on record; funded Pride ERG; CEI 100 record.</t>
        </is>
      </c>
      <c r="D96" s="59" t="inlineStr">
        <is>
          <t>Much lower visibility since 2023; no confirmed CEI 2026 participation.</t>
        </is>
      </c>
      <c r="E96" s="59" t="inlineStr">
        <is>
          <t>The HB2 withdrawal — costly, public, and trans-specific.</t>
        </is>
      </c>
      <c r="F96" s="59" t="inlineStr">
        <is>
          <t>Stable</t>
        </is>
      </c>
      <c r="G96" s="58" t="inlineStr">
        <is>
          <t>High</t>
        </is>
      </c>
    </row>
    <row r="97" ht="15" customHeight="1" s="42">
      <c r="A97" s="65">
        <f>Company_Master!A97</f>
        <v/>
      </c>
      <c r="B97" s="59" t="inlineStr">
        <is>
          <t>A non-participant.</t>
        </is>
      </c>
      <c r="C97" s="59" t="inlineStr">
        <is>
          <t>None documented beyond standard policy.</t>
        </is>
      </c>
      <c r="D97" s="59" t="inlineStr">
        <is>
          <t>None documented.</t>
        </is>
      </c>
      <c r="E97" s="59" t="inlineStr">
        <is>
          <t>Absence of engagement; baseline.</t>
        </is>
      </c>
      <c r="F97" s="59" t="inlineStr">
        <is>
          <t>Stable</t>
        </is>
      </c>
      <c r="G97" s="58" t="inlineStr">
        <is>
          <t>Low</t>
        </is>
      </c>
    </row>
    <row r="98" ht="15" customHeight="1" s="42">
      <c r="A98" s="65">
        <f>Company_Master!A98</f>
        <v/>
      </c>
      <c r="B98" s="59" t="inlineStr">
        <is>
          <t>A comprehensive paper retreat from a once-visible Pride brand.</t>
        </is>
      </c>
      <c r="C98" s="59" t="inlineStr">
        <is>
          <t>Years of Pride branding and SF Pride participation; funded Pride at Uber ERG; CEI 100 record; in-app Pride features historically.</t>
        </is>
      </c>
      <c r="D98" s="59" t="inlineStr">
        <is>
          <t>2025: removed DEI from executive compensation, dropped its pledge to consider diverse board candidates, and deleted the diversity section from its 10-K entirely (TechCrunch/SF Examiner).</t>
        </is>
      </c>
      <c r="E98" s="59" t="inlineStr">
        <is>
          <t>Stripping DEI from pay, board policy and filings in a single season.</t>
        </is>
      </c>
      <c r="F98" s="59" t="inlineStr">
        <is>
          <t>Sharp Reversal</t>
        </is>
      </c>
      <c r="G98" s="58" t="inlineStr">
        <is>
          <t>High</t>
        </is>
      </c>
    </row>
    <row r="99" ht="15" customHeight="1" s="42">
      <c r="A99" s="65">
        <f>Company_Master!A99</f>
        <v/>
      </c>
      <c r="B99" s="59" t="inlineStr">
        <is>
          <t>A quiet progressive that avoided both spotlight and retreat.</t>
        </is>
      </c>
      <c r="C99" s="59" t="inlineStr">
        <is>
          <t>Pride campaigns and community partnership history; funded LGBTQ+ ERG; CEI 100 record.</t>
        </is>
      </c>
      <c r="D99" s="59" t="inlineStr">
        <is>
          <t>Low engagement since 2023; financial constraints limit cause spending.</t>
        </is>
      </c>
      <c r="E99" s="59" t="inlineStr">
        <is>
          <t>No retreat documented.</t>
        </is>
      </c>
      <c r="F99" s="59" t="inlineStr">
        <is>
          <t>Stable</t>
        </is>
      </c>
      <c r="G99" s="58" t="inlineStr">
        <is>
          <t>Low</t>
        </is>
      </c>
    </row>
    <row r="100" ht="15" customHeight="1" s="42">
      <c r="A100" s="65">
        <f>Company_Master!A100</f>
        <v/>
      </c>
      <c r="B100" s="59" t="inlineStr">
        <is>
          <t>A steady, quiet holder.</t>
        </is>
      </c>
      <c r="C100" s="59" t="inlineStr">
        <is>
          <t>CEI 100 record; inclusive partner and gender-affirming benefits; United in Pride ERG; annual Pride engagement.</t>
        </is>
      </c>
      <c r="D100" s="59" t="inlineStr">
        <is>
          <t>Modest public investment.</t>
        </is>
      </c>
      <c r="E100" s="59" t="inlineStr">
        <is>
          <t>Continuity without retreat.</t>
        </is>
      </c>
      <c r="F100" s="59" t="inlineStr">
        <is>
          <t>Stable</t>
        </is>
      </c>
      <c r="G100" s="58" t="inlineStr">
        <is>
          <t>Med</t>
        </is>
      </c>
    </row>
    <row r="101" ht="15" customHeight="1" s="42">
      <c r="A101" s="65">
        <f>Company_Master!A101</f>
        <v/>
      </c>
      <c r="B101" s="59" t="inlineStr">
        <is>
          <t>A steady workplace-inclusion holder.</t>
        </is>
      </c>
      <c r="C101" s="59" t="inlineStr">
        <is>
          <t>CEI 100 record; Pride Network ERG; inclusive partner and gender-affirming benefits; continued inclusion reporting.</t>
        </is>
      </c>
      <c r="D101" s="59" t="inlineStr">
        <is>
          <t>Limited community-facing engagement.</t>
        </is>
      </c>
      <c r="E101" s="59" t="inlineStr">
        <is>
          <t>Continuity without retreat.</t>
        </is>
      </c>
      <c r="F101" s="59" t="inlineStr">
        <is>
          <t>Stable</t>
        </is>
      </c>
      <c r="G101" s="58" t="inlineStr">
        <is>
          <t>Med</t>
        </is>
      </c>
    </row>
    <row r="102" ht="15" customHeight="1" s="42">
      <c r="A102" s="65">
        <f>Company_Master!A102</f>
        <v/>
      </c>
      <c r="B102" s="59" t="inlineStr">
        <is>
          <t>Workplace-level support, low public volume.</t>
        </is>
      </c>
      <c r="C102" s="59" t="inlineStr">
        <is>
          <t>Funded Pride at Now ERG; CEI-rated inclusive policies; Pride Month engagement.</t>
        </is>
      </c>
      <c r="D102" s="59" t="inlineStr">
        <is>
          <t>Minimal external engagement.</t>
        </is>
      </c>
      <c r="E102" s="59" t="inlineStr">
        <is>
          <t>No retreat documented.</t>
        </is>
      </c>
      <c r="F102" s="59" t="inlineStr">
        <is>
          <t>Stable</t>
        </is>
      </c>
      <c r="G102" s="58" t="inlineStr">
        <is>
          <t>Low</t>
        </is>
      </c>
    </row>
    <row r="103" ht="15" customHeight="1" s="42">
      <c r="A103" s="65">
        <f>Company_Master!A103</f>
        <v/>
      </c>
      <c r="B103" s="59" t="inlineStr">
        <is>
          <t>Product-level Pride visibility with a thin corporate paper trail.</t>
        </is>
      </c>
      <c r="C103" s="59" t="inlineStr">
        <is>
          <t>Annual Pride AR lenses/filters reaching large young audiences; CEI-rated policies.</t>
        </is>
      </c>
      <c r="D103" s="59" t="inlineStr">
        <is>
          <t>Limited corporate disclosure; insufficient evidence to assess 2025-26 DEI posture in either direction.</t>
        </is>
      </c>
      <c r="E103" s="59" t="inlineStr">
        <is>
          <t>Visibility through product, uncertainty everywhere else.</t>
        </is>
      </c>
      <c r="F103" s="59" t="inlineStr">
        <is>
          <t>Stable</t>
        </is>
      </c>
      <c r="G103" s="58" t="inlineStr">
        <is>
          <t>Low</t>
        </is>
      </c>
    </row>
    <row r="104" ht="15" customHeight="1" s="42">
      <c r="A104" s="65">
        <f>Company_Master!A104</f>
        <v/>
      </c>
      <c r="B104" s="59" t="inlineStr">
        <is>
          <t>Put keeping DEI in writing when peers were deleting it.</t>
        </is>
      </c>
      <c r="C104" s="59" t="inlineStr">
        <is>
          <t>Listed attacks on DEI as a business risk in SEC filings rather than scrubbing diversity language (TechCrunch); named among companies quietly keeping DEI (Fortune); inclusive policies and Pride content programs.</t>
        </is>
      </c>
      <c r="D104" s="59" t="inlineStr">
        <is>
          <t>Modest external Pride investment.</t>
        </is>
      </c>
      <c r="E104" s="59" t="inlineStr">
        <is>
          <t>The filings posture — disclosure running opposite to the retreat.</t>
        </is>
      </c>
      <c r="F104" s="59" t="inlineStr">
        <is>
          <t>Stable</t>
        </is>
      </c>
      <c r="G104" s="58" t="inlineStr">
        <is>
          <t>Med</t>
        </is>
      </c>
    </row>
    <row r="105" ht="15" customHeight="1" s="42">
      <c r="A105" s="65">
        <f>Company_Master!A105</f>
        <v/>
      </c>
      <c r="B105" s="59" t="inlineStr">
        <is>
          <t>A grocery holder with modest visible engagement.</t>
        </is>
      </c>
      <c r="C105" s="59" t="inlineStr">
        <is>
          <t>CEI 100 history; Cincinnati Pride participation; funded LGBTQ+ associate resource group.</t>
        </is>
      </c>
      <c r="D105" s="59" t="inlineStr">
        <is>
          <t>Low current visibility; 2022 EEOC apron suit (settled) involved religious-accommodation friction rather than policy retreat.</t>
        </is>
      </c>
      <c r="E105" s="59" t="inlineStr">
        <is>
          <t>No retreat documented.</t>
        </is>
      </c>
      <c r="F105" s="59" t="inlineStr">
        <is>
          <t>Stable</t>
        </is>
      </c>
      <c r="G105" s="58" t="inlineStr">
        <is>
          <t>Low</t>
        </is>
      </c>
    </row>
    <row r="106" ht="15" customHeight="1" s="42">
      <c r="A106" s="65">
        <f>Company_Master!A106</f>
        <v/>
      </c>
      <c r="B106" s="59" t="inlineStr">
        <is>
          <t>Thin record in both directions.</t>
        </is>
      </c>
      <c r="C106" s="59" t="inlineStr">
        <is>
          <t>Occasional local Pride engagement; standard inclusive policies.</t>
        </is>
      </c>
      <c r="D106" s="59" t="inlineStr">
        <is>
          <t>No significant sponsorships, donations or advocacy documented.</t>
        </is>
      </c>
      <c r="E106" s="59" t="inlineStr">
        <is>
          <t>Near-baseline by absence.</t>
        </is>
      </c>
      <c r="F106" s="59" t="inlineStr">
        <is>
          <t>Stable</t>
        </is>
      </c>
      <c r="G106" s="58" t="inlineStr">
        <is>
          <t>Low</t>
        </is>
      </c>
    </row>
    <row r="107" ht="15" customHeight="1" s="42">
      <c r="A107" s="65">
        <f>Company_Master!A107</f>
        <v/>
      </c>
      <c r="B107" s="59" t="inlineStr">
        <is>
          <t>An off-price holder that said so on the record.</t>
        </is>
      </c>
      <c r="C107" s="59" t="inlineStr">
        <is>
          <t>Public statement reaffirming commitment to an inclusive and diverse workplace during the 2025 retreat wave (LiveNOW/Fox tracking); CEI 100 record; inclusive benefits.</t>
        </is>
      </c>
      <c r="D107" s="59" t="inlineStr">
        <is>
          <t>Minimal Pride marketing or community sponsorship — TJX does little brand marketing of any kind.</t>
        </is>
      </c>
      <c r="E107" s="59" t="inlineStr">
        <is>
          <t>The explicit reaffirmation amid the retreat.</t>
        </is>
      </c>
      <c r="F107" s="59" t="inlineStr">
        <is>
          <t>Stable</t>
        </is>
      </c>
      <c r="G107" s="58" t="inlineStr">
        <is>
          <t>Med</t>
        </is>
      </c>
    </row>
    <row r="108" ht="15" customHeight="1" s="42">
      <c r="A108" s="65">
        <f>Company_Master!A108</f>
        <v/>
      </c>
      <c r="B108" s="59" t="inlineStr">
        <is>
          <t>A department store that kept showing up.</t>
        </is>
      </c>
      <c r="C108" s="59" t="inlineStr">
        <is>
          <t>NYC Pride participation and Pride-themed storefronts/merchandise across years; CEI 100 record; Pride ERG.</t>
        </is>
      </c>
      <c r="D108" s="59" t="inlineStr">
        <is>
          <t>Financial pressures have trimmed all marketing; no LGBTQ+-specific retreat documented.</t>
        </is>
      </c>
      <c r="E108" s="59" t="inlineStr">
        <is>
          <t>Continuity of visible support.</t>
        </is>
      </c>
      <c r="F108" s="59" t="inlineStr">
        <is>
          <t>Stable</t>
        </is>
      </c>
      <c r="G108" s="58" t="inlineStr">
        <is>
          <t>Med</t>
        </is>
      </c>
    </row>
    <row r="109" ht="15" customHeight="1" s="42">
      <c r="A109" s="65">
        <f>Company_Master!A109</f>
        <v/>
      </c>
      <c r="B109" s="59" t="inlineStr">
        <is>
          <t>A retail holder with seasonal commercial support.</t>
        </is>
      </c>
      <c r="C109" s="59" t="inlineStr">
        <is>
          <t>Annual Pride merchandise assortments; CEI 100 record; inclusive policies.</t>
        </is>
      </c>
      <c r="D109" s="59" t="inlineStr">
        <is>
          <t>Modest depth beyond merchandising.</t>
        </is>
      </c>
      <c r="E109" s="59" t="inlineStr">
        <is>
          <t>No retreat documented.</t>
        </is>
      </c>
      <c r="F109" s="59" t="inlineStr">
        <is>
          <t>Stable</t>
        </is>
      </c>
      <c r="G109" s="58" t="inlineStr">
        <is>
          <t>Med</t>
        </is>
      </c>
    </row>
    <row r="110" ht="15" customHeight="1" s="42">
      <c r="A110" s="65">
        <f>Company_Master!A110</f>
        <v/>
      </c>
      <c r="B110" s="59" t="inlineStr">
        <is>
          <t>Held its Pride assortment under boycott pressure in 2023 — the opposite of Target's response.</t>
        </is>
      </c>
      <c r="C110" s="59" t="inlineStr">
        <is>
          <t>Kept selling its 2023 Pride collection including family/baby items despite a conservative boycott campaign; CEI 100 record; annual Pride merchandise.</t>
        </is>
      </c>
      <c r="D110" s="59" t="inlineStr">
        <is>
          <t>Low engagement otherwise; no civic or financial commitments documented.</t>
        </is>
      </c>
      <c r="E110" s="59" t="inlineStr">
        <is>
          <t>Not folding in 2023 when folding was the trend.</t>
        </is>
      </c>
      <c r="F110" s="59" t="inlineStr">
        <is>
          <t>Stable</t>
        </is>
      </c>
      <c r="G110" s="58" t="inlineStr">
        <is>
          <t>Med</t>
        </is>
      </c>
    </row>
    <row r="111" ht="15" customHeight="1" s="42">
      <c r="A111" s="65">
        <f>Company_Master!A111</f>
        <v/>
      </c>
      <c r="B111" s="59" t="inlineStr">
        <is>
          <t>A non-participant.</t>
        </is>
      </c>
      <c r="C111" s="59" t="inlineStr">
        <is>
          <t>None documented.</t>
        </is>
      </c>
      <c r="D111" s="59" t="inlineStr">
        <is>
          <t>None documented.</t>
        </is>
      </c>
      <c r="E111" s="59" t="inlineStr">
        <is>
          <t>Absence of engagement; baseline.</t>
        </is>
      </c>
      <c r="F111" s="59" t="inlineStr">
        <is>
          <t>Stable</t>
        </is>
      </c>
      <c r="G111" s="58" t="inlineStr">
        <is>
          <t>Low</t>
        </is>
      </c>
    </row>
    <row r="112" ht="15" customHeight="1" s="42">
      <c r="A112" s="65">
        <f>Company_Master!A112</f>
        <v/>
      </c>
      <c r="B112" s="59" t="inlineStr">
        <is>
          <t>A non-participant.</t>
        </is>
      </c>
      <c r="C112" s="59" t="inlineStr">
        <is>
          <t>None documented.</t>
        </is>
      </c>
      <c r="D112" s="59" t="inlineStr">
        <is>
          <t>None documented.</t>
        </is>
      </c>
      <c r="E112" s="59" t="inlineStr">
        <is>
          <t>Absence of engagement; baseline.</t>
        </is>
      </c>
      <c r="F112" s="59" t="inlineStr">
        <is>
          <t>Stable</t>
        </is>
      </c>
      <c r="G112" s="58" t="inlineStr">
        <is>
          <t>Low</t>
        </is>
      </c>
    </row>
    <row r="113" ht="15" customHeight="1" s="42">
      <c r="A113" s="65">
        <f>Company_Master!A113</f>
        <v/>
      </c>
      <c r="B113" s="59" t="inlineStr">
        <is>
          <t>One memorable queer-forward activation atop a quiet baseline.</t>
        </is>
      </c>
      <c r="C113" s="59" t="inlineStr">
        <is>
          <t>Taco Bell's 2022 Drag Brunch tour at restaurants nationwide — a high-visibility queer-talent collaboration; CEI-rated inclusive policies.</t>
        </is>
      </c>
      <c r="D113" s="59" t="inlineStr">
        <is>
          <t>Episodic engagement; little since 2023.</t>
        </is>
      </c>
      <c r="E113" s="59" t="inlineStr">
        <is>
          <t>Drag Brunch — real risk-taking for a mass-market brand.</t>
        </is>
      </c>
      <c r="F113" s="59" t="inlineStr">
        <is>
          <t>Stable</t>
        </is>
      </c>
      <c r="G113" s="58" t="inlineStr">
        <is>
          <t>Med</t>
        </is>
      </c>
    </row>
    <row r="114" ht="15" customHeight="1" s="42">
      <c r="A114" s="65">
        <f>Company_Master!A114</f>
        <v/>
      </c>
      <c r="B114" s="59" t="inlineStr">
        <is>
          <t>A non-participant.</t>
        </is>
      </c>
      <c r="C114" s="59" t="inlineStr">
        <is>
          <t>None documented.</t>
        </is>
      </c>
      <c r="D114" s="59" t="inlineStr">
        <is>
          <t>None documented.</t>
        </is>
      </c>
      <c r="E114" s="59" t="inlineStr">
        <is>
          <t>Absence of engagement; baseline.</t>
        </is>
      </c>
      <c r="F114" s="59" t="inlineStr">
        <is>
          <t>Stable</t>
        </is>
      </c>
      <c r="G114" s="58" t="inlineStr">
        <is>
          <t>Low</t>
        </is>
      </c>
    </row>
    <row r="115" ht="15" customHeight="1" s="42">
      <c r="A115" s="65">
        <f>Company_Master!A115</f>
        <v/>
      </c>
      <c r="B115" s="59" t="inlineStr">
        <is>
          <t>Minimal but unblemished.</t>
        </is>
      </c>
      <c r="C115" s="59" t="inlineStr">
        <is>
          <t>Occasional Pride posts and local engagement; CEI-rated inclusive policies.</t>
        </is>
      </c>
      <c r="D115" s="59" t="inlineStr">
        <is>
          <t>No significant sponsorships or donations documented.</t>
        </is>
      </c>
      <c r="E115" s="59" t="inlineStr">
        <is>
          <t>Thin record, no retreat.</t>
        </is>
      </c>
      <c r="F115" s="59" t="inlineStr">
        <is>
          <t>Stable</t>
        </is>
      </c>
      <c r="G115" s="58" t="inlineStr">
        <is>
          <t>Low</t>
        </is>
      </c>
    </row>
    <row r="116" ht="15" customHeight="1" s="42">
      <c r="A116" s="65">
        <f>Company_Master!A116</f>
        <v/>
      </c>
      <c r="B116" s="59" t="inlineStr">
        <is>
          <t>Thin record in both directions.</t>
        </is>
      </c>
      <c r="C116" s="59" t="inlineStr">
        <is>
          <t>Standard inclusive policies; occasional internal inclusion programming.</t>
        </is>
      </c>
      <c r="D116" s="59" t="inlineStr">
        <is>
          <t>No significant public engagement documented.</t>
        </is>
      </c>
      <c r="E116" s="59" t="inlineStr">
        <is>
          <t>Near-baseline by absence.</t>
        </is>
      </c>
      <c r="F116" s="59" t="inlineStr">
        <is>
          <t>Stable</t>
        </is>
      </c>
      <c r="G116" s="58" t="inlineStr">
        <is>
          <t>Low</t>
        </is>
      </c>
    </row>
    <row r="117" ht="15" customHeight="1" s="42">
      <c r="A117" s="65">
        <f>Company_Master!A117</f>
        <v/>
      </c>
      <c r="B117" s="59" t="inlineStr">
        <is>
          <t>Decades of courting LGBTQ+ consumers ended in a pressure-campaign retreat.</t>
        </is>
      </c>
      <c r="C117" s="59" t="inlineStr">
        <is>
          <t>Coors Light was among the earliest major LGBTQ+-targeted beer marketers (a legacy of repairing the 1970s-80s Coors boycott); Pride event sponsorships in multiple markets; funded LGBTQ+ ERG; prior CEI 100 scores.</t>
        </is>
      </c>
      <c r="D117" s="59" t="inlineStr">
        <is>
          <t>Sep 2024: ended DEI training, supplier diversity goals and HRC CEI participation after the Robby Starbuck campaign — HRC docked its score 25 points as one of seven companies penalized for abandoning commitments.</t>
        </is>
      </c>
      <c r="E117" s="59" t="inlineStr">
        <is>
          <t>Choosing retreat despite a customer base it spent decades winning back.</t>
        </is>
      </c>
      <c r="F117" s="59" t="inlineStr">
        <is>
          <t>Sharp Reversal</t>
        </is>
      </c>
      <c r="G117" s="58" t="inlineStr">
        <is>
          <t>High</t>
        </is>
      </c>
    </row>
    <row r="118" ht="15" customHeight="1" s="42">
      <c r="A118" s="65">
        <f>Company_Master!A118</f>
        <v/>
      </c>
      <c r="B118" s="59" t="inlineStr">
        <is>
          <t>Thin record in both directions.</t>
        </is>
      </c>
      <c r="C118" s="59" t="inlineStr">
        <is>
          <t>Occasional Pride engagement via beverage brands; standard inclusive policies.</t>
        </is>
      </c>
      <c r="D118" s="59" t="inlineStr">
        <is>
          <t>No significant documented commitments.</t>
        </is>
      </c>
      <c r="E118" s="59" t="inlineStr">
        <is>
          <t>Near-baseline by absence.</t>
        </is>
      </c>
      <c r="F118" s="59" t="inlineStr">
        <is>
          <t>Stable</t>
        </is>
      </c>
      <c r="G118" s="58" t="inlineStr">
        <is>
          <t>Low</t>
        </is>
      </c>
    </row>
    <row r="119" ht="15" customHeight="1" s="42">
      <c r="A119" s="65">
        <f>Company_Master!A119</f>
        <v/>
      </c>
      <c r="B119" s="59" t="inlineStr">
        <is>
          <t>The OREO campaigns made it a lightning rod — and it kept making them.</t>
        </is>
      </c>
      <c r="C119" s="59" t="inlineStr">
        <is>
          <t>OREO rainbow cookie post (2012) and 'Proud Parent' campaign with PFLAG incl. donation support (2020-21); allyship-themed packaging; CEI 100 record; withstood NLPC anti-DEI shareholder proposals (SEC PX14A6G filings).</t>
        </is>
      </c>
      <c r="D119" s="59" t="inlineStr">
        <is>
          <t>Campaigns are brand-led and episodic; quieter since 2023.</t>
        </is>
      </c>
      <c r="E119" s="59" t="inlineStr">
        <is>
          <t>Sustained willingness to put its biggest brand on the line.</t>
        </is>
      </c>
      <c r="F119" s="59" t="inlineStr">
        <is>
          <t>Stable</t>
        </is>
      </c>
      <c r="G119" s="58" t="inlineStr">
        <is>
          <t>Med</t>
        </is>
      </c>
    </row>
    <row r="120" ht="15" customHeight="1" s="42">
      <c r="A120" s="65">
        <f>Company_Master!A120</f>
        <v/>
      </c>
      <c r="B120" s="59" t="inlineStr">
        <is>
          <t>Thin record in both directions.</t>
        </is>
      </c>
      <c r="C120" s="59" t="inlineStr">
        <is>
          <t>Occasional brand-level Pride gestures; standard inclusive policies.</t>
        </is>
      </c>
      <c r="D120" s="59" t="inlineStr">
        <is>
          <t>No significant documented commitments.</t>
        </is>
      </c>
      <c r="E120" s="59" t="inlineStr">
        <is>
          <t>Near-baseline by absence.</t>
        </is>
      </c>
      <c r="F120" s="59" t="inlineStr">
        <is>
          <t>Stable</t>
        </is>
      </c>
      <c r="G120" s="58" t="inlineStr">
        <is>
          <t>Low</t>
        </is>
      </c>
    </row>
    <row r="121" ht="15" customHeight="1" s="42">
      <c r="A121" s="65">
        <f>Company_Master!A121</f>
        <v/>
      </c>
      <c r="B121" s="59" t="inlineStr">
        <is>
          <t>Passed a trans-visibility stress test most brands now avoid.</t>
        </is>
      </c>
      <c r="C121" s="59" t="inlineStr">
        <is>
          <t>Featured trans activist Fae Johnstone in its 2023 International Women's Day campaign (Hershey's Canada) and did not retract it under #BoycottHersheys pressure; CEI 100 record; inclusive benefits.</t>
        </is>
      </c>
      <c r="D121" s="59" t="inlineStr">
        <is>
          <t>Limited Pride-specific engagement otherwise.</t>
        </is>
      </c>
      <c r="E121" s="59" t="inlineStr">
        <is>
          <t>Not backing down in 2023.</t>
        </is>
      </c>
      <c r="F121" s="59" t="inlineStr">
        <is>
          <t>Stable</t>
        </is>
      </c>
      <c r="G121" s="58" t="inlineStr">
        <is>
          <t>Med</t>
        </is>
      </c>
    </row>
    <row r="122" ht="15" customHeight="1" s="42">
      <c r="A122" s="65">
        <f>Company_Master!A122</f>
        <v/>
      </c>
      <c r="B122" s="59" t="inlineStr">
        <is>
          <t>A quiet banking holder.</t>
        </is>
      </c>
      <c r="C122" s="59" t="inlineStr">
        <is>
          <t>CEI 100 record; funded Pride &amp; Allies employee network; inclusive benefits; no rollback documented while peer banks retreated.</t>
        </is>
      </c>
      <c r="D122" s="59" t="inlineStr">
        <is>
          <t>Low public Pride visibility.</t>
        </is>
      </c>
      <c r="E122" s="59" t="inlineStr">
        <is>
          <t>Continuity while Goldman, BofA and Wells Fargo cut back.</t>
        </is>
      </c>
      <c r="F122" s="59" t="inlineStr">
        <is>
          <t>Stable</t>
        </is>
      </c>
      <c r="G122" s="58" t="inlineStr">
        <is>
          <t>Med</t>
        </is>
      </c>
    </row>
    <row r="123" ht="15" customHeight="1" s="42">
      <c r="A123" s="65">
        <f>Company_Master!A123</f>
        <v/>
      </c>
      <c r="B123" s="59" t="inlineStr">
        <is>
          <t>The diversity enforcer that quietly retired its own standards.</t>
        </is>
      </c>
      <c r="C123" s="59" t="inlineStr">
        <is>
          <t>Funded LGBTQ+ network; CEI 100 record; previously used proxy power to push board diversity industry-wide.</t>
        </is>
      </c>
      <c r="D123" s="59" t="inlineStr">
        <is>
          <t>Early 2025: dropped workforce representation targets and stripped DEI references from its annual report and stewardship language, joining the asset-management retreat (industry DEI-rollback tracking).</t>
        </is>
      </c>
      <c r="E123" s="59" t="inlineStr">
        <is>
          <t>Abandoning the diversity standards it once enforced on others.</t>
        </is>
      </c>
      <c r="F123" s="59" t="inlineStr">
        <is>
          <t>Sharp Reversal</t>
        </is>
      </c>
      <c r="G123" s="58" t="inlineStr">
        <is>
          <t>Med</t>
        </is>
      </c>
    </row>
    <row r="124" ht="15" customHeight="1" s="42">
      <c r="A124" s="65">
        <f>Company_Master!A124</f>
        <v/>
      </c>
      <c r="B124" s="59" t="inlineStr">
        <is>
          <t>A quiet regional-champion bank.</t>
        </is>
      </c>
      <c r="C124" s="59" t="inlineStr">
        <is>
          <t>CEI 100 record; Twin Cities Pride sponsorship history; funded Proud to Be ERG.</t>
        </is>
      </c>
      <c r="D124" s="59" t="inlineStr">
        <is>
          <t>Low current visibility.</t>
        </is>
      </c>
      <c r="E124" s="59" t="inlineStr">
        <is>
          <t>No retreat documented.</t>
        </is>
      </c>
      <c r="F124" s="59" t="inlineStr">
        <is>
          <t>Stable</t>
        </is>
      </c>
      <c r="G124" s="58" t="inlineStr">
        <is>
          <t>Low</t>
        </is>
      </c>
    </row>
    <row r="125" ht="15" customHeight="1" s="42">
      <c r="A125" s="65">
        <f>Company_Master!A125</f>
        <v/>
      </c>
      <c r="B125" s="59" t="inlineStr">
        <is>
          <t>Thin but unblemished.</t>
        </is>
      </c>
      <c r="C125" s="59" t="inlineStr">
        <is>
          <t>CEI 100 history; standard inclusive policies and internal programming.</t>
        </is>
      </c>
      <c r="D125" s="59" t="inlineStr">
        <is>
          <t>Little public-facing engagement documented.</t>
        </is>
      </c>
      <c r="E125" s="59" t="inlineStr">
        <is>
          <t>Near-baseline with clean record.</t>
        </is>
      </c>
      <c r="F125" s="59" t="inlineStr">
        <is>
          <t>Stable</t>
        </is>
      </c>
      <c r="G125" s="58" t="inlineStr">
        <is>
          <t>Low</t>
        </is>
      </c>
    </row>
    <row r="126" ht="15" customHeight="1" s="42">
      <c r="A126" s="65">
        <f>Company_Master!A126</f>
        <v/>
      </c>
      <c r="B126" s="59" t="inlineStr">
        <is>
          <t>A quiet holder with real internal infrastructure.</t>
        </is>
      </c>
      <c r="C126" s="59" t="inlineStr">
        <is>
          <t>Funded Out Front LGBTQ+ ERG; CEI 100 record; DC-area Pride participation history.</t>
        </is>
      </c>
      <c r="D126" s="59" t="inlineStr">
        <is>
          <t>Modest external commitments.</t>
        </is>
      </c>
      <c r="E126" s="59" t="inlineStr">
        <is>
          <t>No retreat documented.</t>
        </is>
      </c>
      <c r="F126" s="59" t="inlineStr">
        <is>
          <t>Stable</t>
        </is>
      </c>
      <c r="G126" s="58" t="inlineStr">
        <is>
          <t>Med</t>
        </is>
      </c>
    </row>
    <row r="127" ht="15" customHeight="1" s="42">
      <c r="A127" s="65">
        <f>Company_Master!A127</f>
        <v/>
      </c>
      <c r="B127" s="59" t="inlineStr">
        <is>
          <t>Thin record in both directions.</t>
        </is>
      </c>
      <c r="C127" s="59" t="inlineStr">
        <is>
          <t>CEI-rated inclusive policies; occasional internal programming.</t>
        </is>
      </c>
      <c r="D127" s="59" t="inlineStr">
        <is>
          <t>No significant public commitments documented.</t>
        </is>
      </c>
      <c r="E127" s="59" t="inlineStr">
        <is>
          <t>Near-baseline by absence.</t>
        </is>
      </c>
      <c r="F127" s="59" t="inlineStr">
        <is>
          <t>Stable</t>
        </is>
      </c>
      <c r="G127" s="58" t="inlineStr">
        <is>
          <t>Low</t>
        </is>
      </c>
    </row>
    <row r="128" ht="15" customHeight="1" s="42">
      <c r="A128" s="65">
        <f>Company_Master!A128</f>
        <v/>
      </c>
      <c r="B128" s="59" t="inlineStr">
        <is>
          <t>An insurer that normalized queer families in primetime ads and didn't blink at the backlash.</t>
        </is>
      </c>
      <c r="C128" s="59" t="inlineStr">
        <is>
          <t>Years of mainstream advertising featuring LGBTQ+ couples and families, maintained despite recurring conservative boycott calls; CEI 100 record; funded Pride network.</t>
        </is>
      </c>
      <c r="D128" s="59" t="inlineStr">
        <is>
          <t>Engagement is advertising- and workplace-led; limited civic sponsorship.</t>
        </is>
      </c>
      <c r="E128" s="59" t="inlineStr">
        <is>
          <t>Advertising continuity through the boycott era.</t>
        </is>
      </c>
      <c r="F128" s="59" t="inlineStr">
        <is>
          <t>Stable</t>
        </is>
      </c>
      <c r="G128" s="58" t="inlineStr">
        <is>
          <t>Med</t>
        </is>
      </c>
    </row>
    <row r="129" ht="15" customHeight="1" s="42">
      <c r="A129" s="65">
        <f>Company_Master!A129</f>
        <v/>
      </c>
      <c r="B129" s="59" t="inlineStr">
        <is>
          <t>Thin record in both directions.</t>
        </is>
      </c>
      <c r="C129" s="59" t="inlineStr">
        <is>
          <t>CEI-rated inclusive policies; occasional inclusive advertising.</t>
        </is>
      </c>
      <c r="D129" s="59" t="inlineStr">
        <is>
          <t>No significant public commitments documented.</t>
        </is>
      </c>
      <c r="E129" s="59" t="inlineStr">
        <is>
          <t>Near-baseline by absence.</t>
        </is>
      </c>
      <c r="F129" s="59" t="inlineStr">
        <is>
          <t>Stable</t>
        </is>
      </c>
      <c r="G129" s="58" t="inlineStr">
        <is>
          <t>Low</t>
        </is>
      </c>
    </row>
    <row r="130" ht="15" customHeight="1" s="42">
      <c r="A130" s="65">
        <f>Company_Master!A130</f>
        <v/>
      </c>
      <c r="B130" s="59" t="inlineStr">
        <is>
          <t>A quiet insurance holder.</t>
        </is>
      </c>
      <c r="C130" s="59" t="inlineStr">
        <is>
          <t>CEI 100 record; inclusive partner and gender-affirming benefits; GLAM ERG.</t>
        </is>
      </c>
      <c r="D130" s="59" t="inlineStr">
        <is>
          <t>Low public visibility.</t>
        </is>
      </c>
      <c r="E130" s="59" t="inlineStr">
        <is>
          <t>Continuity without retreat.</t>
        </is>
      </c>
      <c r="F130" s="59" t="inlineStr">
        <is>
          <t>Stable</t>
        </is>
      </c>
      <c r="G130" s="58" t="inlineStr">
        <is>
          <t>Med</t>
        </is>
      </c>
    </row>
    <row r="131" ht="15" customHeight="1" s="42">
      <c r="A131" s="65">
        <f>Company_Master!A131</f>
        <v/>
      </c>
      <c r="B131" s="59" t="inlineStr">
        <is>
          <t>Brought data to LGBTQ+ financial inclusion before it was fashionable.</t>
        </is>
      </c>
      <c r="C131" s="59" t="inlineStr">
        <is>
          <t>Multi-edition 'LGBT Financial Experience' research series; CEI 100 record; inclusive benefits; EQUAL ERG.</t>
        </is>
      </c>
      <c r="D131" s="59" t="inlineStr">
        <is>
          <t>Lower visibility recently.</t>
        </is>
      </c>
      <c r="E131" s="59" t="inlineStr">
        <is>
          <t>Research-backed engagement plus continuity.</t>
        </is>
      </c>
      <c r="F131" s="59" t="inlineStr">
        <is>
          <t>Stable</t>
        </is>
      </c>
      <c r="G131" s="58" t="inlineStr">
        <is>
          <t>Med</t>
        </is>
      </c>
    </row>
    <row r="132" ht="15" customHeight="1" s="42">
      <c r="A132" s="65">
        <f>Company_Master!A132</f>
        <v/>
      </c>
      <c r="B132" s="59" t="inlineStr">
        <is>
          <t>Thin record in both directions.</t>
        </is>
      </c>
      <c r="C132" s="59" t="inlineStr">
        <is>
          <t>CEI-rated inclusive policies.</t>
        </is>
      </c>
      <c r="D132" s="59" t="inlineStr">
        <is>
          <t>No significant public commitments documented.</t>
        </is>
      </c>
      <c r="E132" s="59" t="inlineStr">
        <is>
          <t>Near-baseline by absence.</t>
        </is>
      </c>
      <c r="F132" s="59" t="inlineStr">
        <is>
          <t>Stable</t>
        </is>
      </c>
      <c r="G132" s="58" t="inlineStr">
        <is>
          <t>Low</t>
        </is>
      </c>
    </row>
    <row r="133" ht="15" customHeight="1" s="42">
      <c r="A133" s="65">
        <f>Company_Master!A133</f>
        <v/>
      </c>
      <c r="B133" s="59" t="inlineStr">
        <is>
          <t>Thin record in both directions.</t>
        </is>
      </c>
      <c r="C133" s="59" t="inlineStr">
        <is>
          <t>CEI-rated inclusive policies; internal inclusion programming.</t>
        </is>
      </c>
      <c r="D133" s="59" t="inlineStr">
        <is>
          <t>No significant public commitments documented.</t>
        </is>
      </c>
      <c r="E133" s="59" t="inlineStr">
        <is>
          <t>Near-baseline by absence.</t>
        </is>
      </c>
      <c r="F133" s="59" t="inlineStr">
        <is>
          <t>Stable</t>
        </is>
      </c>
      <c r="G133" s="58" t="inlineStr">
        <is>
          <t>Low</t>
        </is>
      </c>
    </row>
    <row r="134" ht="15" customHeight="1" s="42">
      <c r="A134" s="65">
        <f>Company_Master!A134</f>
        <v/>
      </c>
      <c r="B134" s="59" t="inlineStr">
        <is>
          <t>A red-state pharma that has repeatedly backed inclusion at home.</t>
        </is>
      </c>
      <c r="C134" s="59" t="inlineStr">
        <is>
          <t>Publicly opposed Indiana's 2015 RFRA from its Indianapolis headquarters; CEI 100 record; inclusive partner and gender-affirming benefits; Indy Pride engagement.</t>
        </is>
      </c>
      <c r="D134" s="59" t="inlineStr">
        <is>
          <t>Quieter since 2024; no confirmed CEI 2026 participation.</t>
        </is>
      </c>
      <c r="E134" s="59" t="inlineStr">
        <is>
          <t>Hometown advocacy when it carried political cost.</t>
        </is>
      </c>
      <c r="F134" s="59" t="inlineStr">
        <is>
          <t>Stable</t>
        </is>
      </c>
      <c r="G134" s="58" t="inlineStr">
        <is>
          <t>Med</t>
        </is>
      </c>
    </row>
    <row r="135" ht="15" customHeight="1" s="42">
      <c r="A135" s="65">
        <f>Company_Master!A135</f>
        <v/>
      </c>
      <c r="B135" s="59" t="inlineStr">
        <is>
          <t>A quiet pharma holder.</t>
        </is>
      </c>
      <c r="C135" s="59" t="inlineStr">
        <is>
          <t>CEI 100 record; inclusive benefits; Rainbow Alliance ERG; HIV antiretroviral legacy relevant to the community.</t>
        </is>
      </c>
      <c r="D135" s="59" t="inlineStr">
        <is>
          <t>Low public Pride visibility. Campaign-finance records additionally document contributions to anti-LGBTQ+ politicians/committees (see Political_Donations sheet; Data for Progress 2019-22 / Popular Information 2022-24).</t>
        </is>
      </c>
      <c r="E135" s="59" t="inlineStr">
        <is>
          <t>Continuity without retreat.</t>
        </is>
      </c>
      <c r="F135" s="59" t="inlineStr">
        <is>
          <t>Stable</t>
        </is>
      </c>
      <c r="G135" s="58" t="inlineStr">
        <is>
          <t>Med</t>
        </is>
      </c>
    </row>
    <row r="136" ht="15" customHeight="1" s="42">
      <c r="A136" s="65">
        <f>Company_Master!A136</f>
        <v/>
      </c>
      <c r="B136" s="59" t="inlineStr">
        <is>
          <t>A quiet pharma holder.</t>
        </is>
      </c>
      <c r="C136" s="59" t="inlineStr">
        <is>
          <t>CEI 100 record; inclusive benefits; Pride ERG.</t>
        </is>
      </c>
      <c r="D136" s="59" t="inlineStr">
        <is>
          <t>Low public visibility.</t>
        </is>
      </c>
      <c r="E136" s="59" t="inlineStr">
        <is>
          <t>Continuity without retreat.</t>
        </is>
      </c>
      <c r="F136" s="59" t="inlineStr">
        <is>
          <t>Stable</t>
        </is>
      </c>
      <c r="G136" s="58" t="inlineStr">
        <is>
          <t>Med</t>
        </is>
      </c>
    </row>
    <row r="137" ht="15" customHeight="1" s="42">
      <c r="A137" s="65">
        <f>Company_Master!A137</f>
        <v/>
      </c>
      <c r="B137" s="59" t="inlineStr">
        <is>
          <t>A quiet pharma holder.</t>
        </is>
      </c>
      <c r="C137" s="59" t="inlineStr">
        <is>
          <t>CEI 100 record; inclusive benefits; PRIDE Alliance ERG.</t>
        </is>
      </c>
      <c r="D137" s="59" t="inlineStr">
        <is>
          <t>Low public visibility.</t>
        </is>
      </c>
      <c r="E137" s="59" t="inlineStr">
        <is>
          <t>Continuity without retreat.</t>
        </is>
      </c>
      <c r="F137" s="59" t="inlineStr">
        <is>
          <t>Stable</t>
        </is>
      </c>
      <c r="G137" s="58" t="inlineStr">
        <is>
          <t>Med</t>
        </is>
      </c>
    </row>
    <row r="138" ht="15" customHeight="1" s="42">
      <c r="A138" s="65">
        <f>Company_Master!A138</f>
        <v/>
      </c>
      <c r="B138" s="59" t="inlineStr">
        <is>
          <t>Funds the community's health infrastructure at a scale no rainbow logo approaches.</t>
        </is>
      </c>
      <c r="C138" s="59" t="inlineStr">
        <is>
          <t>COMPASS Initiative: $100M+ over 10 years for HIV organizations in the Southern US (launched 2017, ongoing); sustained multi-million-dollar grant programs to LGBTQ+ and HIV organizations (TransAction trans health grants, Zeroing In); CEI 100 record; deep HIV-treatment and PrEP legacy.</t>
        </is>
      </c>
      <c r="D138" s="59" t="inlineStr">
        <is>
          <t>Drug-pricing criticism (PrEP pricing) complicates its community standing; marketing-level Pride visibility is modest.</t>
        </is>
      </c>
      <c r="E138" s="59" t="inlineStr">
        <is>
          <t>A decade-long nine-figure funding commitment — the largest sustained corporate investment in LGBTQ+ health.</t>
        </is>
      </c>
      <c r="F138" s="59" t="inlineStr">
        <is>
          <t>Stable</t>
        </is>
      </c>
      <c r="G138" s="58" t="inlineStr">
        <is>
          <t>High</t>
        </is>
      </c>
    </row>
    <row r="139" ht="15" customHeight="1" s="42">
      <c r="A139" s="65">
        <f>Company_Master!A139</f>
        <v/>
      </c>
      <c r="B139" s="59" t="inlineStr">
        <is>
          <t>Thin record in both directions.</t>
        </is>
      </c>
      <c r="C139" s="59" t="inlineStr">
        <is>
          <t>CEI-rated inclusive policies; internal ERG programming.</t>
        </is>
      </c>
      <c r="D139" s="59" t="inlineStr">
        <is>
          <t>No significant public commitments documented.</t>
        </is>
      </c>
      <c r="E139" s="59" t="inlineStr">
        <is>
          <t>Near-baseline by absence.</t>
        </is>
      </c>
      <c r="F139" s="59" t="inlineStr">
        <is>
          <t>Stable</t>
        </is>
      </c>
      <c r="G139" s="58" t="inlineStr">
        <is>
          <t>Low</t>
        </is>
      </c>
    </row>
    <row r="140" ht="15" customHeight="1" s="42">
      <c r="A140" s="65">
        <f>Company_Master!A140</f>
        <v/>
      </c>
      <c r="B140" s="59" t="inlineStr">
        <is>
          <t>Thin record in both directions.</t>
        </is>
      </c>
      <c r="C140" s="59" t="inlineStr">
        <is>
          <t>Standard inclusive policies; occasional posts.</t>
        </is>
      </c>
      <c r="D140" s="59" t="inlineStr">
        <is>
          <t>No significant public commitments documented.</t>
        </is>
      </c>
      <c r="E140" s="59" t="inlineStr">
        <is>
          <t>Near-baseline by absence.</t>
        </is>
      </c>
      <c r="F140" s="59" t="inlineStr">
        <is>
          <t>Stable</t>
        </is>
      </c>
      <c r="G140" s="58" t="inlineStr">
        <is>
          <t>Low</t>
        </is>
      </c>
    </row>
    <row r="141" ht="15" customHeight="1" s="42">
      <c r="A141" s="65">
        <f>Company_Master!A141</f>
        <v/>
      </c>
      <c r="B141" s="59" t="inlineStr">
        <is>
          <t>A non-participant.</t>
        </is>
      </c>
      <c r="C141" s="59" t="inlineStr">
        <is>
          <t>Standard inclusive policies; some facility-level Healthcare Equality Index participation.</t>
        </is>
      </c>
      <c r="D141" s="59" t="inlineStr">
        <is>
          <t>No significant corporate engagement documented.</t>
        </is>
      </c>
      <c r="E141" s="59" t="inlineStr">
        <is>
          <t>Near-baseline by absence.</t>
        </is>
      </c>
      <c r="F141" s="59" t="inlineStr">
        <is>
          <t>Stable</t>
        </is>
      </c>
      <c r="G141" s="58" t="inlineStr">
        <is>
          <t>Low</t>
        </is>
      </c>
    </row>
    <row r="142" ht="15" customHeight="1" s="42">
      <c r="A142" s="65">
        <f>Company_Master!A142</f>
        <v/>
      </c>
      <c r="B142" s="59" t="inlineStr">
        <is>
          <t>Part of the insurer pattern of quiet filings-level retreat.</t>
        </is>
      </c>
      <c r="C142" s="59" t="inlineStr">
        <is>
          <t>CEI 100 record; inclusive benefits; prior DEI reporting.</t>
        </is>
      </c>
      <c r="D142" s="59" t="inlineStr">
        <is>
          <t>2025 annual report quietly revised DEI strategy/risk language alongside UnitedHealth, Cigna and Humana (Modern Healthcare).</t>
        </is>
      </c>
      <c r="E142" s="59" t="inlineStr">
        <is>
          <t>Following the insurer pack into quiet retreat.</t>
        </is>
      </c>
      <c r="F142" s="59" t="inlineStr">
        <is>
          <t>Declining</t>
        </is>
      </c>
      <c r="G142" s="58" t="inlineStr">
        <is>
          <t>Med</t>
        </is>
      </c>
    </row>
    <row r="143" ht="15" customHeight="1" s="42">
      <c r="A143" s="65">
        <f>Company_Master!A143</f>
        <v/>
      </c>
      <c r="B143" s="59" t="inlineStr">
        <is>
          <t>A non-participant.</t>
        </is>
      </c>
      <c r="C143" s="59" t="inlineStr">
        <is>
          <t>None documented.</t>
        </is>
      </c>
      <c r="D143" s="59" t="inlineStr">
        <is>
          <t>None documented. Campaign-finance records additionally document contributions to anti-LGBTQ+ politicians/committees (see Political_Donations sheet; Data for Progress 2019-22 / Popular Information 2022-24).</t>
        </is>
      </c>
      <c r="E143" s="59" t="inlineStr">
        <is>
          <t>Absence of engagement; baseline.</t>
        </is>
      </c>
      <c r="F143" s="59" t="inlineStr">
        <is>
          <t>Stable</t>
        </is>
      </c>
      <c r="G143" s="58" t="inlineStr">
        <is>
          <t>Low</t>
        </is>
      </c>
    </row>
    <row r="144" ht="15" customHeight="1" s="42">
      <c r="A144" s="65">
        <f>Company_Master!A144</f>
        <v/>
      </c>
      <c r="B144" s="59" t="inlineStr">
        <is>
          <t>A non-participant.</t>
        </is>
      </c>
      <c r="C144" s="59" t="inlineStr">
        <is>
          <t>None documented.</t>
        </is>
      </c>
      <c r="D144" s="59" t="inlineStr">
        <is>
          <t>None documented.</t>
        </is>
      </c>
      <c r="E144" s="59" t="inlineStr">
        <is>
          <t>Absence of engagement; baseline.</t>
        </is>
      </c>
      <c r="F144" s="59" t="inlineStr">
        <is>
          <t>Stable</t>
        </is>
      </c>
      <c r="G144" s="58" t="inlineStr">
        <is>
          <t>Low</t>
        </is>
      </c>
    </row>
    <row r="145" ht="15" customHeight="1" s="42">
      <c r="A145" s="65">
        <f>Company_Master!A145</f>
        <v/>
      </c>
      <c r="B145" s="59" t="inlineStr">
        <is>
          <t>A non-participant.</t>
        </is>
      </c>
      <c r="C145" s="59" t="inlineStr">
        <is>
          <t>None documented.</t>
        </is>
      </c>
      <c r="D145" s="59" t="inlineStr">
        <is>
          <t>None documented. Campaign-finance records additionally document contributions to anti-LGBTQ+ politicians/committees (see Political_Donations sheet; Data for Progress 2019-22 / Popular Information 2022-24).</t>
        </is>
      </c>
      <c r="E145" s="59" t="inlineStr">
        <is>
          <t>Absence of engagement; baseline.</t>
        </is>
      </c>
      <c r="F145" s="59" t="inlineStr">
        <is>
          <t>Stable</t>
        </is>
      </c>
      <c r="G145" s="58" t="inlineStr">
        <is>
          <t>Low</t>
        </is>
      </c>
    </row>
    <row r="146" ht="15" customHeight="1" s="42">
      <c r="A146" s="65">
        <f>Company_Master!A146</f>
        <v/>
      </c>
      <c r="B146" s="59" t="inlineStr">
        <is>
          <t>Thin record in both directions.</t>
        </is>
      </c>
      <c r="C146" s="59" t="inlineStr">
        <is>
          <t>Occasional local engagement; standard inclusive policies.</t>
        </is>
      </c>
      <c r="D146" s="59" t="inlineStr">
        <is>
          <t>No significant documented commitments.</t>
        </is>
      </c>
      <c r="E146" s="59" t="inlineStr">
        <is>
          <t>Near-baseline by absence.</t>
        </is>
      </c>
      <c r="F146" s="59" t="inlineStr">
        <is>
          <t>Stable</t>
        </is>
      </c>
      <c r="G146" s="58" t="inlineStr">
        <is>
          <t>Low</t>
        </is>
      </c>
    </row>
    <row r="147" ht="15" customHeight="1" s="42">
      <c r="A147" s="65">
        <f>Company_Master!A147</f>
        <v/>
      </c>
      <c r="B147" s="59" t="inlineStr">
        <is>
          <t>Light local engagement in its home state.</t>
        </is>
      </c>
      <c r="C147" s="59" t="inlineStr">
        <is>
          <t>Virginia Pride event sponsorship history; standard inclusive policies.</t>
        </is>
      </c>
      <c r="D147" s="59" t="inlineStr">
        <is>
          <t>Minimal broader engagement; sponsorship status post-2024 unconfirmed.</t>
        </is>
      </c>
      <c r="E147" s="59" t="inlineStr">
        <is>
          <t>Local sponsorship history without depth.</t>
        </is>
      </c>
      <c r="F147" s="59" t="inlineStr">
        <is>
          <t>Stable</t>
        </is>
      </c>
      <c r="G147" s="58" t="inlineStr">
        <is>
          <t>Low</t>
        </is>
      </c>
    </row>
    <row r="148" ht="15" customHeight="1" s="42">
      <c r="A148" s="65">
        <f>Company_Master!A148</f>
        <v/>
      </c>
      <c r="B148" s="59" t="inlineStr">
        <is>
          <t>A non-participant.</t>
        </is>
      </c>
      <c r="C148" s="59" t="inlineStr">
        <is>
          <t>None documented.</t>
        </is>
      </c>
      <c r="D148" s="59" t="inlineStr">
        <is>
          <t>None documented.</t>
        </is>
      </c>
      <c r="E148" s="59" t="inlineStr">
        <is>
          <t>Absence of engagement; baseline.</t>
        </is>
      </c>
      <c r="F148" s="59" t="inlineStr">
        <is>
          <t>Stable</t>
        </is>
      </c>
      <c r="G148" s="58" t="inlineStr">
        <is>
          <t>Low</t>
        </is>
      </c>
    </row>
    <row r="149" ht="15" customHeight="1" s="42">
      <c r="A149" s="65">
        <f>Company_Master!A149</f>
        <v/>
      </c>
      <c r="B149" s="59" t="inlineStr">
        <is>
          <t>A non-participant; its majority owner is the sovereign fund of a state that criminalizes homosexuality.</t>
        </is>
      </c>
      <c r="C149" s="59" t="inlineStr">
        <is>
          <t>None documented.</t>
        </is>
      </c>
      <c r="D149" s="59" t="inlineStr">
        <is>
          <t>No corporate anti-LGBTQ+ actions documented; ownership context (Saudi PIF) noted as background, not a scored action.</t>
        </is>
      </c>
      <c r="E149" s="59" t="inlineStr">
        <is>
          <t>Absence of engagement; baseline.</t>
        </is>
      </c>
      <c r="F149" s="59" t="inlineStr">
        <is>
          <t>Stable</t>
        </is>
      </c>
      <c r="G149" s="58" t="inlineStr">
        <is>
          <t>Low</t>
        </is>
      </c>
    </row>
    <row r="150" ht="15" customHeight="1" s="42">
      <c r="A150" s="65">
        <f>Company_Master!A150</f>
        <v/>
      </c>
      <c r="B150" s="59" t="inlineStr">
        <is>
          <t>Thin record in both directions.</t>
        </is>
      </c>
      <c r="C150" s="59" t="inlineStr">
        <is>
          <t>CEI-rated inclusive policies; occasional LGBTQ+ travel marketing.</t>
        </is>
      </c>
      <c r="D150" s="59" t="inlineStr">
        <is>
          <t>No significant documented commitments.</t>
        </is>
      </c>
      <c r="E150" s="59" t="inlineStr">
        <is>
          <t>Near-baseline by absence.</t>
        </is>
      </c>
      <c r="F150" s="59" t="inlineStr">
        <is>
          <t>Stable</t>
        </is>
      </c>
      <c r="G150" s="58" t="inlineStr">
        <is>
          <t>Low</t>
        </is>
      </c>
    </row>
    <row r="151" ht="15" customHeight="1" s="42">
      <c r="A151" s="65">
        <f>Company_Master!A151</f>
        <v/>
      </c>
      <c r="B151" s="59" t="inlineStr">
        <is>
          <t>A hospitality holder that kept sponsoring in 2025.</t>
        </is>
      </c>
      <c r="C151" s="59" t="inlineStr">
        <is>
          <t>Supported WorldPride 2025 in Washington DC (HR Dive); CEI 100 record; funded LGBTQ+ ERG; LGBTQ+ travel marketing history.</t>
        </is>
      </c>
      <c r="D151" s="59" t="inlineStr">
        <is>
          <t>Standard global-hotelier footprint in hostile jurisdictions.</t>
        </is>
      </c>
      <c r="E151" s="59" t="inlineStr">
        <is>
          <t>Visible 2025 sponsorship amid the corporate exodus.</t>
        </is>
      </c>
      <c r="F151" s="59" t="inlineStr">
        <is>
          <t>Stable</t>
        </is>
      </c>
      <c r="G151" s="58" t="inlineStr">
        <is>
          <t>High</t>
        </is>
      </c>
    </row>
    <row r="152" ht="15" customHeight="1" s="42">
      <c r="A152" s="65">
        <f>Company_Master!A152</f>
        <v/>
      </c>
      <c r="B152" s="59" t="inlineStr">
        <is>
          <t>A quiet airline holder.</t>
        </is>
      </c>
      <c r="C152" s="59" t="inlineStr">
        <is>
          <t>Among corporations whose boards rejected anti-DEI proposals in 2025 (Uprise RI); CEI 100 record; funded LGBTQ+ ERG; Pride engagement in prior years.</t>
        </is>
      </c>
      <c r="D152" s="59" t="inlineStr">
        <is>
          <t>Activist-investor pressure (Elliott) has muted all non-core spending; low current visibility.</t>
        </is>
      </c>
      <c r="E152" s="59" t="inlineStr">
        <is>
          <t>Board-level defense plus continuity.</t>
        </is>
      </c>
      <c r="F152" s="59" t="inlineStr">
        <is>
          <t>Stable</t>
        </is>
      </c>
      <c r="G152" s="58" t="inlineStr">
        <is>
          <t>Med</t>
        </is>
      </c>
    </row>
    <row r="153" ht="15" customHeight="1" s="42">
      <c r="A153" s="65">
        <f>Company_Master!A153</f>
        <v/>
      </c>
      <c r="B153" s="59" t="inlineStr">
        <is>
          <t>A New York airline that stayed visible at its hometown Pride.</t>
        </is>
      </c>
      <c r="C153" s="59" t="inlineStr">
        <is>
          <t>NYC Pride sponsorship/participation history incl. Pride-themed activations and flights; funded JetPride crewmember resource group; CEI 100 record.</t>
        </is>
      </c>
      <c r="D153" s="59" t="inlineStr">
        <is>
          <t>Financial constraints limit spending; depth beyond events is modest.</t>
        </is>
      </c>
      <c r="E153" s="59" t="inlineStr">
        <is>
          <t>Hometown Pride continuity.</t>
        </is>
      </c>
      <c r="F153" s="59" t="inlineStr">
        <is>
          <t>Stable</t>
        </is>
      </c>
      <c r="G153" s="58" t="inlineStr">
        <is>
          <t>Med</t>
        </is>
      </c>
    </row>
    <row r="154" ht="15" customHeight="1" s="42">
      <c r="A154" s="65">
        <f>Company_Master!A154</f>
        <v/>
      </c>
      <c r="B154" s="59" t="inlineStr">
        <is>
          <t>Commercially friendly, corporately quiet.</t>
        </is>
      </c>
      <c r="C154" s="59" t="inlineStr">
        <is>
          <t>Onboard Pride events and LGBTQ+-welcoming cruise marketing.</t>
        </is>
      </c>
      <c r="D154" s="59" t="inlineStr">
        <is>
          <t>Minimal corporate policy disclosure or community investment documented.</t>
        </is>
      </c>
      <c r="E154" s="59" t="inlineStr">
        <is>
          <t>Commercial hospitality without structural depth.</t>
        </is>
      </c>
      <c r="F154" s="59" t="inlineStr">
        <is>
          <t>Stable</t>
        </is>
      </c>
      <c r="G154" s="58" t="inlineStr">
        <is>
          <t>Low</t>
        </is>
      </c>
    </row>
    <row r="155" ht="15" customHeight="1" s="42">
      <c r="A155" s="65">
        <f>Company_Master!A155</f>
        <v/>
      </c>
      <c r="B155" s="59" t="inlineStr">
        <is>
          <t>Commercially friendly, corporately quiet.</t>
        </is>
      </c>
      <c r="C155" s="59" t="inlineStr">
        <is>
          <t>Onboard Pride events; LGBTQ+-welcoming marketing across brands.</t>
        </is>
      </c>
      <c r="D155" s="59" t="inlineStr">
        <is>
          <t>Minimal corporate policy disclosure or community investment documented.</t>
        </is>
      </c>
      <c r="E155" s="59" t="inlineStr">
        <is>
          <t>Commercial hospitality without structural depth.</t>
        </is>
      </c>
      <c r="F155" s="59" t="inlineStr">
        <is>
          <t>Stable</t>
        </is>
      </c>
      <c r="G155" s="58" t="inlineStr">
        <is>
          <t>Low</t>
        </is>
      </c>
    </row>
    <row r="156" ht="15" customHeight="1" s="42">
      <c r="A156" s="65">
        <f>Company_Master!A156</f>
        <v/>
      </c>
      <c r="B156" s="59" t="inlineStr">
        <is>
          <t>A quiet consumer-goods holder.</t>
        </is>
      </c>
      <c r="C156" s="59" t="inlineStr">
        <is>
          <t>CEI 100 record; inclusive partner and gender-affirming benefits; Pride ERG.</t>
        </is>
      </c>
      <c r="D156" s="59" t="inlineStr">
        <is>
          <t>Low public visibility.</t>
        </is>
      </c>
      <c r="E156" s="59" t="inlineStr">
        <is>
          <t>Continuity without retreat.</t>
        </is>
      </c>
      <c r="F156" s="59" t="inlineStr">
        <is>
          <t>Stable</t>
        </is>
      </c>
      <c r="G156" s="58" t="inlineStr">
        <is>
          <t>Med</t>
        </is>
      </c>
    </row>
    <row r="157" ht="15" customHeight="1" s="42">
      <c r="A157" s="65">
        <f>Company_Master!A157</f>
        <v/>
      </c>
      <c r="B157" s="59" t="inlineStr">
        <is>
          <t>Thirty years of VIVA GLAM make this the beauty industry's deepest LGBTQ+ commitment.</t>
        </is>
      </c>
      <c r="C157" s="59" t="inlineStr">
        <is>
          <t>MAC VIVA GLAM lipstick line: 100% of the selling price donated since 1994, raising $500M+ for HIV/AIDS and LGBTQ+ organizations through the MAC VIVA GLAM Fund; drag and queer icons as campaign faces from RuPaul (1994) onward; CEI 100 record; inclusive benefits.</t>
        </is>
      </c>
      <c r="D157" s="59" t="inlineStr">
        <is>
          <t>Corporate-level engagement beyond MAC is quieter; no confirmed CEI 2026 participation.</t>
        </is>
      </c>
      <c r="E157" s="59" t="inlineStr">
        <is>
          <t>An unbroken 30-year, nine-figure giving program woven into a flagship product.</t>
        </is>
      </c>
      <c r="F157" s="59" t="inlineStr">
        <is>
          <t>Stable</t>
        </is>
      </c>
      <c r="G157" s="58" t="inlineStr">
        <is>
          <t>High</t>
        </is>
      </c>
    </row>
    <row r="158" ht="15" customHeight="1" s="42">
      <c r="A158" s="65">
        <f>Company_Master!A158</f>
        <v/>
      </c>
      <c r="B158" s="59" t="inlineStr">
        <is>
          <t>A quiet consumer-goods holder.</t>
        </is>
      </c>
      <c r="C158" s="59" t="inlineStr">
        <is>
          <t>CEI 100 record; inclusive partner and gender-affirming benefits; continued inclusion reporting.</t>
        </is>
      </c>
      <c r="D158" s="59" t="inlineStr">
        <is>
          <t>Low public visibility.</t>
        </is>
      </c>
      <c r="E158" s="59" t="inlineStr">
        <is>
          <t>Continuity without retreat.</t>
        </is>
      </c>
      <c r="F158" s="59" t="inlineStr">
        <is>
          <t>Stable</t>
        </is>
      </c>
      <c r="G158" s="58" t="inlineStr">
        <is>
          <t>Med</t>
        </is>
      </c>
    </row>
    <row r="159" ht="15" customHeight="1" s="42">
      <c r="A159" s="65">
        <f>Company_Master!A159</f>
        <v/>
      </c>
      <c r="B159" s="59" t="inlineStr">
        <is>
          <t>Joined the defense industry's silent webpage purge.</t>
        </is>
      </c>
      <c r="C159" s="59" t="inlineStr">
        <is>
          <t>Previous CEI 100 standing; funded pride@northropgrumman ERG; inclusive benefits.</t>
        </is>
      </c>
      <c r="D159" s="59" t="inlineStr">
        <is>
          <t>Early 2025: DEI webpages removed/redirecting to dead links per Breaking Defense's sector documentation; no public explanation.</t>
        </is>
      </c>
      <c r="E159" s="59" t="inlineStr">
        <is>
          <t>Wordless erasure of public commitments.</t>
        </is>
      </c>
      <c r="F159" s="59" t="inlineStr">
        <is>
          <t>Sharp Reversal</t>
        </is>
      </c>
      <c r="G159" s="58" t="inlineStr">
        <is>
          <t>Med</t>
        </is>
      </c>
    </row>
    <row r="160" ht="15" customHeight="1" s="42">
      <c r="A160" s="65">
        <f>Company_Master!A160</f>
        <v/>
      </c>
      <c r="B160" s="59" t="inlineStr">
        <is>
          <t>Joined the defense industry's silent webpage purge.</t>
        </is>
      </c>
      <c r="C160" s="59" t="inlineStr">
        <is>
          <t>Previous CEI participation; inclusive policies and internal programming.</t>
        </is>
      </c>
      <c r="D160" s="59" t="inlineStr">
        <is>
          <t>Early 2025: DEI webpages removed/redirecting to dead links per Breaking Defense; no public explanation.</t>
        </is>
      </c>
      <c r="E160" s="59" t="inlineStr">
        <is>
          <t>Wordless erasure of public commitments.</t>
        </is>
      </c>
      <c r="F160" s="59" t="inlineStr">
        <is>
          <t>Sharp Reversal</t>
        </is>
      </c>
      <c r="G160" s="58" t="inlineStr">
        <is>
          <t>Med</t>
        </is>
      </c>
    </row>
    <row r="161" ht="15" customHeight="1" s="42">
      <c r="A161" s="65">
        <f>Company_Master!A161</f>
        <v/>
      </c>
      <c r="B161" s="59" t="inlineStr">
        <is>
          <t>Joined the defense industry's silent webpage purge.</t>
        </is>
      </c>
      <c r="C161" s="59" t="inlineStr">
        <is>
          <t>Previous CEI participation; inclusive policies; internal ERG programming.</t>
        </is>
      </c>
      <c r="D161" s="59" t="inlineStr">
        <is>
          <t>Early 2025: DEI webpages removed/redirecting to dead links per Breaking Defense; no public explanation.</t>
        </is>
      </c>
      <c r="E161" s="59" t="inlineStr">
        <is>
          <t>Wordless erasure of public commitments.</t>
        </is>
      </c>
      <c r="F161" s="59" t="inlineStr">
        <is>
          <t>Sharp Reversal</t>
        </is>
      </c>
      <c r="G161" s="58" t="inlineStr">
        <is>
          <t>Med</t>
        </is>
      </c>
    </row>
    <row r="162" ht="15" customHeight="1" s="42">
      <c r="A162" s="65">
        <f>Company_Master!A162</f>
        <v/>
      </c>
      <c r="B162" s="59" t="inlineStr">
        <is>
          <t>A quiet Minnesota retreat from measurable commitments.</t>
        </is>
      </c>
      <c r="C162" s="59" t="inlineStr">
        <is>
          <t>Long CEI 100 record; funded 3M Pride ERG; inclusive benefits; Twin Cities Pride engagement in prior years.</t>
        </is>
      </c>
      <c r="D162" s="59" t="inlineStr">
        <is>
          <t>2025: retired diversity representation goals and softened DEI language in filings and public materials, part of the documented rollback wave (Ongig/industry tracking).</t>
        </is>
      </c>
      <c r="E162" s="59" t="inlineStr">
        <is>
          <t>Dropping measurable goals while keeping soft language.</t>
        </is>
      </c>
      <c r="F162" s="59" t="inlineStr">
        <is>
          <t>Declining</t>
        </is>
      </c>
      <c r="G162" s="58" t="inlineStr">
        <is>
          <t>Med</t>
        </is>
      </c>
    </row>
    <row r="163" ht="15" customHeight="1" s="42">
      <c r="A163" s="65">
        <f>Company_Master!A163</f>
        <v/>
      </c>
      <c r="B163" s="59" t="inlineStr">
        <is>
          <t>Thin record in both directions.</t>
        </is>
      </c>
      <c r="C163" s="59" t="inlineStr">
        <is>
          <t>CEI-rated inclusive policies; internal inclusion programming.</t>
        </is>
      </c>
      <c r="D163" s="59" t="inlineStr">
        <is>
          <t>No significant public commitments documented; DEI visibility reduced industry-wide.</t>
        </is>
      </c>
      <c r="E163" s="59" t="inlineStr">
        <is>
          <t>Near-baseline by absence.</t>
        </is>
      </c>
      <c r="F163" s="59" t="inlineStr">
        <is>
          <t>Stable</t>
        </is>
      </c>
      <c r="G163" s="58" t="inlineStr">
        <is>
          <t>Low</t>
        </is>
      </c>
    </row>
    <row r="164" ht="15" customHeight="1" s="42">
      <c r="A164" s="65">
        <f>Company_Master!A164</f>
        <v/>
      </c>
      <c r="B164" s="59" t="inlineStr">
        <is>
          <t>Thin current record after corporate restructuring.</t>
        </is>
      </c>
      <c r="C164" s="59" t="inlineStr">
        <is>
          <t>Legacy GE Pride Alliance ERG; CEI participation history; inclusive policies.</t>
        </is>
      </c>
      <c r="D164" s="59" t="inlineStr">
        <is>
          <t>Minimal public engagement since the three-way GE split.</t>
        </is>
      </c>
      <c r="E164" s="59" t="inlineStr">
        <is>
          <t>Near-baseline; legacy infrastructure without current visibility.</t>
        </is>
      </c>
      <c r="F164" s="59" t="inlineStr">
        <is>
          <t>Stable</t>
        </is>
      </c>
      <c r="G164" s="58" t="inlineStr">
        <is>
          <t>Low</t>
        </is>
      </c>
    </row>
    <row r="165" ht="15" customHeight="1" s="42">
      <c r="A165" s="65">
        <f>Company_Master!A165</f>
        <v/>
      </c>
      <c r="B165" s="59" t="inlineStr">
        <is>
          <t>An early industrial capitulator to the activist pressure campaign.</t>
        </is>
      </c>
      <c r="C165" s="59" t="inlineStr">
        <is>
          <t>Funded LGBTQ+ ERG; prior CEI participation; internal inclusion programming.</t>
        </is>
      </c>
      <c r="D165" s="59" t="inlineStr">
        <is>
          <t>Sep 2024: refocused all training on 'business operations' and required senior-leader approval for external surveys/awards after Robby Starbuck targeted the company (WGLT) — a structural exit from external accountability.</t>
        </is>
      </c>
      <c r="E165" s="59" t="inlineStr">
        <is>
          <t>Choosing retreat at the first sign of pressure, months before any government mandate.</t>
        </is>
      </c>
      <c r="F165" s="59" t="inlineStr">
        <is>
          <t>Sharp Reversal</t>
        </is>
      </c>
      <c r="G165" s="58" t="inlineStr">
        <is>
          <t>High</t>
        </is>
      </c>
    </row>
    <row r="166" ht="15" customHeight="1" s="42">
      <c r="A166" s="65">
        <f>Company_Master!A166</f>
        <v/>
      </c>
      <c r="B166" s="59" t="inlineStr">
        <is>
          <t>Cut Pride sponsorships under pressure even as its own shareholders showed no appetite for retreat.</t>
        </is>
      </c>
      <c r="C166" s="59" t="inlineStr">
        <is>
          <t>Prior CEI participation and scores; funded LGBTQ+ ERG; Pride event sponsorships (ended Jul 2024); shareholders rejected an anti-DEI proposal 98.7% in Feb 2025 (Fortune).</t>
        </is>
      </c>
      <c r="D166" s="59" t="inlineStr">
        <is>
          <t>Jul 2024: announced it would no longer sponsor 'social or cultural awareness' events incl. Pride and would audit training materials after the Starbuck campaign — HRC docked its CEI score 25 points as one of seven penalized companies.</t>
        </is>
      </c>
      <c r="E166" s="59" t="inlineStr">
        <is>
          <t>Explicitly naming cultural-event sponsorships — Pride included — as the cut.</t>
        </is>
      </c>
      <c r="F166" s="59" t="inlineStr">
        <is>
          <t>Sharp Reversal</t>
        </is>
      </c>
      <c r="G166" s="58" t="inlineStr">
        <is>
          <t>High</t>
        </is>
      </c>
    </row>
    <row r="167" ht="15" customHeight="1" s="42">
      <c r="A167" s="65">
        <f>Company_Master!A167</f>
        <v/>
      </c>
      <c r="B167" s="59" t="inlineStr">
        <is>
          <t>A complete and unusually candid dismantling.</t>
        </is>
      </c>
      <c r="C167" s="59" t="inlineStr">
        <is>
          <t>Years of CEI 100 scores; funded LGBTQ+ BRG; inclusive benefits.</t>
        </is>
      </c>
      <c r="D167" s="59" t="inlineStr">
        <is>
          <t>Company statement: 'we have not operated a DEI function since April 2024, and we do not have a DEI function today. We do not have hiring quotas and we no longer have supplier diversity spend goals' (LiveNOW/Fox tracking).</t>
        </is>
      </c>
      <c r="E167" s="59" t="inlineStr">
        <is>
          <t>The unambiguous on-record confirmation that the entire function is gone.</t>
        </is>
      </c>
      <c r="F167" s="59" t="inlineStr">
        <is>
          <t>Sharp Reversal</t>
        </is>
      </c>
      <c r="G167" s="58" t="inlineStr">
        <is>
          <t>High</t>
        </is>
      </c>
    </row>
    <row r="168" ht="15" customHeight="1" s="42">
      <c r="A168" s="65">
        <f>Company_Master!A168</f>
        <v/>
      </c>
      <c r="B168" s="59" t="inlineStr">
        <is>
          <t>A quiet logistics holder — notable given rival UPS's full dismantling.</t>
        </is>
      </c>
      <c r="C168" s="59" t="inlineStr">
        <is>
          <t>CEI 100 history; funded LGBTQ+ ERG; inclusive benefits; absent from major rollback lists.</t>
        </is>
      </c>
      <c r="D168" s="59" t="inlineStr">
        <is>
          <t>Minimal public engagement; Memphis-based conservatism keeps the profile low. Campaign-finance records additionally document contributions to anti-LGBTQ+ politicians/committees (see Political_Donations sheet; Data for Progress 2019-22 / Popular Information 2022-24).</t>
        </is>
      </c>
      <c r="E168" s="59" t="inlineStr">
        <is>
          <t>No retreat documented while its direct competitor eliminated DEI entirely.</t>
        </is>
      </c>
      <c r="F168" s="59" t="inlineStr">
        <is>
          <t>Stable</t>
        </is>
      </c>
      <c r="G168" s="58" t="inlineStr">
        <is>
          <t>Med</t>
        </is>
      </c>
    </row>
    <row r="169" ht="15" customHeight="1" s="42">
      <c r="A169" s="65">
        <f>Company_Master!A169</f>
        <v/>
      </c>
      <c r="B169" s="59" t="inlineStr">
        <is>
          <t>Programming-level presence without corporate depth.</t>
        </is>
      </c>
      <c r="C169" s="59" t="inlineStr">
        <is>
          <t>LGBTQ+-hosted channels and programming (Radio Andy, OutQ legacy); inclusive policies.</t>
        </is>
      </c>
      <c r="D169" s="59" t="inlineStr">
        <is>
          <t>Minimal corporate engagement or disclosure documented.</t>
        </is>
      </c>
      <c r="E169" s="59" t="inlineStr">
        <is>
          <t>Content without commitments.</t>
        </is>
      </c>
      <c r="F169" s="59" t="inlineStr">
        <is>
          <t>Stable</t>
        </is>
      </c>
      <c r="G169" s="58" t="inlineStr">
        <is>
          <t>Low</t>
        </is>
      </c>
    </row>
    <row r="170" ht="15" customHeight="1" s="42">
      <c r="A170" s="65">
        <f>Company_Master!A170</f>
        <v/>
      </c>
      <c r="B170" s="59" t="inlineStr">
        <is>
          <t>Scores well inside the building while its flagship product attacks the community outside it.</t>
        </is>
      </c>
      <c r="C170" s="59" t="inlineStr">
        <is>
          <t>Participated in HRC's CEI with high scores (90, 2022); funded internal LGBTQ+ ERG; inclusive employee benefits.</t>
        </is>
      </c>
      <c r="D170" s="59" t="inlineStr">
        <is>
          <t>Fox News programming is the most-documented source of anti-trans rhetoric in US media (Media Matters tracking of segments targeting trans people); the gap between internal policy and editorial output is the defining feature — inclusion as HR policy, exclusion as product.</t>
        </is>
      </c>
      <c r="E170" s="59" t="inlineStr">
        <is>
          <t>The contradiction itself: corporate inclusion paired with programming that GLAAD and Media Matters document as anti-LGBTQ+.</t>
        </is>
      </c>
      <c r="F170" s="59" t="inlineStr">
        <is>
          <t>Stable</t>
        </is>
      </c>
      <c r="G170" s="58" t="inlineStr">
        <is>
          <t>High</t>
        </is>
      </c>
    </row>
    <row r="171" ht="15" customHeight="1" s="42">
      <c r="A171" s="65">
        <f>Company_Master!A171</f>
        <v/>
      </c>
      <c r="B171" s="59" t="inlineStr">
        <is>
          <t>Patient zero of the anti-DEI capitulation wave — it wrote the retreat playbook in one June 2024 statement.</t>
        </is>
      </c>
      <c r="C171" s="59" t="inlineStr">
        <is>
          <t>Prior Pride festival sponsorships, DEI roles and team, and Pride-season engagement.</t>
        </is>
      </c>
      <c r="D171" s="59" t="inlineStr">
        <is>
          <t>June 2024: eliminated all DEI roles, ended Pride festival sponsorships and voting campaigns, and withdrew carbon goals after a one-week Starbuck pressure campaign (CNBC, NPR, Retail Dive); HRC docked its CEI score as one of seven penalized companies.</t>
        </is>
      </c>
      <c r="E171" s="59" t="inlineStr">
        <is>
          <t>Capitulating completely in under a week — proving to every activist that pressure works.</t>
        </is>
      </c>
      <c r="F171" s="59" t="inlineStr">
        <is>
          <t>Sharp Reversal</t>
        </is>
      </c>
      <c r="G171" s="58" t="inlineStr">
        <is>
          <t>High</t>
        </is>
      </c>
    </row>
    <row r="172" ht="15" customHeight="1" s="42">
      <c r="A172" s="65">
        <f>Company_Master!A172</f>
        <v/>
      </c>
      <c r="B172" s="59" t="inlineStr">
        <is>
          <t>Quiet on LGBTQ+ issues despite a record of values-driven positions elsewhere.</t>
        </is>
      </c>
      <c r="C172" s="59" t="inlineStr">
        <is>
          <t>Occasional Pride posts; inclusive employment policies.</t>
        </is>
      </c>
      <c r="D172" s="59" t="inlineStr">
        <is>
          <t>No significant LGBTQ+ sponsorships, donations or advocacy documented.</t>
        </is>
      </c>
      <c r="E172" s="59" t="inlineStr">
        <is>
          <t>Near-baseline by absence.</t>
        </is>
      </c>
      <c r="F172" s="59" t="inlineStr">
        <is>
          <t>Stable</t>
        </is>
      </c>
      <c r="G172" s="58" t="inlineStr">
        <is>
          <t>Low</t>
        </is>
      </c>
    </row>
    <row r="173" ht="15" customHeight="1" s="42">
      <c r="A173" s="65">
        <f>Company_Master!A173</f>
        <v/>
      </c>
      <c r="B173" s="59" t="inlineStr">
        <is>
          <t>A non-participant.</t>
        </is>
      </c>
      <c r="C173" s="59" t="inlineStr">
        <is>
          <t>None documented.</t>
        </is>
      </c>
      <c r="D173" s="59" t="inlineStr">
        <is>
          <t>None documented.</t>
        </is>
      </c>
      <c r="E173" s="59" t="inlineStr">
        <is>
          <t>Absence of engagement; baseline.</t>
        </is>
      </c>
      <c r="F173" s="59" t="inlineStr">
        <is>
          <t>Stable</t>
        </is>
      </c>
      <c r="G173" s="58" t="inlineStr">
        <is>
          <t>Low</t>
        </is>
      </c>
    </row>
    <row r="174" ht="15" customHeight="1" s="42">
      <c r="A174" s="65">
        <f>Company_Master!A174</f>
        <v/>
      </c>
      <c r="B174" s="59" t="inlineStr">
        <is>
          <t>A commercial supporter that kept its Pride assortment on shelves through the boycott era.</t>
        </is>
      </c>
      <c r="C174" s="59" t="inlineStr">
        <is>
          <t>Annual Pride collections (candles, body care) maintained through periodic conservative backlash; CEI 100 record; Pride campaign branding.</t>
        </is>
      </c>
      <c r="D174" s="59" t="inlineStr">
        <is>
          <t>Engagement is merchandising-led with little civic or financial depth.</t>
        </is>
      </c>
      <c r="E174" s="59" t="inlineStr">
        <is>
          <t>Product continuity under pressure.</t>
        </is>
      </c>
      <c r="F174" s="59" t="inlineStr">
        <is>
          <t>Stable</t>
        </is>
      </c>
      <c r="G174" s="58" t="inlineStr">
        <is>
          <t>Med</t>
        </is>
      </c>
    </row>
    <row r="175" ht="15" customHeight="1" s="42">
      <c r="A175" s="65">
        <f>Company_Master!A175</f>
        <v/>
      </c>
      <c r="B175" s="59" t="inlineStr">
        <is>
          <t>A Southeast grocery giant whose documented actions run against the community, never offset by support.</t>
        </is>
      </c>
      <c r="C175" s="59" t="inlineStr">
        <is>
          <t>Reversed its PrEP denial in Feb 2018 after public pressure — the lone positive movement, and it was forced (Advocate).</t>
        </is>
      </c>
      <c r="D175" s="59" t="inlineStr">
        <is>
          <t>2018: refused to cover PrEP HIV-prevention medication in employee health plans until HRC-led national outcry forced reversal (Advocate, TheBody); political contributions documented to Florida legislators sponsoring anti-LGBTQ+ legislation including 'Don't Say Gay' (Wikipedia/Popular Information reporting); no Pride engagement ever; some Florida Pride organizations have cut ties.</t>
        </is>
      </c>
      <c r="E175" s="59" t="inlineStr">
        <is>
          <t>The PrEP denial — a concrete health-coverage exclusion aimed at a community-critical medication, reversed only under public fire.</t>
        </is>
      </c>
      <c r="F175" s="59" t="inlineStr">
        <is>
          <t>Stable</t>
        </is>
      </c>
      <c r="G175" s="58" t="inlineStr">
        <is>
          <t>Med</t>
        </is>
      </c>
    </row>
    <row r="176" ht="15" customHeight="1" s="42">
      <c r="A176" s="65">
        <f>Company_Master!A176</f>
        <v/>
      </c>
      <c r="B176" s="59" t="inlineStr">
        <is>
          <t>An adversary by litigation and by funding: it fought a trans employee in court for a decade and its profits flow to anti-LGBTQ+ causes.</t>
        </is>
      </c>
      <c r="C176" s="59" t="inlineStr">
        <is>
          <t>None documented at any point.</t>
        </is>
      </c>
      <c r="D176" s="59" t="inlineStr">
        <is>
          <t>Fought trans employee Meggan Sommerville's restroom access through years of litigation, losing in Illinois appellate court (2021) with damages affirmed; the owning Green family directs substantial giving through the National Christian Foundation, repeatedly documented as the largest funder of anti-LGBTQ+ advocacy organizations; corporate religious-liberty litigation posture (Burwell v. Hobby Lobby) anchors the broader pattern.</t>
        </is>
      </c>
      <c r="E176" s="59" t="inlineStr">
        <is>
          <t>A decade of courtroom resistance to one trans employee's basic workplace access.</t>
        </is>
      </c>
      <c r="F176" s="59" t="inlineStr">
        <is>
          <t>Stable</t>
        </is>
      </c>
      <c r="G176" s="58" t="inlineStr">
        <is>
          <t>Med</t>
        </is>
      </c>
    </row>
    <row r="177" ht="15" customHeight="1" s="42">
      <c r="A177" s="65">
        <f>Company_Master!A177</f>
        <v/>
      </c>
      <c r="B177" s="59" t="inlineStr">
        <is>
          <t>A non-participant.</t>
        </is>
      </c>
      <c r="C177" s="59" t="inlineStr">
        <is>
          <t>None documented.</t>
        </is>
      </c>
      <c r="D177" s="59" t="inlineStr">
        <is>
          <t>None documented.</t>
        </is>
      </c>
      <c r="E177" s="59" t="inlineStr">
        <is>
          <t>Absence of engagement; baseline.</t>
        </is>
      </c>
      <c r="F177" s="59" t="inlineStr">
        <is>
          <t>Stable</t>
        </is>
      </c>
      <c r="G177" s="58" t="inlineStr">
        <is>
          <t>Low</t>
        </is>
      </c>
    </row>
    <row r="178" ht="15" customHeight="1" s="42">
      <c r="A178" s="65">
        <f>Company_Master!A178</f>
        <v/>
      </c>
      <c r="B178" s="59" t="inlineStr">
        <is>
          <t>A non-participant.</t>
        </is>
      </c>
      <c r="C178" s="59" t="inlineStr">
        <is>
          <t>None documented.</t>
        </is>
      </c>
      <c r="D178" s="59" t="inlineStr">
        <is>
          <t>None documented.</t>
        </is>
      </c>
      <c r="E178" s="59" t="inlineStr">
        <is>
          <t>Absence of engagement; baseline.</t>
        </is>
      </c>
      <c r="F178" s="59" t="inlineStr">
        <is>
          <t>Stable</t>
        </is>
      </c>
      <c r="G178" s="58" t="inlineStr">
        <is>
          <t>Low</t>
        </is>
      </c>
    </row>
    <row r="179" ht="15" customHeight="1" s="42">
      <c r="A179" s="65">
        <f>Company_Master!A179</f>
        <v/>
      </c>
      <c r="B179" s="59" t="inlineStr">
        <is>
          <t>Passed the Mulvaney test that Bud Light later failed.</t>
        </is>
      </c>
      <c r="C179" s="59" t="inlineStr">
        <is>
          <t>Kept its October 2022 podcast episode featuring Dylan Mulvaney live and defended inclusive content amid #BoycottUlta; annual Pride merchandise assortments; CEI 100 record; inclusive marketing across queer and trans creators.</t>
        </is>
      </c>
      <c r="D179" s="59" t="inlineStr">
        <is>
          <t>Engagement is brand/commerce-led; limited civic or financial commitments documented.</t>
        </is>
      </c>
      <c r="E179" s="59" t="inlineStr">
        <is>
          <t>Not retreating in October 2022 — the earliest high-profile refusal of the anti-trans pressure playbook.</t>
        </is>
      </c>
      <c r="F179" s="59" t="inlineStr">
        <is>
          <t>Stable</t>
        </is>
      </c>
      <c r="G179" s="58" t="inlineStr">
        <is>
          <t>High</t>
        </is>
      </c>
    </row>
    <row r="180" ht="15" customHeight="1" s="42">
      <c r="A180" s="65">
        <f>Company_Master!A180</f>
        <v/>
      </c>
      <c r="B180" s="59" t="inlineStr">
        <is>
          <t>Commercially adjacent, corporately quiet.</t>
        </is>
      </c>
      <c r="C180" s="59" t="inlineStr">
        <is>
          <t>Seasonal Pride product assortments; occasional posts.</t>
        </is>
      </c>
      <c r="D180" s="59" t="inlineStr">
        <is>
          <t>No significant corporate commitments documented.</t>
        </is>
      </c>
      <c r="E180" s="59" t="inlineStr">
        <is>
          <t>Near-baseline by absence.</t>
        </is>
      </c>
      <c r="F180" s="59" t="inlineStr">
        <is>
          <t>Stable</t>
        </is>
      </c>
      <c r="G180" s="58" t="inlineStr">
        <is>
          <t>Low</t>
        </is>
      </c>
    </row>
    <row r="181" ht="15" customHeight="1" s="42">
      <c r="A181" s="65">
        <f>Company_Master!A181</f>
        <v/>
      </c>
      <c r="B181" s="59" t="inlineStr">
        <is>
          <t>A non-participant.</t>
        </is>
      </c>
      <c r="C181" s="59" t="inlineStr">
        <is>
          <t>None documented.</t>
        </is>
      </c>
      <c r="D181" s="59" t="inlineStr">
        <is>
          <t>None documented.</t>
        </is>
      </c>
      <c r="E181" s="59" t="inlineStr">
        <is>
          <t>Absence of engagement; baseline.</t>
        </is>
      </c>
      <c r="F181" s="59" t="inlineStr">
        <is>
          <t>Stable</t>
        </is>
      </c>
      <c r="G181" s="58" t="inlineStr">
        <is>
          <t>Low</t>
        </is>
      </c>
    </row>
    <row r="182" ht="15" customHeight="1" s="42">
      <c r="A182" s="65">
        <f>Company_Master!A182</f>
        <v/>
      </c>
      <c r="B182" s="59" t="inlineStr">
        <is>
          <t>Brand-level inclusivity with limited structural depth.</t>
        </is>
      </c>
      <c r="C182" s="59" t="inlineStr">
        <is>
          <t>Annual Pride campaigns and community yoga events; IDEA inclusion function established 2020.</t>
        </is>
      </c>
      <c r="D182" s="59" t="inlineStr">
        <is>
          <t>Limited LGBTQ+-specific commitments; no recent CEI participation confirmed.</t>
        </is>
      </c>
      <c r="E182" s="59" t="inlineStr">
        <is>
          <t>No retreat documented.</t>
        </is>
      </c>
      <c r="F182" s="59" t="inlineStr">
        <is>
          <t>Stable</t>
        </is>
      </c>
      <c r="G182" s="58" t="inlineStr">
        <is>
          <t>Low</t>
        </is>
      </c>
    </row>
    <row r="183" ht="15" customHeight="1" s="42">
      <c r="A183" s="65">
        <f>Company_Master!A183</f>
        <v/>
      </c>
      <c r="B183" s="59" t="inlineStr">
        <is>
          <t>Thin record in both directions.</t>
        </is>
      </c>
      <c r="C183" s="59" t="inlineStr">
        <is>
          <t>Occasional Pride posts; standard inclusive policies.</t>
        </is>
      </c>
      <c r="D183" s="59" t="inlineStr">
        <is>
          <t>No significant documented commitments.</t>
        </is>
      </c>
      <c r="E183" s="59" t="inlineStr">
        <is>
          <t>Near-baseline by absence.</t>
        </is>
      </c>
      <c r="F183" s="59" t="inlineStr">
        <is>
          <t>Stable</t>
        </is>
      </c>
      <c r="G183" s="58" t="inlineStr">
        <is>
          <t>Low</t>
        </is>
      </c>
    </row>
    <row r="184" ht="15" customHeight="1" s="42">
      <c r="A184" s="65">
        <f>Company_Master!A184</f>
        <v/>
      </c>
      <c r="B184" s="59" t="inlineStr">
        <is>
          <t>Held the line in 2023 when The North Face became a boycott target.</t>
        </is>
      </c>
      <c r="C184" s="59" t="inlineStr">
        <is>
          <t>The North Face 'Summer of Pride' campaign with drag environmentalist Pattie Gonia maintained through 2023 boycott calls; recurring Vans and TNF Pride collections; CEI 100 record.</t>
        </is>
      </c>
      <c r="D184" s="59" t="inlineStr">
        <is>
          <t>Financial distress has trimmed marketing broadly; engagement is brand-led.</t>
        </is>
      </c>
      <c r="E184" s="59" t="inlineStr">
        <is>
          <t>Standing by the Pattie Gonia campaign under national attack.</t>
        </is>
      </c>
      <c r="F184" s="59" t="inlineStr">
        <is>
          <t>Stable</t>
        </is>
      </c>
      <c r="G184" s="58" t="inlineStr">
        <is>
          <t>High</t>
        </is>
      </c>
    </row>
    <row r="185" ht="15" customHeight="1" s="42">
      <c r="A185" s="65">
        <f>Company_Master!A185</f>
        <v/>
      </c>
      <c r="B185" s="59" t="inlineStr">
        <is>
          <t>A fashion house whose Pride program carries a real giving mechanism.</t>
        </is>
      </c>
      <c r="C185" s="59" t="inlineStr">
        <is>
          <t>Coach Pride collections with donations supporting LGBTQ+ youth organizations incl. the Hetrick-Martin Institute and CenterLink via the Coach Foundation; Kate Spade Pride capsules; CEI 100 record.</t>
        </is>
      </c>
      <c r="D185" s="59" t="inlineStr">
        <is>
          <t>Engagement is brand- and June-centered.</t>
        </is>
      </c>
      <c r="E185" s="59" t="inlineStr">
        <is>
          <t>Recurring collections-plus-giving without retreat.</t>
        </is>
      </c>
      <c r="F185" s="59" t="inlineStr">
        <is>
          <t>Stable</t>
        </is>
      </c>
      <c r="G185" s="58" t="inlineStr">
        <is>
          <t>Med</t>
        </is>
      </c>
    </row>
    <row r="186" ht="15" customHeight="1" s="42">
      <c r="A186" s="65">
        <f>Company_Master!A186</f>
        <v/>
      </c>
      <c r="B186" s="59" t="inlineStr">
        <is>
          <t>Thin record in both directions.</t>
        </is>
      </c>
      <c r="C186" s="59" t="inlineStr">
        <is>
          <t>Occasional Pride posts; standard inclusive policies.</t>
        </is>
      </c>
      <c r="D186" s="59" t="inlineStr">
        <is>
          <t>No significant documented commitments.</t>
        </is>
      </c>
      <c r="E186" s="59" t="inlineStr">
        <is>
          <t>Near-baseline by absence.</t>
        </is>
      </c>
      <c r="F186" s="59" t="inlineStr">
        <is>
          <t>Stable</t>
        </is>
      </c>
      <c r="G186" s="58" t="inlineStr">
        <is>
          <t>Low</t>
        </is>
      </c>
    </row>
    <row r="187" ht="15" customHeight="1" s="42">
      <c r="A187" s="65">
        <f>Company_Master!A187</f>
        <v/>
      </c>
      <c r="B187" s="59" t="inlineStr">
        <is>
          <t>Workplace-level support with modest public depth.</t>
        </is>
      </c>
      <c r="C187" s="59" t="inlineStr">
        <is>
          <t>Funded Pride@DoorDash ERG; annual Pride campaigns and merchant spotlights of LGBTQ+-owned restaurants.</t>
        </is>
      </c>
      <c r="D187" s="59" t="inlineStr">
        <is>
          <t>Limited structural or financial commitments documented.</t>
        </is>
      </c>
      <c r="E187" s="59" t="inlineStr">
        <is>
          <t>No retreat documented.</t>
        </is>
      </c>
      <c r="F187" s="59" t="inlineStr">
        <is>
          <t>Stable</t>
        </is>
      </c>
      <c r="G187" s="58" t="inlineStr">
        <is>
          <t>Low</t>
        </is>
      </c>
    </row>
    <row r="188" ht="15" customHeight="1" s="42">
      <c r="A188" s="65">
        <f>Company_Master!A188</f>
        <v/>
      </c>
      <c r="B188" s="59" t="inlineStr">
        <is>
          <t>A private giant that flinched at candy-culture-war pressure but never formally retreated.</t>
        </is>
      </c>
      <c r="C188" s="59" t="inlineStr">
        <is>
          <t>CEI participation history; inclusive policies; brand campaigns with inclusive themes.</t>
        </is>
      </c>
      <c r="D188" s="59" t="inlineStr">
        <is>
          <t>Jan 2023: paused the M&amp;M's spokescandies after Fox News mockery of inclusive character redesigns — replacing them temporarily with Maya Rudolph; read widely as appeasement, though the characters later returned (see Statements).</t>
        </is>
      </c>
      <c r="E188" s="59" t="inlineStr">
        <is>
          <t>The spokescandy pause — minor in substance, revealing in reflex.</t>
        </is>
      </c>
      <c r="F188" s="59" t="inlineStr">
        <is>
          <t>Stable</t>
        </is>
      </c>
      <c r="G188" s="58" t="inlineStr">
        <is>
          <t>Low</t>
        </is>
      </c>
    </row>
    <row r="189" ht="15" customHeight="1" s="42">
      <c r="A189" s="65">
        <f>Company_Master!A189</f>
        <v/>
      </c>
      <c r="B189" s="59" t="inlineStr">
        <is>
          <t>Thin record in both directions.</t>
        </is>
      </c>
      <c r="C189" s="59" t="inlineStr">
        <is>
          <t>Occasional Pride posts; standard inclusive policies.</t>
        </is>
      </c>
      <c r="D189" s="59" t="inlineStr">
        <is>
          <t>No significant documented commitments.</t>
        </is>
      </c>
      <c r="E189" s="59" t="inlineStr">
        <is>
          <t>Near-baseline by absence.</t>
        </is>
      </c>
      <c r="F189" s="59" t="inlineStr">
        <is>
          <t>Stable</t>
        </is>
      </c>
      <c r="G189" s="58" t="inlineStr">
        <is>
          <t>Low</t>
        </is>
      </c>
    </row>
    <row r="190" ht="15" customHeight="1" s="42">
      <c r="A190" s="65">
        <f>Company_Master!A190</f>
        <v/>
      </c>
      <c r="B190" s="59" t="inlineStr">
        <is>
          <t>Folded in two days: the GenderCool retreat previewed the playbook later used against Bud Light and Target.</t>
        </is>
      </c>
      <c r="C190" s="59" t="inlineStr">
        <is>
          <t>Partnered with The GenderCool Project to donate LGBTQ+-themed children's books through its agent network; prior Pride engagement and CEI participation.</t>
        </is>
      </c>
      <c r="D190" s="59" t="inlineStr">
        <is>
          <t>May 2022: after activist Will Hild publicized the program and Consumers' Research launched a 'Like a Creepy Neighbor' campaign, State Farm dropped GenderCool within ~48 hours, saying 'conversations about gender and identity should happen at home' (Washington Post, Snopes, Metro Weekly). Campaign-finance records additionally document contributions to anti-LGBTQ+ politicians/committees (see Political_Donations sheet; Data for Progress 2019-22 / Popular Information 2022-24).</t>
        </is>
      </c>
      <c r="E190" s="59" t="inlineStr">
        <is>
          <t>The speed of surrender — a community partnership abandoned in two days of pressure.</t>
        </is>
      </c>
      <c r="F190" s="59" t="inlineStr">
        <is>
          <t>Sharp Reversal</t>
        </is>
      </c>
      <c r="G190" s="58" t="inlineStr">
        <is>
          <t>High</t>
        </is>
      </c>
    </row>
    <row r="191" ht="15" customHeight="1" s="42">
      <c r="A191" s="65">
        <f>Company_Master!A191</f>
        <v/>
      </c>
      <c r="B191" s="59" t="inlineStr">
        <is>
          <t>Thin record in both directions.</t>
        </is>
      </c>
      <c r="C191" s="59" t="inlineStr">
        <is>
          <t>Occasional inclusive advertising; standard policies.</t>
        </is>
      </c>
      <c r="D191" s="59" t="inlineStr">
        <is>
          <t>No significant documented commitments.</t>
        </is>
      </c>
      <c r="E191" s="59" t="inlineStr">
        <is>
          <t>Near-baseline by absence.</t>
        </is>
      </c>
      <c r="F191" s="59" t="inlineStr">
        <is>
          <t>Stable</t>
        </is>
      </c>
      <c r="G191" s="58" t="inlineStr">
        <is>
          <t>Low</t>
        </is>
      </c>
    </row>
    <row r="192" ht="15" customHeight="1" s="42">
      <c r="A192" s="65">
        <f>Company_Master!A192</f>
        <v/>
      </c>
      <c r="B192" s="59" t="inlineStr">
        <is>
          <t>A quiet insurance holder.</t>
        </is>
      </c>
      <c r="C192" s="59" t="inlineStr">
        <is>
          <t>CEI 100 record; inclusive partner and gender-affirming benefits; Pride@Liberty ERG; Boston Pride sponsorship history.</t>
        </is>
      </c>
      <c r="D192" s="59" t="inlineStr">
        <is>
          <t>Low public visibility.</t>
        </is>
      </c>
      <c r="E192" s="59" t="inlineStr">
        <is>
          <t>Continuity without retreat.</t>
        </is>
      </c>
      <c r="F192" s="59" t="inlineStr">
        <is>
          <t>Stable</t>
        </is>
      </c>
      <c r="G192" s="58" t="inlineStr">
        <is>
          <t>Med</t>
        </is>
      </c>
    </row>
    <row r="193" ht="15" customHeight="1" s="42">
      <c r="A193" s="65">
        <f>Company_Master!A193</f>
        <v/>
      </c>
      <c r="B193" s="59" t="inlineStr">
        <is>
          <t>Thin record in both directions.</t>
        </is>
      </c>
      <c r="C193" s="59" t="inlineStr">
        <is>
          <t>Occasional Pride posts; standard inclusive policies.</t>
        </is>
      </c>
      <c r="D193" s="59" t="inlineStr">
        <is>
          <t>No significant documented commitments. Campaign-finance records additionally document contributions to anti-LGBTQ+ politicians/committees (see Political_Donations sheet; Data for Progress 2019-22 / Popular Information 2022-24).</t>
        </is>
      </c>
      <c r="E193" s="59" t="inlineStr">
        <is>
          <t>Near-baseline by absence.</t>
        </is>
      </c>
      <c r="F193" s="59" t="inlineStr">
        <is>
          <t>Stable</t>
        </is>
      </c>
      <c r="G193" s="58" t="inlineStr">
        <is>
          <t>Low</t>
        </is>
      </c>
    </row>
    <row r="194" ht="15" customHeight="1" s="42">
      <c r="A194" s="65">
        <f>Company_Master!A194</f>
        <v/>
      </c>
      <c r="B194" s="59" t="inlineStr">
        <is>
          <t>Inclusion shipped in the product, not just the careers page.</t>
        </is>
      </c>
      <c r="C194" s="59" t="inlineStr">
        <is>
          <t>The Sims' same-sex relationships since 2000 and customizable pronouns since 2022 — among the most-played inclusive content in gaming; funded Pride ERG; CEI 100 record; annual Pride campaigns.</t>
        </is>
      </c>
      <c r="D194" s="59" t="inlineStr">
        <is>
          <t>Periodic community criticism over esports event locations in hostile jurisdictions.</t>
        </is>
      </c>
      <c r="E194" s="59" t="inlineStr">
        <is>
          <t>A quarter-century of inclusive product decisions.</t>
        </is>
      </c>
      <c r="F194" s="59" t="inlineStr">
        <is>
          <t>Stable</t>
        </is>
      </c>
      <c r="G194" s="58" t="inlineStr">
        <is>
          <t>Med</t>
        </is>
      </c>
    </row>
    <row r="195" ht="15" customHeight="1" s="42">
      <c r="A195" s="65">
        <f>Company_Master!A195</f>
        <v/>
      </c>
      <c r="B195" s="59" t="inlineStr">
        <is>
          <t>Quiet corporately; content speaks louder than policy either way.</t>
        </is>
      </c>
      <c r="C195" s="59" t="inlineStr">
        <is>
          <t>Occasional Pride posts; recent franchises include queer characters.</t>
        </is>
      </c>
      <c r="D195" s="59" t="inlineStr">
        <is>
          <t>No significant corporate commitments documented.</t>
        </is>
      </c>
      <c r="E195" s="59" t="inlineStr">
        <is>
          <t>Near-baseline by absence.</t>
        </is>
      </c>
      <c r="F195" s="59" t="inlineStr">
        <is>
          <t>Stable</t>
        </is>
      </c>
      <c r="G195" s="58" t="inlineStr">
        <is>
          <t>Low</t>
        </is>
      </c>
    </row>
    <row r="196" ht="15" customHeight="1" s="42">
      <c r="A196" s="65">
        <f>Company_Master!A196</f>
        <v/>
      </c>
      <c r="B196" s="59" t="inlineStr">
        <is>
          <t>An inclusive employer whose editorial choices on trans coverage split it from much of the community.</t>
        </is>
      </c>
      <c r="C196" s="59" t="inlineStr">
        <is>
          <t>Inclusive workplace policies and benefits; LGBTQ+ ERG; decades of landmark LGBTQ+ journalism.</t>
        </is>
      </c>
      <c r="D196" s="59" t="inlineStr">
        <is>
          <t>Feb 2023: GLAAD and 1,000+ contributors published an open letter criticizing the Times' coverage of transgender people as biased; leadership rejected the criticism and disciplined-adjacent messaging followed — an editorial posture the community broadly reads as harmful (Wikipedia/open-letter record).</t>
        </is>
      </c>
      <c r="E196" s="59" t="inlineStr">
        <is>
          <t>The 2023 trans-coverage dispute — workplace inclusion paired with contested editorial output.</t>
        </is>
      </c>
      <c r="F196" s="59" t="inlineStr">
        <is>
          <t>Stable</t>
        </is>
      </c>
      <c r="G196" s="58" t="inlineStr">
        <is>
          <t>Med</t>
        </is>
      </c>
    </row>
    <row r="197" ht="15" customHeight="1" s="42">
      <c r="A197" s="65">
        <f>Company_Master!A197</f>
        <v/>
      </c>
      <c r="B197" s="59" t="inlineStr">
        <is>
          <t>Programming-level presence without corporate depth.</t>
        </is>
      </c>
      <c r="C197" s="59" t="inlineStr">
        <is>
          <t>Pride playlists/programming and LGBTQ+ podcast slate (incl. partnerships with queer creators).</t>
        </is>
      </c>
      <c r="D197" s="59" t="inlineStr">
        <is>
          <t>Minimal corporate engagement documented; heavy debt limits cause spending.</t>
        </is>
      </c>
      <c r="E197" s="59" t="inlineStr">
        <is>
          <t>Content without commitments.</t>
        </is>
      </c>
      <c r="F197" s="59" t="inlineStr">
        <is>
          <t>Stable</t>
        </is>
      </c>
      <c r="G197" s="58" t="inlineStr">
        <is>
          <t>Low</t>
        </is>
      </c>
    </row>
    <row r="198" ht="15" customHeight="1" s="42">
      <c r="A198" s="65">
        <f>Company_Master!A198</f>
        <v/>
      </c>
      <c r="B198" s="59" t="inlineStr">
        <is>
          <t>Supports the community in the most material way available to a health system: providing the care.</t>
        </is>
      </c>
      <c r="C198" s="59" t="inlineStr">
        <is>
          <t>Dedicated transgender health programs and gender-affirming care across its system; consistently top-rated facilities in HRC's Healthcare Equality Index; CEI 100 record; funded LGBTQ+ ERG; Pride sponsorships in multiple regions.</t>
        </is>
      </c>
      <c r="D198" s="59" t="inlineStr">
        <is>
          <t>Faces the same federal pressure on gender-affirming care as all providers; some member disputes over coverage specifics.</t>
        </is>
      </c>
      <c r="E198" s="59" t="inlineStr">
        <is>
          <t>Being the care infrastructure — programs that exist year-round regardless of marketing cycles.</t>
        </is>
      </c>
      <c r="F198" s="59" t="inlineStr">
        <is>
          <t>Stable</t>
        </is>
      </c>
      <c r="G198" s="58" t="inlineStr">
        <is>
          <t>High</t>
        </is>
      </c>
    </row>
    <row r="199" ht="15" customHeight="1" s="42">
      <c r="A199" s="65">
        <f>Company_Master!A199</f>
        <v/>
      </c>
      <c r="B199" s="59" t="inlineStr">
        <is>
          <t>Thin record in both directions.</t>
        </is>
      </c>
      <c r="C199" s="59" t="inlineStr">
        <is>
          <t>Standard inclusive policies; occasional posts.</t>
        </is>
      </c>
      <c r="D199" s="59" t="inlineStr">
        <is>
          <t>No significant documented commitments.</t>
        </is>
      </c>
      <c r="E199" s="59" t="inlineStr">
        <is>
          <t>Near-baseline by absence.</t>
        </is>
      </c>
      <c r="F199" s="59" t="inlineStr">
        <is>
          <t>Stable</t>
        </is>
      </c>
      <c r="G199" s="58" t="inlineStr">
        <is>
          <t>Low</t>
        </is>
      </c>
    </row>
    <row r="200" ht="15" customHeight="1" s="42">
      <c r="A200" s="65">
        <f>Company_Master!A200</f>
        <v/>
      </c>
      <c r="B200" s="59" t="inlineStr">
        <is>
          <t>A quiet semiconductor holder.</t>
        </is>
      </c>
      <c r="C200" s="59" t="inlineStr">
        <is>
          <t>CEI 100 record; inclusive partner and gender-affirming benefits; Pride ERG.</t>
        </is>
      </c>
      <c r="D200" s="59" t="inlineStr">
        <is>
          <t>Low public visibility.</t>
        </is>
      </c>
      <c r="E200" s="59" t="inlineStr">
        <is>
          <t>Continuity without retreat.</t>
        </is>
      </c>
      <c r="F200" s="59" t="inlineStr">
        <is>
          <t>Stable</t>
        </is>
      </c>
      <c r="G200" s="58" t="inlineStr">
        <is>
          <t>Med</t>
        </is>
      </c>
    </row>
    <row r="201" ht="15" customHeight="1" s="42">
      <c r="A201" s="65">
        <f>Company_Master!A201</f>
        <v/>
      </c>
      <c r="B201" s="59" t="inlineStr">
        <is>
          <t>The WorldPride defection: a marquee sponsorship abandoned weeks after DEI was scrapped for contract security.</t>
        </is>
      </c>
      <c r="C201" s="59" t="inlineStr">
        <is>
          <t>Prior WorldPride/Capital Pride sponsorship; funded LGBTQ+ ERG (GLOBE+); CEI 100 record; inclusive benefits.</t>
        </is>
      </c>
      <c r="D201" s="59" t="inlineStr">
        <is>
          <t>Feb 2025: scrapped DEI programs, with its Chief People Officer telling staff that without changes 'we could be ineligible for contracts with the federal government' (Bloomberg); then dropped its WorldPride 2025 sponsorship in Washington DC (Advocate).</t>
        </is>
      </c>
      <c r="E201" s="59" t="inlineStr">
        <is>
          <t>Dropping WorldPride in its hometown — the highest-visibility Pride withdrawal of 2025.</t>
        </is>
      </c>
      <c r="F201" s="59" t="inlineStr">
        <is>
          <t>Sharp Reversal</t>
        </is>
      </c>
      <c r="G201" s="58" t="inlineStr">
        <is>
          <t>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53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2"/>
    <col width="40" customWidth="1" style="41" min="3" max="3"/>
    <col width="14" customWidth="1" style="41" min="4" max="4"/>
    <col width="12" customWidth="1" style="41" min="5" max="5"/>
    <col width="9" customWidth="1" style="41" min="6" max="6"/>
    <col width="8" customWidth="1" style="41" min="7" max="7"/>
    <col width="45" customWidth="1" style="41" min="8" max="8"/>
    <col width="18" customWidth="1" style="41" min="9" max="9"/>
    <col width="12" customWidth="1" style="41" min="10" max="10"/>
    <col width="35" customWidth="1" style="41" min="11" max="11"/>
  </cols>
  <sheetData>
    <row r="1" ht="23.25" customHeight="1" s="42">
      <c r="A1" s="49" t="inlineStr">
        <is>
          <t>Company</t>
        </is>
      </c>
      <c r="B1" s="49" t="inlineStr">
        <is>
          <t>Action ID</t>
        </is>
      </c>
      <c r="C1" s="49" t="inlineStr">
        <is>
          <t>Action Description</t>
        </is>
      </c>
      <c r="D1" s="49" t="inlineStr">
        <is>
          <t>Tier</t>
        </is>
      </c>
      <c r="E1" s="49" t="inlineStr">
        <is>
          <t>Polarity</t>
        </is>
      </c>
      <c r="F1" s="49" t="inlineStr">
        <is>
          <t>Points</t>
        </is>
      </c>
      <c r="G1" s="49" t="inlineStr">
        <is>
          <t>Year</t>
        </is>
      </c>
      <c r="H1" s="49" t="inlineStr">
        <is>
          <t>Source URL</t>
        </is>
      </c>
      <c r="I1" s="49" t="inlineStr">
        <is>
          <t>Source Type</t>
        </is>
      </c>
      <c r="J1" s="49" t="inlineStr">
        <is>
          <t>Post-Jan2025?</t>
        </is>
      </c>
      <c r="K1" s="49" t="inlineStr">
        <is>
          <t>Notes</t>
        </is>
      </c>
    </row>
    <row r="2" ht="23.25" customHeight="1" s="42">
      <c r="A2" s="52" t="inlineStr">
        <is>
          <t>Verizon</t>
        </is>
      </c>
      <c r="B2" s="52" t="inlineStr">
        <is>
          <t>p_logo_rainbow</t>
        </is>
      </c>
      <c r="C2" s="52" t="inlineStr">
        <is>
          <t>Annual June rainbow logo/social branding across Verizon channels (through 2024)</t>
        </is>
      </c>
      <c r="D2" s="51" t="inlineStr">
        <is>
          <t>Cosmetic</t>
        </is>
      </c>
      <c r="E2" s="51" t="inlineStr">
        <is>
          <t>Positive</t>
        </is>
      </c>
      <c r="F2" s="51" t="n">
        <v>3</v>
      </c>
      <c r="G2" s="51" t="n">
        <v>2024</v>
      </c>
      <c r="H2" s="52" t="inlineStr">
        <is>
          <t>https://popular.info/p/verizon-said-it-was-fiercely-committed</t>
        </is>
      </c>
      <c r="I2" s="52" t="inlineStr">
        <is>
          <t>News</t>
        </is>
      </c>
      <c r="J2" s="51" t="inlineStr">
        <is>
          <t>No</t>
        </is>
      </c>
      <c r="K2" s="52" t="inlineStr">
        <is>
          <t>Branding discontinued after the 2025 DEI reversal</t>
        </is>
      </c>
    </row>
    <row r="3" ht="23.25" customHeight="1" s="42">
      <c r="A3" s="52" t="inlineStr">
        <is>
          <t>Verizon</t>
        </is>
      </c>
      <c r="B3" s="52" t="inlineStr">
        <is>
          <t>p_generic_post</t>
        </is>
      </c>
      <c r="C3" s="52" t="inlineStr">
        <is>
          <t>Annual Pride Month statements and #Pride social posts</t>
        </is>
      </c>
      <c r="D3" s="51" t="inlineStr">
        <is>
          <t>Cosmetic</t>
        </is>
      </c>
      <c r="E3" s="51" t="inlineStr">
        <is>
          <t>Positive</t>
        </is>
      </c>
      <c r="F3" s="51" t="n">
        <v>2</v>
      </c>
      <c r="G3" s="51" t="n">
        <v>2024</v>
      </c>
      <c r="H3" s="52" t="inlineStr">
        <is>
          <t>https://popular.info/p/verizon-said-it-was-fiercely-committed</t>
        </is>
      </c>
      <c r="I3" s="52" t="inlineStr">
        <is>
          <t>News</t>
        </is>
      </c>
      <c r="J3" s="51" t="inlineStr">
        <is>
          <t>No</t>
        </is>
      </c>
      <c r="K3" s="52" t="inlineStr"/>
    </row>
    <row r="4" ht="23.25" customHeight="1" s="42">
      <c r="A4" s="52" t="inlineStr">
        <is>
          <t>Verizon</t>
        </is>
      </c>
      <c r="B4" s="52" t="inlineStr">
        <is>
          <t>p_flag_display</t>
        </is>
      </c>
      <c r="C4" s="52" t="inlineStr">
        <is>
          <t>Pride flags and displays at Verizon offices during Pride Month (pre-2025)</t>
        </is>
      </c>
      <c r="D4" s="51" t="inlineStr">
        <is>
          <t>Cosmetic</t>
        </is>
      </c>
      <c r="E4" s="51" t="inlineStr">
        <is>
          <t>Positive</t>
        </is>
      </c>
      <c r="F4" s="51" t="n">
        <v>4</v>
      </c>
      <c r="G4" s="51" t="n">
        <v>2024</v>
      </c>
      <c r="H4" s="52" t="inlineStr">
        <is>
          <t>https://popular.info/p/verizon-said-it-was-fiercely-committed</t>
        </is>
      </c>
      <c r="I4" s="52" t="inlineStr">
        <is>
          <t>News</t>
        </is>
      </c>
      <c r="J4" s="51" t="inlineStr">
        <is>
          <t>No</t>
        </is>
      </c>
      <c r="K4" s="52" t="inlineStr"/>
    </row>
    <row r="5" ht="23.25" customHeight="1" s="42">
      <c r="A5" s="52" t="inlineStr">
        <is>
          <t>Verizon</t>
        </is>
      </c>
      <c r="B5" s="52" t="inlineStr">
        <is>
          <t>p_parade_sponsor</t>
        </is>
      </c>
      <c r="C5" s="52" t="inlineStr">
        <is>
          <t>Sponsorship of Pride events/parades in multiple markets (pre-2025)</t>
        </is>
      </c>
      <c r="D5" s="51" t="inlineStr">
        <is>
          <t>Civic</t>
        </is>
      </c>
      <c r="E5" s="51" t="inlineStr">
        <is>
          <t>Positive</t>
        </is>
      </c>
      <c r="F5" s="51" t="n">
        <v>12</v>
      </c>
      <c r="G5" s="51" t="n">
        <v>2024</v>
      </c>
      <c r="H5" s="52" t="inlineStr">
        <is>
          <t>https://theintercept.com/2025/05/15/trump-dei-verizon-fcc/</t>
        </is>
      </c>
      <c r="I5" s="52" t="inlineStr">
        <is>
          <t>News</t>
        </is>
      </c>
      <c r="J5" s="51" t="inlineStr">
        <is>
          <t>No</t>
        </is>
      </c>
      <c r="K5" s="52" t="inlineStr">
        <is>
          <t>FCC commitments included ceasing certain corporate sponsorships</t>
        </is>
      </c>
    </row>
    <row r="6" ht="23.25" customHeight="1" s="42">
      <c r="A6" s="52" t="inlineStr">
        <is>
          <t>Verizon</t>
        </is>
      </c>
      <c r="B6" s="52" t="inlineStr">
        <is>
          <t>p_erg_support</t>
        </is>
      </c>
      <c r="C6" s="52" t="inlineStr">
        <is>
          <t>Funded LGBTQ+ employee resource group (Prism) with company support</t>
        </is>
      </c>
      <c r="D6" s="51" t="inlineStr">
        <is>
          <t>Civic</t>
        </is>
      </c>
      <c r="E6" s="51" t="inlineStr">
        <is>
          <t>Positive</t>
        </is>
      </c>
      <c r="F6" s="51" t="n">
        <v>15</v>
      </c>
      <c r="G6" s="51" t="n">
        <v>2024</v>
      </c>
      <c r="H6" s="52" t="inlineStr">
        <is>
          <t>https://popular.info/p/verizon-said-it-was-fiercely-committed</t>
        </is>
      </c>
      <c r="I6" s="52" t="inlineStr">
        <is>
          <t>News</t>
        </is>
      </c>
      <c r="J6" s="51" t="inlineStr">
        <is>
          <t>No</t>
        </is>
      </c>
      <c r="K6" s="52" t="inlineStr"/>
    </row>
    <row r="7" ht="23.25" customHeight="1" s="42">
      <c r="A7" s="52" t="inlineStr">
        <is>
          <t>Verizon</t>
        </is>
      </c>
      <c r="B7" s="52" t="inlineStr">
        <is>
          <t>n_dei_removal</t>
        </is>
      </c>
      <c r="C7" s="52" t="inlineStr">
        <is>
          <t>Pledged to FCC to end DEI policies; scrubbed DEI language from trainings, web pages and public materials</t>
        </is>
      </c>
      <c r="D7" s="51" t="inlineStr">
        <is>
          <t>—</t>
        </is>
      </c>
      <c r="E7" s="51" t="inlineStr">
        <is>
          <t>Negative</t>
        </is>
      </c>
      <c r="F7" s="51" t="n">
        <v>-32</v>
      </c>
      <c r="G7" s="51" t="n">
        <v>2025</v>
      </c>
      <c r="H7" s="52" t="inlineStr">
        <is>
          <t>https://www.npr.org/2025/05/19/nx-s1-5402863/verizon-fcc-frontier-dei-trump</t>
        </is>
      </c>
      <c r="I7" s="52" t="inlineStr">
        <is>
          <t>News</t>
        </is>
      </c>
      <c r="J7" s="51" t="inlineStr">
        <is>
          <t>Yes</t>
        </is>
      </c>
      <c r="K7" s="52" t="inlineStr">
        <is>
          <t>FCC approved $20B Frontier deal one day later</t>
        </is>
      </c>
    </row>
    <row r="8" ht="23.25" customHeight="1" s="42">
      <c r="A8" s="52" t="inlineStr">
        <is>
          <t>Verizon</t>
        </is>
      </c>
      <c r="B8" s="52" t="inlineStr">
        <is>
          <t>n_pride_retreat</t>
        </is>
      </c>
      <c r="C8" s="52" t="inlineStr">
        <is>
          <t>Retreated from Pride/diversity sponsorships and deleted prior DEI commitments incl. CEO's 2020 diversity statement</t>
        </is>
      </c>
      <c r="D8" s="51" t="inlineStr">
        <is>
          <t>—</t>
        </is>
      </c>
      <c r="E8" s="51" t="inlineStr">
        <is>
          <t>Negative</t>
        </is>
      </c>
      <c r="F8" s="51" t="n">
        <v>-22</v>
      </c>
      <c r="G8" s="51" t="n">
        <v>2025</v>
      </c>
      <c r="H8" s="52" t="inlineStr">
        <is>
          <t>https://theintercept.com/2025/05/15/trump-dei-verizon-fcc/</t>
        </is>
      </c>
      <c r="I8" s="52" t="inlineStr">
        <is>
          <t>News</t>
        </is>
      </c>
      <c r="J8" s="51" t="inlineStr">
        <is>
          <t>Yes</t>
        </is>
      </c>
      <c r="K8" s="52" t="inlineStr">
        <is>
          <t>Archived 'before' state: https://web.archive.org/web/2024/https://www.verizon.com/about/our-company/diversity-and-inclusion</t>
        </is>
      </c>
    </row>
    <row r="9" ht="23.25" customHeight="1" s="42">
      <c r="A9" s="52" t="inlineStr">
        <is>
          <t>AT&amp;T</t>
        </is>
      </c>
      <c r="B9" s="52" t="inlineStr">
        <is>
          <t>p_logo_rainbow</t>
        </is>
      </c>
      <c r="C9" s="52" t="inlineStr">
        <is>
          <t>Annual rainbow branding ('Turn Up The Love' Pride campaigns)</t>
        </is>
      </c>
      <c r="D9" s="51" t="inlineStr">
        <is>
          <t>Cosmetic</t>
        </is>
      </c>
      <c r="E9" s="51" t="inlineStr">
        <is>
          <t>Positive</t>
        </is>
      </c>
      <c r="F9" s="51" t="n">
        <v>3</v>
      </c>
      <c r="G9" s="51" t="n">
        <v>2023</v>
      </c>
      <c r="H9" s="52" t="inlineStr">
        <is>
          <t>https://web.archive.org/web/2023/https://about.att.com/pages/diversity</t>
        </is>
      </c>
      <c r="I9" s="52" t="inlineStr">
        <is>
          <t>Archive</t>
        </is>
      </c>
      <c r="J9" s="51" t="inlineStr">
        <is>
          <t>No</t>
        </is>
      </c>
      <c r="K9" s="52" t="inlineStr"/>
    </row>
    <row r="10" ht="23.25" customHeight="1" s="42">
      <c r="A10" s="52" t="inlineStr">
        <is>
          <t>AT&amp;T</t>
        </is>
      </c>
      <c r="B10" s="52" t="inlineStr">
        <is>
          <t>p_generic_post</t>
        </is>
      </c>
      <c r="C10" s="52" t="inlineStr">
        <is>
          <t>Annual Pride Month statements and posts</t>
        </is>
      </c>
      <c r="D10" s="51" t="inlineStr">
        <is>
          <t>Cosmetic</t>
        </is>
      </c>
      <c r="E10" s="51" t="inlineStr">
        <is>
          <t>Positive</t>
        </is>
      </c>
      <c r="F10" s="51" t="n">
        <v>2</v>
      </c>
      <c r="G10" s="51" t="n">
        <v>2024</v>
      </c>
      <c r="H10" s="52" t="inlineStr">
        <is>
          <t>https://web.archive.org/web/2024/https://about.att.com/pages/diversity</t>
        </is>
      </c>
      <c r="I10" s="52" t="inlineStr">
        <is>
          <t>Archive</t>
        </is>
      </c>
      <c r="J10" s="51" t="inlineStr">
        <is>
          <t>No</t>
        </is>
      </c>
      <c r="K10" s="52" t="inlineStr"/>
    </row>
    <row r="11" ht="23.25" customHeight="1" s="42">
      <c r="A11" s="52" t="inlineStr">
        <is>
          <t>AT&amp;T</t>
        </is>
      </c>
      <c r="B11" s="52" t="inlineStr">
        <is>
          <t>p_parade_sponsor</t>
        </is>
      </c>
      <c r="C11" s="52" t="inlineStr">
        <is>
          <t>Long-running sponsorship of Pride events incl. Dallas Pride and other markets</t>
        </is>
      </c>
      <c r="D11" s="51" t="inlineStr">
        <is>
          <t>Civic</t>
        </is>
      </c>
      <c r="E11" s="51" t="inlineStr">
        <is>
          <t>Positive</t>
        </is>
      </c>
      <c r="F11" s="51" t="n">
        <v>12</v>
      </c>
      <c r="G11" s="51" t="n">
        <v>2023</v>
      </c>
      <c r="H11" s="52" t="inlineStr">
        <is>
          <t>https://web.archive.org/web/2023/https://about.att.com/pages/diversity</t>
        </is>
      </c>
      <c r="I11" s="52" t="inlineStr">
        <is>
          <t>Archive</t>
        </is>
      </c>
      <c r="J11" s="51" t="inlineStr">
        <is>
          <t>No</t>
        </is>
      </c>
      <c r="K11" s="52" t="inlineStr"/>
    </row>
    <row r="12" ht="23.25" customHeight="1" s="42">
      <c r="A12" s="52" t="inlineStr">
        <is>
          <t>AT&amp;T</t>
        </is>
      </c>
      <c r="B12" s="52" t="inlineStr">
        <is>
          <t>p_erg_support</t>
        </is>
      </c>
      <c r="C12" s="52" t="inlineStr">
        <is>
          <t>LEAGUE at AT&amp;T — LGBTQ+ ERG founded 1987, one of the oldest in corporate America, company-funded</t>
        </is>
      </c>
      <c r="D12" s="51" t="inlineStr">
        <is>
          <t>Civic</t>
        </is>
      </c>
      <c r="E12" s="51" t="inlineStr">
        <is>
          <t>Positive</t>
        </is>
      </c>
      <c r="F12" s="51" t="n">
        <v>15</v>
      </c>
      <c r="G12" s="51" t="n">
        <v>2024</v>
      </c>
      <c r="H12" s="52" t="inlineStr">
        <is>
          <t>https://www.cnn.com/2025/12/02/business/dei-at-and-t-mobile-fcc</t>
        </is>
      </c>
      <c r="I12" s="52" t="inlineStr">
        <is>
          <t>News</t>
        </is>
      </c>
      <c r="J12" s="51" t="inlineStr">
        <is>
          <t>No</t>
        </is>
      </c>
      <c r="K12" s="52" t="inlineStr"/>
    </row>
    <row r="13" ht="23.25" customHeight="1" s="42">
      <c r="A13" s="52" t="inlineStr">
        <is>
          <t>AT&amp;T</t>
        </is>
      </c>
      <c r="B13" s="52" t="inlineStr">
        <is>
          <t>n_pride_retreat</t>
        </is>
      </c>
      <c r="C13" s="52" t="inlineStr">
        <is>
          <t>Stopped HRC CEI participation and ceased funding some LGBTQ+ organizations</t>
        </is>
      </c>
      <c r="D13" s="51" t="inlineStr">
        <is>
          <t>—</t>
        </is>
      </c>
      <c r="E13" s="51" t="inlineStr">
        <is>
          <t>Negative</t>
        </is>
      </c>
      <c r="F13" s="51" t="n">
        <v>-22</v>
      </c>
      <c r="G13" s="51" t="n">
        <v>2025</v>
      </c>
      <c r="H13" s="52" t="inlineStr">
        <is>
          <t>https://www.cnn.com/2025/12/02/business/dei-at-and-t-mobile-fcc</t>
        </is>
      </c>
      <c r="I13" s="52" t="inlineStr">
        <is>
          <t>News</t>
        </is>
      </c>
      <c r="J13" s="51" t="inlineStr">
        <is>
          <t>Yes</t>
        </is>
      </c>
      <c r="K13" s="52" t="inlineStr"/>
    </row>
    <row r="14" ht="23.25" customHeight="1" s="42">
      <c r="A14" s="52" t="inlineStr">
        <is>
          <t>AT&amp;T</t>
        </is>
      </c>
      <c r="B14" s="52" t="inlineStr">
        <is>
          <t>n_dei_removal</t>
        </is>
      </c>
      <c r="C14" s="52" t="inlineStr">
        <is>
          <t>Dec 1, 2025 FCC filing committing to end DEI programs; FCC approved pending transaction days later</t>
        </is>
      </c>
      <c r="D14" s="51" t="inlineStr">
        <is>
          <t>—</t>
        </is>
      </c>
      <c r="E14" s="51" t="inlineStr">
        <is>
          <t>Negative</t>
        </is>
      </c>
      <c r="F14" s="51" t="n">
        <v>-32</v>
      </c>
      <c r="G14" s="51" t="n">
        <v>2025</v>
      </c>
      <c r="H14" s="52" t="inlineStr">
        <is>
          <t>https://www.esgdive.com/news/att-drops-dei-gets-1b-acquisition-of-uscellular-greenlit-fcc/807309/</t>
        </is>
      </c>
      <c r="I14" s="52" t="inlineStr">
        <is>
          <t>News</t>
        </is>
      </c>
      <c r="J14" s="51" t="inlineStr">
        <is>
          <t>Yes</t>
        </is>
      </c>
      <c r="K14" s="52" t="inlineStr">
        <is>
          <t>Archived before-state: https://web.archive.org/web/2024/https://about.att.com/pages/diversity</t>
        </is>
      </c>
    </row>
    <row r="15" ht="23.25" customHeight="1" s="42">
      <c r="A15" s="52" t="inlineStr">
        <is>
          <t>T-Mobile</t>
        </is>
      </c>
      <c r="B15" s="52" t="inlineStr">
        <is>
          <t>p_logo_rainbow</t>
        </is>
      </c>
      <c r="C15" s="52" t="inlineStr">
        <is>
          <t>Annual rainbow/magenta Pride branding across social channels</t>
        </is>
      </c>
      <c r="D15" s="51" t="inlineStr">
        <is>
          <t>Cosmetic</t>
        </is>
      </c>
      <c r="E15" s="51" t="inlineStr">
        <is>
          <t>Positive</t>
        </is>
      </c>
      <c r="F15" s="51" t="n">
        <v>3</v>
      </c>
      <c r="G15" s="51" t="n">
        <v>2024</v>
      </c>
      <c r="H15" s="52" t="inlineStr">
        <is>
          <t>https://web.archive.org/web/2024/https://www.t-mobile.com/responsibility/diversity-equity-inclusion</t>
        </is>
      </c>
      <c r="I15" s="52" t="inlineStr">
        <is>
          <t>Archive</t>
        </is>
      </c>
      <c r="J15" s="51" t="inlineStr">
        <is>
          <t>No</t>
        </is>
      </c>
      <c r="K15" s="52" t="inlineStr"/>
    </row>
    <row r="16" ht="23.25" customHeight="1" s="42">
      <c r="A16" s="52" t="inlineStr">
        <is>
          <t>T-Mobile</t>
        </is>
      </c>
      <c r="B16" s="52" t="inlineStr">
        <is>
          <t>p_generic_post</t>
        </is>
      </c>
      <c r="C16" s="52" t="inlineStr">
        <is>
          <t>Annual Pride Month posts and statements</t>
        </is>
      </c>
      <c r="D16" s="51" t="inlineStr">
        <is>
          <t>Cosmetic</t>
        </is>
      </c>
      <c r="E16" s="51" t="inlineStr">
        <is>
          <t>Positive</t>
        </is>
      </c>
      <c r="F16" s="51" t="n">
        <v>2</v>
      </c>
      <c r="G16" s="51" t="n">
        <v>2024</v>
      </c>
      <c r="H16" s="52" t="inlineStr">
        <is>
          <t>https://web.archive.org/web/2024/https://www.t-mobile.com/responsibility/diversity-equity-inclusion</t>
        </is>
      </c>
      <c r="I16" s="52" t="inlineStr">
        <is>
          <t>Archive</t>
        </is>
      </c>
      <c r="J16" s="51" t="inlineStr">
        <is>
          <t>No</t>
        </is>
      </c>
      <c r="K16" s="52" t="inlineStr"/>
    </row>
    <row r="17" ht="23.25" customHeight="1" s="42">
      <c r="A17" s="52" t="inlineStr">
        <is>
          <t>T-Mobile</t>
        </is>
      </c>
      <c r="B17" s="52" t="inlineStr">
        <is>
          <t>p_parade_sponsor</t>
        </is>
      </c>
      <c r="C17" s="52" t="inlineStr">
        <is>
          <t>Sponsorship of Pride events in multiple markets (pre-2025)</t>
        </is>
      </c>
      <c r="D17" s="51" t="inlineStr">
        <is>
          <t>Civic</t>
        </is>
      </c>
      <c r="E17" s="51" t="inlineStr">
        <is>
          <t>Positive</t>
        </is>
      </c>
      <c r="F17" s="51" t="n">
        <v>12</v>
      </c>
      <c r="G17" s="51" t="n">
        <v>2024</v>
      </c>
      <c r="H17" s="52" t="inlineStr">
        <is>
          <t>https://web.archive.org/web/2024/https://www.t-mobile.com/responsibility/diversity-equity-inclusion</t>
        </is>
      </c>
      <c r="I17" s="52" t="inlineStr">
        <is>
          <t>Archive</t>
        </is>
      </c>
      <c r="J17" s="51" t="inlineStr">
        <is>
          <t>No</t>
        </is>
      </c>
      <c r="K17" s="52" t="inlineStr"/>
    </row>
    <row r="18" ht="23.25" customHeight="1" s="42">
      <c r="A18" s="52" t="inlineStr">
        <is>
          <t>T-Mobile</t>
        </is>
      </c>
      <c r="B18" s="52" t="inlineStr">
        <is>
          <t>p_erg_support</t>
        </is>
      </c>
      <c r="C18" s="52" t="inlineStr">
        <is>
          <t>Funded LGBTQ+ employee resource group (Pride &amp; Allies network)</t>
        </is>
      </c>
      <c r="D18" s="51" t="inlineStr">
        <is>
          <t>Civic</t>
        </is>
      </c>
      <c r="E18" s="51" t="inlineStr">
        <is>
          <t>Positive</t>
        </is>
      </c>
      <c r="F18" s="51" t="n">
        <v>15</v>
      </c>
      <c r="G18" s="51" t="n">
        <v>2024</v>
      </c>
      <c r="H18" s="52" t="inlineStr">
        <is>
          <t>https://web.archive.org/web/2024/https://www.t-mobile.com/responsibility/diversity-equity-inclusion</t>
        </is>
      </c>
      <c r="I18" s="52" t="inlineStr">
        <is>
          <t>Archive</t>
        </is>
      </c>
      <c r="J18" s="51" t="inlineStr">
        <is>
          <t>No</t>
        </is>
      </c>
      <c r="K18" s="52" t="inlineStr"/>
    </row>
    <row r="19" ht="23.25" customHeight="1" s="42">
      <c r="A19" s="52" t="inlineStr">
        <is>
          <t>T-Mobile</t>
        </is>
      </c>
      <c r="B19" s="52" t="inlineStr">
        <is>
          <t>n_dei_removal</t>
        </is>
      </c>
      <c r="C19" s="52" t="inlineStr">
        <is>
          <t>Letter to FCC ending DEI programs 'not just in name, but in substance'; DEI scrubbed from sites and trainings</t>
        </is>
      </c>
      <c r="D19" s="51" t="inlineStr">
        <is>
          <t>—</t>
        </is>
      </c>
      <c r="E19" s="51" t="inlineStr">
        <is>
          <t>Negative</t>
        </is>
      </c>
      <c r="F19" s="51" t="n">
        <v>-32</v>
      </c>
      <c r="G19" s="51" t="n">
        <v>2025</v>
      </c>
      <c r="H19" s="52" t="inlineStr">
        <is>
          <t>https://deadline.com/2025/07/t-mobile-dei-fcc-brendan-carr-1236453389/</t>
        </is>
      </c>
      <c r="I19" s="52" t="inlineStr">
        <is>
          <t>News</t>
        </is>
      </c>
      <c r="J19" s="51" t="inlineStr">
        <is>
          <t>Yes</t>
        </is>
      </c>
      <c r="K19" s="52" t="inlineStr">
        <is>
          <t>UScellular and Metronet approvals followed within days</t>
        </is>
      </c>
    </row>
    <row r="20" ht="23.25" customHeight="1" s="42">
      <c r="A20" s="52" t="inlineStr">
        <is>
          <t>T-Mobile</t>
        </is>
      </c>
      <c r="B20" s="52" t="inlineStr">
        <is>
          <t>n_pride_retreat</t>
        </is>
      </c>
      <c r="C20" s="52" t="inlineStr">
        <is>
          <t>Public renunciation of prior inclusion commitments under FCC pressure</t>
        </is>
      </c>
      <c r="D20" s="51" t="inlineStr">
        <is>
          <t>—</t>
        </is>
      </c>
      <c r="E20" s="51" t="inlineStr">
        <is>
          <t>Negative</t>
        </is>
      </c>
      <c r="F20" s="51" t="n">
        <v>-22</v>
      </c>
      <c r="G20" s="51" t="n">
        <v>2025</v>
      </c>
      <c r="H20" s="52" t="inlineStr">
        <is>
          <t>https://fortune.com/2025/07/17/trump-administration-anti-dei-movement-new-ally-fcc-t-mobile-paramount-verizon/</t>
        </is>
      </c>
      <c r="I20" s="52" t="inlineStr">
        <is>
          <t>News</t>
        </is>
      </c>
      <c r="J20" s="51" t="inlineStr">
        <is>
          <t>Yes</t>
        </is>
      </c>
      <c r="K20" s="52" t="inlineStr">
        <is>
          <t>Archived before-state: https://web.archive.org/web/2024/https://www.t-mobile.com/responsibility/diversity-equity-inclusion</t>
        </is>
      </c>
    </row>
    <row r="21" ht="23.25" customHeight="1" s="42">
      <c r="A21" s="52" t="inlineStr">
        <is>
          <t>Comcast / Xfinity</t>
        </is>
      </c>
      <c r="B21" s="52" t="inlineStr">
        <is>
          <t>p_logo_rainbow</t>
        </is>
      </c>
      <c r="C21" s="52" t="inlineStr">
        <is>
          <t>Annual Pride branding and Xfinity Pride content hub</t>
        </is>
      </c>
      <c r="D21" s="51" t="inlineStr">
        <is>
          <t>Cosmetic</t>
        </is>
      </c>
      <c r="E21" s="51" t="inlineStr">
        <is>
          <t>Positive</t>
        </is>
      </c>
      <c r="F21" s="51" t="n">
        <v>3</v>
      </c>
      <c r="G21" s="51" t="n">
        <v>2024</v>
      </c>
      <c r="H21" s="52" t="inlineStr">
        <is>
          <t>https://web.archive.org/web/2024/https://corporate.comcast.com/values/diversity-equity-inclusion</t>
        </is>
      </c>
      <c r="I21" s="52" t="inlineStr">
        <is>
          <t>Archive</t>
        </is>
      </c>
      <c r="J21" s="51" t="inlineStr">
        <is>
          <t>No</t>
        </is>
      </c>
      <c r="K21" s="52" t="inlineStr"/>
    </row>
    <row r="22" ht="23.25" customHeight="1" s="42">
      <c r="A22" s="52" t="inlineStr">
        <is>
          <t>Comcast / Xfinity</t>
        </is>
      </c>
      <c r="B22" s="52" t="inlineStr">
        <is>
          <t>p_generic_post</t>
        </is>
      </c>
      <c r="C22" s="52" t="inlineStr">
        <is>
          <t>Annual Pride Month posts and statements</t>
        </is>
      </c>
      <c r="D22" s="51" t="inlineStr">
        <is>
          <t>Cosmetic</t>
        </is>
      </c>
      <c r="E22" s="51" t="inlineStr">
        <is>
          <t>Positive</t>
        </is>
      </c>
      <c r="F22" s="51" t="n">
        <v>2</v>
      </c>
      <c r="G22" s="51" t="n">
        <v>2024</v>
      </c>
      <c r="H22" s="52" t="inlineStr">
        <is>
          <t>https://web.archive.org/web/2024/https://corporate.comcast.com/values/diversity-equity-inclusion</t>
        </is>
      </c>
      <c r="I22" s="52" t="inlineStr">
        <is>
          <t>Archive</t>
        </is>
      </c>
      <c r="J22" s="51" t="inlineStr">
        <is>
          <t>No</t>
        </is>
      </c>
      <c r="K22" s="52" t="inlineStr"/>
    </row>
    <row r="23" ht="23.25" customHeight="1" s="42">
      <c r="A23" s="52" t="inlineStr">
        <is>
          <t>Comcast / Xfinity</t>
        </is>
      </c>
      <c r="B23" s="52" t="inlineStr">
        <is>
          <t>p_parade_sponsor</t>
        </is>
      </c>
      <c r="C23" s="52" t="inlineStr">
        <is>
          <t>Decades-long San Francisco Pride sponsorship (ended 2025); continued Silicon Valley/Oakland Pride 2025</t>
        </is>
      </c>
      <c r="D23" s="51" t="inlineStr">
        <is>
          <t>Civic</t>
        </is>
      </c>
      <c r="E23" s="51" t="inlineStr">
        <is>
          <t>Positive</t>
        </is>
      </c>
      <c r="F23" s="51" t="n">
        <v>12</v>
      </c>
      <c r="G23" s="51" t="n">
        <v>2024</v>
      </c>
      <c r="H23" s="52" t="inlineStr">
        <is>
          <t>https://www.npr.org/2025/03/24/nx-s1-5334685/san-francisco-pride-parade-loses-several-corporate-sponsors-organizers-say</t>
        </is>
      </c>
      <c r="I23" s="52" t="inlineStr">
        <is>
          <t>News</t>
        </is>
      </c>
      <c r="J23" s="51" t="inlineStr">
        <is>
          <t>No</t>
        </is>
      </c>
      <c r="K23" s="52" t="inlineStr"/>
    </row>
    <row r="24" ht="23.25" customHeight="1" s="42">
      <c r="A24" s="52" t="inlineStr">
        <is>
          <t>Comcast / Xfinity</t>
        </is>
      </c>
      <c r="B24" s="52" t="inlineStr">
        <is>
          <t>p_erg_support</t>
        </is>
      </c>
      <c r="C24" s="52" t="inlineStr">
        <is>
          <t>Funded LGBTQ+ ERG and workplace inclusion programs</t>
        </is>
      </c>
      <c r="D24" s="51" t="inlineStr">
        <is>
          <t>Civic</t>
        </is>
      </c>
      <c r="E24" s="51" t="inlineStr">
        <is>
          <t>Positive</t>
        </is>
      </c>
      <c r="F24" s="51" t="n">
        <v>15</v>
      </c>
      <c r="G24" s="51" t="n">
        <v>2024</v>
      </c>
      <c r="H24" s="52" t="inlineStr">
        <is>
          <t>https://web.archive.org/web/2024/https://corporate.comcast.com/values/diversity-equity-inclusion</t>
        </is>
      </c>
      <c r="I24" s="52" t="inlineStr">
        <is>
          <t>Archive</t>
        </is>
      </c>
      <c r="J24" s="51" t="inlineStr">
        <is>
          <t>No</t>
        </is>
      </c>
      <c r="K24" s="52" t="inlineStr"/>
    </row>
    <row r="25" ht="23.25" customHeight="1" s="42">
      <c r="A25" s="52" t="inlineStr">
        <is>
          <t>Comcast / Xfinity</t>
        </is>
      </c>
      <c r="B25" s="52" t="inlineStr">
        <is>
          <t>n_pride_retreat</t>
        </is>
      </c>
      <c r="C25" s="52" t="inlineStr">
        <is>
          <t>Withdrew San Francisco Pride sponsorship after decades; declined to comment on reasons</t>
        </is>
      </c>
      <c r="D25" s="51" t="inlineStr">
        <is>
          <t>—</t>
        </is>
      </c>
      <c r="E25" s="51" t="inlineStr">
        <is>
          <t>Negative</t>
        </is>
      </c>
      <c r="F25" s="51" t="n">
        <v>-22</v>
      </c>
      <c r="G25" s="51" t="n">
        <v>2025</v>
      </c>
      <c r="H25" s="52" t="inlineStr">
        <is>
          <t>https://www.advocate.com/news/companies-that-stopped-sponsoring-pride</t>
        </is>
      </c>
      <c r="I25" s="52" t="inlineStr">
        <is>
          <t>News</t>
        </is>
      </c>
      <c r="J25" s="51" t="inlineStr">
        <is>
          <t>Yes</t>
        </is>
      </c>
      <c r="K25" s="52" t="inlineStr">
        <is>
          <t>FCC opened probe into Comcast DEI Feb 2025</t>
        </is>
      </c>
    </row>
    <row r="26" ht="23.25" customHeight="1" s="42">
      <c r="A26" s="52" t="inlineStr">
        <is>
          <t>Apple</t>
        </is>
      </c>
      <c r="B26" s="52" t="inlineStr">
        <is>
          <t>p_logo_rainbow</t>
        </is>
      </c>
      <c r="C26" s="52" t="inlineStr">
        <is>
          <t>Annual Pride branding incl. rainbow Apple logos at retail and Pride watch faces</t>
        </is>
      </c>
      <c r="D26" s="51" t="inlineStr">
        <is>
          <t>Cosmetic</t>
        </is>
      </c>
      <c r="E26" s="51" t="inlineStr">
        <is>
          <t>Positive</t>
        </is>
      </c>
      <c r="F26" s="51" t="n">
        <v>3</v>
      </c>
      <c r="G26" s="51" t="n">
        <v>2025</v>
      </c>
      <c r="H26" s="52" t="inlineStr">
        <is>
          <t>https://www.apple.com/newsroom/2024/05/apple-introduces-new-pride-collection/</t>
        </is>
      </c>
      <c r="I26" s="52" t="inlineStr">
        <is>
          <t>Company</t>
        </is>
      </c>
      <c r="J26" s="51" t="inlineStr">
        <is>
          <t>No</t>
        </is>
      </c>
      <c r="K26" s="52" t="inlineStr"/>
    </row>
    <row r="27" ht="23.25" customHeight="1" s="42">
      <c r="A27" s="52" t="inlineStr">
        <is>
          <t>Apple</t>
        </is>
      </c>
      <c r="B27" s="52" t="inlineStr">
        <is>
          <t>p_merch_collection</t>
        </is>
      </c>
      <c r="C27" s="52" t="inlineStr">
        <is>
          <t>Apple Watch Pride Edition band released annually since 2016 (incl. 2025 edition)</t>
        </is>
      </c>
      <c r="D27" s="51" t="inlineStr">
        <is>
          <t>Commercial</t>
        </is>
      </c>
      <c r="E27" s="51" t="inlineStr">
        <is>
          <t>Positive</t>
        </is>
      </c>
      <c r="F27" s="51" t="n">
        <v>6</v>
      </c>
      <c r="G27" s="51" t="n">
        <v>2025</v>
      </c>
      <c r="H27" s="52" t="inlineStr">
        <is>
          <t>https://www.apple.com/newsroom/2024/05/apple-introduces-new-pride-collection/</t>
        </is>
      </c>
      <c r="I27" s="52" t="inlineStr">
        <is>
          <t>Company</t>
        </is>
      </c>
      <c r="J27" s="51" t="inlineStr">
        <is>
          <t>Yes</t>
        </is>
      </c>
      <c r="K27" s="52" t="inlineStr">
        <is>
          <t>2025 edition released despite political climate</t>
        </is>
      </c>
    </row>
    <row r="28" ht="23.25" customHeight="1" s="42">
      <c r="A28" s="52" t="inlineStr">
        <is>
          <t>Apple</t>
        </is>
      </c>
      <c r="B28" s="52" t="inlineStr">
        <is>
          <t>p_parade_sponsor</t>
        </is>
      </c>
      <c r="C28" s="52" t="inlineStr">
        <is>
          <t>San Francisco Pride sponsorship and employee contingent</t>
        </is>
      </c>
      <c r="D28" s="51" t="inlineStr">
        <is>
          <t>Civic</t>
        </is>
      </c>
      <c r="E28" s="51" t="inlineStr">
        <is>
          <t>Positive</t>
        </is>
      </c>
      <c r="F28" s="51" t="n">
        <v>12</v>
      </c>
      <c r="G28" s="51" t="n">
        <v>2024</v>
      </c>
      <c r="H28" s="52" t="inlineStr">
        <is>
          <t>https://web.archive.org/web/2024/https://www.apple.com/diversity/</t>
        </is>
      </c>
      <c r="I28" s="52" t="inlineStr">
        <is>
          <t>Archive</t>
        </is>
      </c>
      <c r="J28" s="51" t="inlineStr">
        <is>
          <t>No</t>
        </is>
      </c>
      <c r="K28" s="52" t="inlineStr"/>
    </row>
    <row r="29" ht="23.25" customHeight="1" s="42">
      <c r="A29" s="52" t="inlineStr">
        <is>
          <t>Apple</t>
        </is>
      </c>
      <c r="B29" s="52" t="inlineStr">
        <is>
          <t>p_erg_support</t>
        </is>
      </c>
      <c r="C29" s="52" t="inlineStr">
        <is>
          <t>Funded Pride@Apple employee resource group</t>
        </is>
      </c>
      <c r="D29" s="51" t="inlineStr">
        <is>
          <t>Civic</t>
        </is>
      </c>
      <c r="E29" s="51" t="inlineStr">
        <is>
          <t>Positive</t>
        </is>
      </c>
      <c r="F29" s="51" t="n">
        <v>15</v>
      </c>
      <c r="G29" s="51" t="n">
        <v>2024</v>
      </c>
      <c r="H29" s="52" t="inlineStr">
        <is>
          <t>https://web.archive.org/web/2024/https://www.apple.com/diversity/</t>
        </is>
      </c>
      <c r="I29" s="52" t="inlineStr">
        <is>
          <t>Archive</t>
        </is>
      </c>
      <c r="J29" s="51" t="inlineStr">
        <is>
          <t>No</t>
        </is>
      </c>
      <c r="K29" s="52" t="inlineStr"/>
    </row>
    <row r="30" ht="23.25" customHeight="1" s="42">
      <c r="A30" s="52" t="inlineStr">
        <is>
          <t>Apple</t>
        </is>
      </c>
      <c r="B30" s="52" t="inlineStr">
        <is>
          <t>p_dei_explicit</t>
        </is>
      </c>
      <c r="C30" s="52" t="inlineStr">
        <is>
          <t>Inclusion &amp; diversity commitments naming LGBTQ+ inclusion remain published on apple.com through 2025</t>
        </is>
      </c>
      <c r="D30" s="51" t="inlineStr">
        <is>
          <t>Structural</t>
        </is>
      </c>
      <c r="E30" s="51" t="inlineStr">
        <is>
          <t>Positive</t>
        </is>
      </c>
      <c r="F30" s="51" t="n">
        <v>20</v>
      </c>
      <c r="G30" s="51" t="n">
        <v>2025</v>
      </c>
      <c r="H30" s="52" t="inlineStr">
        <is>
          <t>https://www.apple.com/diversity/</t>
        </is>
      </c>
      <c r="I30" s="52" t="inlineStr">
        <is>
          <t>Company</t>
        </is>
      </c>
      <c r="J30" s="51" t="inlineStr">
        <is>
          <t>Yes</t>
        </is>
      </c>
      <c r="K30" s="52" t="inlineStr">
        <is>
          <t>Maintained while peers scrubbed</t>
        </is>
      </c>
    </row>
    <row r="31" ht="23.25" customHeight="1" s="42">
      <c r="A31" s="52" t="inlineStr">
        <is>
          <t>Apple</t>
        </is>
      </c>
      <c r="B31" s="52" t="inlineStr">
        <is>
          <t>p_benefits</t>
        </is>
      </c>
      <c r="C31" s="52" t="inlineStr">
        <is>
          <t>Comprehensive partner and gender-affirming healthcare benefits (CEI-verified)</t>
        </is>
      </c>
      <c r="D31" s="51" t="inlineStr">
        <is>
          <t>Structural</t>
        </is>
      </c>
      <c r="E31" s="51" t="inlineStr">
        <is>
          <t>Positive</t>
        </is>
      </c>
      <c r="F31" s="51" t="n">
        <v>22</v>
      </c>
      <c r="G31" s="51" t="n">
        <v>2025</v>
      </c>
      <c r="H31" s="52" t="inlineStr">
        <is>
          <t>https://reports.hrc.org/corporate-equality-index-2025</t>
        </is>
      </c>
      <c r="I31" s="52" t="inlineStr">
        <is>
          <t>HRC</t>
        </is>
      </c>
      <c r="J31" s="51" t="inlineStr">
        <is>
          <t>No</t>
        </is>
      </c>
      <c r="K31" s="52" t="inlineStr"/>
    </row>
    <row r="32" ht="23.25" customHeight="1" s="42">
      <c r="A32" s="52" t="inlineStr">
        <is>
          <t>Apple</t>
        </is>
      </c>
      <c r="B32" s="52" t="inlineStr">
        <is>
          <t>p_consistent_history</t>
        </is>
      </c>
      <c r="C32" s="52" t="inlineStr">
        <is>
          <t>10+ years of consistent support: marriage-equality amicus briefs, opposition to anti-LGBTQ+ state bills, CEI 100 streak</t>
        </is>
      </c>
      <c r="D32" s="51" t="inlineStr">
        <is>
          <t>Structural</t>
        </is>
      </c>
      <c r="E32" s="51" t="inlineStr">
        <is>
          <t>Positive</t>
        </is>
      </c>
      <c r="F32" s="51" t="n">
        <v>28</v>
      </c>
      <c r="G32" s="51" t="n">
        <v>2025</v>
      </c>
      <c r="H32" s="52" t="inlineStr">
        <is>
          <t>https://reports.hrc.org/corporate-equality-index-2025</t>
        </is>
      </c>
      <c r="I32" s="52" t="inlineStr">
        <is>
          <t>HRC</t>
        </is>
      </c>
      <c r="J32" s="51" t="inlineStr">
        <is>
          <t>No</t>
        </is>
      </c>
      <c r="K32" s="52" t="inlineStr"/>
    </row>
    <row r="33" ht="23.25" customHeight="1" s="42">
      <c r="A33" s="52" t="inlineStr">
        <is>
          <t>Apple</t>
        </is>
      </c>
      <c r="B33" s="52" t="inlineStr">
        <is>
          <t>p_leadership_vocal</t>
        </is>
      </c>
      <c r="C33" s="52" t="inlineStr">
        <is>
          <t>Tim Cook publicly out since 2014; repeated public advocacy on LGBTQ+ rights</t>
        </is>
      </c>
      <c r="D33" s="51" t="inlineStr">
        <is>
          <t>Structural</t>
        </is>
      </c>
      <c r="E33" s="51" t="inlineStr">
        <is>
          <t>Positive</t>
        </is>
      </c>
      <c r="F33" s="51" t="n">
        <v>18</v>
      </c>
      <c r="G33" s="51" t="n">
        <v>2024</v>
      </c>
      <c r="H33" s="52" t="inlineStr">
        <is>
          <t>https://www.reuters.com/technology/apple-investors-reject-proposal-against-dei-policies-2025-02-25/</t>
        </is>
      </c>
      <c r="I33" s="52" t="inlineStr">
        <is>
          <t>News</t>
        </is>
      </c>
      <c r="J33" s="51" t="inlineStr">
        <is>
          <t>No</t>
        </is>
      </c>
      <c r="K33" s="52" t="inlineStr">
        <is>
          <t>Board urged rejection of anti-DEI proposal</t>
        </is>
      </c>
    </row>
    <row r="34" ht="23.25" customHeight="1" s="42">
      <c r="A34" s="52" t="inlineStr">
        <is>
          <t>Google / Alphabet</t>
        </is>
      </c>
      <c r="B34" s="52" t="inlineStr">
        <is>
          <t>p_logo_rainbow</t>
        </is>
      </c>
      <c r="C34" s="52" t="inlineStr">
        <is>
          <t>Annual Pride Doodles/branding and rainbow campaigns</t>
        </is>
      </c>
      <c r="D34" s="51" t="inlineStr">
        <is>
          <t>Cosmetic</t>
        </is>
      </c>
      <c r="E34" s="51" t="inlineStr">
        <is>
          <t>Positive</t>
        </is>
      </c>
      <c r="F34" s="51" t="n">
        <v>3</v>
      </c>
      <c r="G34" s="51" t="n">
        <v>2024</v>
      </c>
      <c r="H34" s="52" t="inlineStr">
        <is>
          <t>https://web.archive.org/web/2024/https://about.google/belonging/</t>
        </is>
      </c>
      <c r="I34" s="52" t="inlineStr">
        <is>
          <t>Archive</t>
        </is>
      </c>
      <c r="J34" s="51" t="inlineStr">
        <is>
          <t>No</t>
        </is>
      </c>
      <c r="K34" s="52" t="inlineStr"/>
    </row>
    <row r="35" ht="23.25" customHeight="1" s="42">
      <c r="A35" s="52" t="inlineStr">
        <is>
          <t>Google / Alphabet</t>
        </is>
      </c>
      <c r="B35" s="52" t="inlineStr">
        <is>
          <t>p_parade_sponsor</t>
        </is>
      </c>
      <c r="C35" s="52" t="inlineStr">
        <is>
          <t>San Francisco Pride sponsorship and employee march contingent (two decades)</t>
        </is>
      </c>
      <c r="D35" s="51" t="inlineStr">
        <is>
          <t>Civic</t>
        </is>
      </c>
      <c r="E35" s="51" t="inlineStr">
        <is>
          <t>Positive</t>
        </is>
      </c>
      <c r="F35" s="51" t="n">
        <v>12</v>
      </c>
      <c r="G35" s="51" t="n">
        <v>2024</v>
      </c>
      <c r="H35" s="52" t="inlineStr">
        <is>
          <t>https://web.archive.org/web/2024/https://about.google/belonging/</t>
        </is>
      </c>
      <c r="I35" s="52" t="inlineStr">
        <is>
          <t>Archive</t>
        </is>
      </c>
      <c r="J35" s="51" t="inlineStr">
        <is>
          <t>No</t>
        </is>
      </c>
      <c r="K35" s="52" t="inlineStr"/>
    </row>
    <row r="36" ht="23.25" customHeight="1" s="42">
      <c r="A36" s="52" t="inlineStr">
        <is>
          <t>Google / Alphabet</t>
        </is>
      </c>
      <c r="B36" s="52" t="inlineStr">
        <is>
          <t>p_erg_support</t>
        </is>
      </c>
      <c r="C36" s="52" t="inlineStr">
        <is>
          <t>Funded LGBTQ+ ERGs (Pride at Google)</t>
        </is>
      </c>
      <c r="D36" s="51" t="inlineStr">
        <is>
          <t>Civic</t>
        </is>
      </c>
      <c r="E36" s="51" t="inlineStr">
        <is>
          <t>Positive</t>
        </is>
      </c>
      <c r="F36" s="51" t="n">
        <v>15</v>
      </c>
      <c r="G36" s="51" t="n">
        <v>2024</v>
      </c>
      <c r="H36" s="52" t="inlineStr">
        <is>
          <t>https://web.archive.org/web/2024/https://about.google/belonging/</t>
        </is>
      </c>
      <c r="I36" s="52" t="inlineStr">
        <is>
          <t>Archive</t>
        </is>
      </c>
      <c r="J36" s="51" t="inlineStr">
        <is>
          <t>No</t>
        </is>
      </c>
      <c r="K36" s="52" t="inlineStr"/>
    </row>
    <row r="37" ht="23.25" customHeight="1" s="42">
      <c r="A37" s="52" t="inlineStr">
        <is>
          <t>Google / Alphabet</t>
        </is>
      </c>
      <c r="B37" s="52" t="inlineStr">
        <is>
          <t>p_benefits</t>
        </is>
      </c>
      <c r="C37" s="52" t="inlineStr">
        <is>
          <t>Trans-inclusive healthcare benefits, early industry gold standard, still in force</t>
        </is>
      </c>
      <c r="D37" s="51" t="inlineStr">
        <is>
          <t>Structural</t>
        </is>
      </c>
      <c r="E37" s="51" t="inlineStr">
        <is>
          <t>Positive</t>
        </is>
      </c>
      <c r="F37" s="51" t="n">
        <v>22</v>
      </c>
      <c r="G37" s="51" t="n">
        <v>2025</v>
      </c>
      <c r="H37" s="52" t="inlineStr">
        <is>
          <t>https://reports.hrc.org/corporate-equality-index-2025</t>
        </is>
      </c>
      <c r="I37" s="52" t="inlineStr">
        <is>
          <t>HRC</t>
        </is>
      </c>
      <c r="J37" s="51" t="inlineStr">
        <is>
          <t>No</t>
        </is>
      </c>
      <c r="K37" s="52" t="inlineStr"/>
    </row>
    <row r="38" ht="23.25" customHeight="1" s="42">
      <c r="A38" s="52" t="inlineStr">
        <is>
          <t>Google / Alphabet</t>
        </is>
      </c>
      <c r="B38" s="52" t="inlineStr">
        <is>
          <t>n_dei_removal</t>
        </is>
      </c>
      <c r="C38" s="52" t="inlineStr">
        <is>
          <t>Ended diversity hiring targets; scrubbed diversity from 10-K and Responsible AI page; CDO title changed</t>
        </is>
      </c>
      <c r="D38" s="51" t="inlineStr">
        <is>
          <t>—</t>
        </is>
      </c>
      <c r="E38" s="51" t="inlineStr">
        <is>
          <t>Negative</t>
        </is>
      </c>
      <c r="F38" s="51" t="n">
        <v>-32</v>
      </c>
      <c r="G38" s="51" t="n">
        <v>2025</v>
      </c>
      <c r="H38" s="52" t="inlineStr">
        <is>
          <t>https://techcrunch.com/2025/04/17/here-are-all-the-tech-companies-rolling-back-dei-or-still-committed-to-it-so-far/</t>
        </is>
      </c>
      <c r="I38" s="52" t="inlineStr">
        <is>
          <t>News</t>
        </is>
      </c>
      <c r="J38" s="51" t="inlineStr">
        <is>
          <t>Yes</t>
        </is>
      </c>
      <c r="K38" s="52" t="inlineStr">
        <is>
          <t>Cited compliance with federal contractor executive orders</t>
        </is>
      </c>
    </row>
    <row r="39" ht="23.25" customHeight="1" s="42">
      <c r="A39" s="52" t="inlineStr">
        <is>
          <t>Google / Alphabet</t>
        </is>
      </c>
      <c r="B39" s="52" t="inlineStr">
        <is>
          <t>n_pride_retreat</t>
        </is>
      </c>
      <c r="C39" s="52" t="inlineStr">
        <is>
          <t>Removed Pride Month (and other heritage observances) from Google Calendar defaults</t>
        </is>
      </c>
      <c r="D39" s="51" t="inlineStr">
        <is>
          <t>—</t>
        </is>
      </c>
      <c r="E39" s="51" t="inlineStr">
        <is>
          <t>Negative</t>
        </is>
      </c>
      <c r="F39" s="51" t="n">
        <v>-22</v>
      </c>
      <c r="G39" s="51" t="n">
        <v>2025</v>
      </c>
      <c r="H39" s="52" t="inlineStr">
        <is>
          <t>https://www.axios.com/2025/02/12/google-calendar-holidays-heritage-months-remove-diversity</t>
        </is>
      </c>
      <c r="I39" s="52" t="inlineStr">
        <is>
          <t>News</t>
        </is>
      </c>
      <c r="J39" s="51" t="inlineStr">
        <is>
          <t>Yes</t>
        </is>
      </c>
      <c r="K39" s="52" t="inlineStr">
        <is>
          <t>Google attributed to 'scalability'; criticized by National LGBTQ Task Force</t>
        </is>
      </c>
    </row>
    <row r="40" ht="23.25" customHeight="1" s="42">
      <c r="A40" s="52" t="inlineStr">
        <is>
          <t>Meta</t>
        </is>
      </c>
      <c r="B40" s="52" t="inlineStr">
        <is>
          <t>p_logo_rainbow</t>
        </is>
      </c>
      <c r="C40" s="52" t="inlineStr">
        <is>
          <t>Annual Pride branding, rainbow reactions and profile frames across platforms</t>
        </is>
      </c>
      <c r="D40" s="51" t="inlineStr">
        <is>
          <t>Cosmetic</t>
        </is>
      </c>
      <c r="E40" s="51" t="inlineStr">
        <is>
          <t>Positive</t>
        </is>
      </c>
      <c r="F40" s="51" t="n">
        <v>3</v>
      </c>
      <c r="G40" s="51" t="n">
        <v>2024</v>
      </c>
      <c r="H40" s="52" t="inlineStr">
        <is>
          <t>https://web.archive.org/web/2024/https://about.meta.com/community/</t>
        </is>
      </c>
      <c r="I40" s="52" t="inlineStr">
        <is>
          <t>Archive</t>
        </is>
      </c>
      <c r="J40" s="51" t="inlineStr">
        <is>
          <t>No</t>
        </is>
      </c>
      <c r="K40" s="52" t="inlineStr">
        <is>
          <t>Pride features quietly reduced after Jan 2025</t>
        </is>
      </c>
    </row>
    <row r="41" ht="23.25" customHeight="1" s="42">
      <c r="A41" s="52" t="inlineStr">
        <is>
          <t>Meta</t>
        </is>
      </c>
      <c r="B41" s="52" t="inlineStr">
        <is>
          <t>p_generic_post</t>
        </is>
      </c>
      <c r="C41" s="52" t="inlineStr">
        <is>
          <t>Annual corporate Pride Month statements</t>
        </is>
      </c>
      <c r="D41" s="51" t="inlineStr">
        <is>
          <t>Cosmetic</t>
        </is>
      </c>
      <c r="E41" s="51" t="inlineStr">
        <is>
          <t>Positive</t>
        </is>
      </c>
      <c r="F41" s="51" t="n">
        <v>2</v>
      </c>
      <c r="G41" s="51" t="n">
        <v>2024</v>
      </c>
      <c r="H41" s="52" t="inlineStr">
        <is>
          <t>https://web.archive.org/web/2024/https://about.meta.com/community/</t>
        </is>
      </c>
      <c r="I41" s="52" t="inlineStr">
        <is>
          <t>Archive</t>
        </is>
      </c>
      <c r="J41" s="51" t="inlineStr">
        <is>
          <t>No</t>
        </is>
      </c>
      <c r="K41" s="52" t="inlineStr"/>
    </row>
    <row r="42" ht="23.25" customHeight="1" s="42">
      <c r="A42" s="52" t="inlineStr">
        <is>
          <t>Meta</t>
        </is>
      </c>
      <c r="B42" s="52" t="inlineStr">
        <is>
          <t>p_erg_support</t>
        </is>
      </c>
      <c r="C42" s="52" t="inlineStr">
        <is>
          <t>Funded LGBTQ+ employee resource group (pre-2025)</t>
        </is>
      </c>
      <c r="D42" s="51" t="inlineStr">
        <is>
          <t>Civic</t>
        </is>
      </c>
      <c r="E42" s="51" t="inlineStr">
        <is>
          <t>Positive</t>
        </is>
      </c>
      <c r="F42" s="51" t="n">
        <v>15</v>
      </c>
      <c r="G42" s="51" t="n">
        <v>2024</v>
      </c>
      <c r="H42" s="52" t="inlineStr">
        <is>
          <t>https://web.archive.org/web/2024/https://about.meta.com/community/</t>
        </is>
      </c>
      <c r="I42" s="52" t="inlineStr">
        <is>
          <t>Archive</t>
        </is>
      </c>
      <c r="J42" s="51" t="inlineStr">
        <is>
          <t>No</t>
        </is>
      </c>
      <c r="K42" s="52" t="inlineStr"/>
    </row>
    <row r="43" ht="23.25" customHeight="1" s="42">
      <c r="A43" s="52" t="inlineStr">
        <is>
          <t>Meta</t>
        </is>
      </c>
      <c r="B43" s="52" t="inlineStr">
        <is>
          <t>p_benefits</t>
        </is>
      </c>
      <c r="C43" s="52" t="inlineStr">
        <is>
          <t>Trans-inclusive healthcare and partner benefits (CEI-verified)</t>
        </is>
      </c>
      <c r="D43" s="51" t="inlineStr">
        <is>
          <t>Structural</t>
        </is>
      </c>
      <c r="E43" s="51" t="inlineStr">
        <is>
          <t>Positive</t>
        </is>
      </c>
      <c r="F43" s="51" t="n">
        <v>22</v>
      </c>
      <c r="G43" s="51" t="n">
        <v>2024</v>
      </c>
      <c r="H43" s="52" t="inlineStr">
        <is>
          <t>https://reports.hrc.org/corporate-equality-index-2025</t>
        </is>
      </c>
      <c r="I43" s="52" t="inlineStr">
        <is>
          <t>HRC</t>
        </is>
      </c>
      <c r="J43" s="51" t="inlineStr">
        <is>
          <t>No</t>
        </is>
      </c>
      <c r="K43" s="52" t="inlineStr"/>
    </row>
    <row r="44" ht="23.25" customHeight="1" s="42">
      <c r="A44" s="52" t="inlineStr">
        <is>
          <t>Meta</t>
        </is>
      </c>
      <c r="B44" s="52" t="inlineStr">
        <is>
          <t>n_dei_removal</t>
        </is>
      </c>
      <c r="C44" s="52" t="inlineStr">
        <is>
          <t>Dissolved DEI team, ended representation goals and diverse-slate hiring (leaked memo)</t>
        </is>
      </c>
      <c r="D44" s="51" t="inlineStr">
        <is>
          <t>—</t>
        </is>
      </c>
      <c r="E44" s="51" t="inlineStr">
        <is>
          <t>Negative</t>
        </is>
      </c>
      <c r="F44" s="51" t="n">
        <v>-32</v>
      </c>
      <c r="G44" s="51" t="n">
        <v>2025</v>
      </c>
      <c r="H44" s="52" t="inlineStr">
        <is>
          <t>https://www.cbsnews.com/news/meta-dei-programs-mcdonalds-walmart-ford-diversity/</t>
        </is>
      </c>
      <c r="I44" s="52" t="inlineStr">
        <is>
          <t>News</t>
        </is>
      </c>
      <c r="J44" s="51" t="inlineStr">
        <is>
          <t>Yes</t>
        </is>
      </c>
      <c r="K44" s="52" t="inlineStr">
        <is>
          <t>Announced days before second Trump inauguration</t>
        </is>
      </c>
    </row>
    <row r="45" ht="23.25" customHeight="1" s="42">
      <c r="A45" s="52" t="inlineStr">
        <is>
          <t>Meta</t>
        </is>
      </c>
      <c r="B45" s="52" t="inlineStr">
        <is>
          <t>n_selective</t>
        </is>
      </c>
      <c r="C45" s="52" t="inlineStr">
        <is>
          <t>Hateful Conduct policy rewritten to permit calling LGBTQ+ people mentally ill; trans/nonbinary Messenger themes removed</t>
        </is>
      </c>
      <c r="D45" s="51" t="inlineStr">
        <is>
          <t>—</t>
        </is>
      </c>
      <c r="E45" s="51" t="inlineStr">
        <is>
          <t>Negative</t>
        </is>
      </c>
      <c r="F45" s="51" t="n">
        <v>-10</v>
      </c>
      <c r="G45" s="51" t="n">
        <v>2025</v>
      </c>
      <c r="H45" s="52" t="inlineStr">
        <is>
          <t>https://www.lgbtqnation.com/2025/01/amazon-removes-section-on-lgbtq-rights-from-its-policy-page/</t>
        </is>
      </c>
      <c r="I45" s="52" t="inlineStr">
        <is>
          <t>News</t>
        </is>
      </c>
      <c r="J45" s="51" t="inlineStr">
        <is>
          <t>Yes</t>
        </is>
      </c>
      <c r="K45" s="52" t="inlineStr">
        <is>
          <t>GLAAD condemned; see Statements for policy text</t>
        </is>
      </c>
    </row>
    <row r="46" ht="23.25" customHeight="1" s="42">
      <c r="A46" s="52" t="inlineStr">
        <is>
          <t>Meta</t>
        </is>
      </c>
      <c r="B46" s="52" t="inlineStr">
        <is>
          <t>n_pride_retreat</t>
        </is>
      </c>
      <c r="C46" s="52" t="inlineStr">
        <is>
          <t>Public renunciation of DEI commitments framed around 'legal and policy landscape'; GLAAD severed ties</t>
        </is>
      </c>
      <c r="D46" s="51" t="inlineStr">
        <is>
          <t>—</t>
        </is>
      </c>
      <c r="E46" s="51" t="inlineStr">
        <is>
          <t>Negative</t>
        </is>
      </c>
      <c r="F46" s="51" t="n">
        <v>-22</v>
      </c>
      <c r="G46" s="51" t="n">
        <v>2025</v>
      </c>
      <c r="H46" s="52" t="inlineStr">
        <is>
          <t>https://www.cbsnews.com/news/meta-dei-programs-mcdonalds-walmart-ford-diversity/</t>
        </is>
      </c>
      <c r="I46" s="52" t="inlineStr">
        <is>
          <t>News</t>
        </is>
      </c>
      <c r="J46" s="51" t="inlineStr">
        <is>
          <t>Yes</t>
        </is>
      </c>
      <c r="K46" s="52" t="inlineStr"/>
    </row>
    <row r="47" ht="23.25" customHeight="1" s="42">
      <c r="A47" s="52" t="inlineStr">
        <is>
          <t>Microsoft</t>
        </is>
      </c>
      <c r="B47" s="52" t="inlineStr">
        <is>
          <t>p_logo_rainbow</t>
        </is>
      </c>
      <c r="C47" s="52" t="inlineStr">
        <is>
          <t>Annual Pride branding across Microsoft/Xbox channels</t>
        </is>
      </c>
      <c r="D47" s="51" t="inlineStr">
        <is>
          <t>Cosmetic</t>
        </is>
      </c>
      <c r="E47" s="51" t="inlineStr">
        <is>
          <t>Positive</t>
        </is>
      </c>
      <c r="F47" s="51" t="n">
        <v>3</v>
      </c>
      <c r="G47" s="51" t="n">
        <v>2025</v>
      </c>
      <c r="H47" s="52" t="inlineStr">
        <is>
          <t>https://unlocked.microsoft.com/pride/</t>
        </is>
      </c>
      <c r="I47" s="52" t="inlineStr">
        <is>
          <t>Company</t>
        </is>
      </c>
      <c r="J47" s="51" t="inlineStr">
        <is>
          <t>Yes</t>
        </is>
      </c>
      <c r="K47" s="52" t="inlineStr"/>
    </row>
    <row r="48" ht="23.25" customHeight="1" s="42">
      <c r="A48" s="52" t="inlineStr">
        <is>
          <t>Microsoft</t>
        </is>
      </c>
      <c r="B48" s="52" t="inlineStr">
        <is>
          <t>p_generic_post</t>
        </is>
      </c>
      <c r="C48" s="52" t="inlineStr">
        <is>
          <t>Annual Pride Month statements</t>
        </is>
      </c>
      <c r="D48" s="51" t="inlineStr">
        <is>
          <t>Cosmetic</t>
        </is>
      </c>
      <c r="E48" s="51" t="inlineStr">
        <is>
          <t>Positive</t>
        </is>
      </c>
      <c r="F48" s="51" t="n">
        <v>2</v>
      </c>
      <c r="G48" s="51" t="n">
        <v>2025</v>
      </c>
      <c r="H48" s="52" t="inlineStr">
        <is>
          <t>https://unlocked.microsoft.com/pride/</t>
        </is>
      </c>
      <c r="I48" s="52" t="inlineStr">
        <is>
          <t>Company</t>
        </is>
      </c>
      <c r="J48" s="51" t="inlineStr">
        <is>
          <t>Yes</t>
        </is>
      </c>
      <c r="K48" s="52" t="inlineStr"/>
    </row>
    <row r="49" ht="23.25" customHeight="1" s="42">
      <c r="A49" s="52" t="inlineStr">
        <is>
          <t>Microsoft</t>
        </is>
      </c>
      <c r="B49" s="52" t="inlineStr">
        <is>
          <t>p_merch_collection</t>
        </is>
      </c>
      <c r="C49" s="52" t="inlineStr">
        <is>
          <t>Xbox Pride controller and Pride merchandise with LGBTQ+ nonprofit support</t>
        </is>
      </c>
      <c r="D49" s="51" t="inlineStr">
        <is>
          <t>Commercial</t>
        </is>
      </c>
      <c r="E49" s="51" t="inlineStr">
        <is>
          <t>Positive</t>
        </is>
      </c>
      <c r="F49" s="51" t="n">
        <v>6</v>
      </c>
      <c r="G49" s="51" t="n">
        <v>2024</v>
      </c>
      <c r="H49" s="52" t="inlineStr">
        <is>
          <t>https://news.xbox.com/en-us/2024/06/01/xbox-pride-2024/</t>
        </is>
      </c>
      <c r="I49" s="52" t="inlineStr">
        <is>
          <t>Company</t>
        </is>
      </c>
      <c r="J49" s="51" t="inlineStr">
        <is>
          <t>No</t>
        </is>
      </c>
      <c r="K49" s="52" t="inlineStr"/>
    </row>
    <row r="50" ht="23.25" customHeight="1" s="42">
      <c r="A50" s="52" t="inlineStr">
        <is>
          <t>Microsoft</t>
        </is>
      </c>
      <c r="B50" s="52" t="inlineStr">
        <is>
          <t>p_erg_support</t>
        </is>
      </c>
      <c r="C50" s="52" t="inlineStr">
        <is>
          <t>GLEAM (Global LGBTQIA+ Employees and Allies at Microsoft) ERG, company-funded</t>
        </is>
      </c>
      <c r="D50" s="51" t="inlineStr">
        <is>
          <t>Civic</t>
        </is>
      </c>
      <c r="E50" s="51" t="inlineStr">
        <is>
          <t>Positive</t>
        </is>
      </c>
      <c r="F50" s="51" t="n">
        <v>15</v>
      </c>
      <c r="G50" s="51" t="n">
        <v>2025</v>
      </c>
      <c r="H50" s="52" t="inlineStr">
        <is>
          <t>https://www.microsoft.com/en-us/diversity/inside-microsoft/global-lgbtqia</t>
        </is>
      </c>
      <c r="I50" s="52" t="inlineStr">
        <is>
          <t>Company</t>
        </is>
      </c>
      <c r="J50" s="51" t="inlineStr">
        <is>
          <t>Yes</t>
        </is>
      </c>
      <c r="K50" s="52" t="inlineStr"/>
    </row>
    <row r="51" ht="23.25" customHeight="1" s="42">
      <c r="A51" s="52" t="inlineStr">
        <is>
          <t>Microsoft</t>
        </is>
      </c>
      <c r="B51" s="52" t="inlineStr">
        <is>
          <t>p_benefits</t>
        </is>
      </c>
      <c r="C51" s="52" t="inlineStr">
        <is>
          <t>Comprehensive partner and gender-affirming benefits (CEI-verified)</t>
        </is>
      </c>
      <c r="D51" s="51" t="inlineStr">
        <is>
          <t>Structural</t>
        </is>
      </c>
      <c r="E51" s="51" t="inlineStr">
        <is>
          <t>Positive</t>
        </is>
      </c>
      <c r="F51" s="51" t="n">
        <v>22</v>
      </c>
      <c r="G51" s="51" t="n">
        <v>2025</v>
      </c>
      <c r="H51" s="52" t="inlineStr">
        <is>
          <t>https://reports.hrc.org/corporate-equality-index-2025</t>
        </is>
      </c>
      <c r="I51" s="52" t="inlineStr">
        <is>
          <t>HRC</t>
        </is>
      </c>
      <c r="J51" s="51" t="inlineStr">
        <is>
          <t>No</t>
        </is>
      </c>
      <c r="K51" s="52" t="inlineStr"/>
    </row>
    <row r="52" ht="23.25" customHeight="1" s="42">
      <c r="A52" s="52" t="inlineStr">
        <is>
          <t>Microsoft</t>
        </is>
      </c>
      <c r="B52" s="52" t="inlineStr">
        <is>
          <t>p_dei_explicit</t>
        </is>
      </c>
      <c r="C52" s="52" t="inlineStr">
        <is>
          <t>Global Diversity &amp; Inclusion report and explicit LGBTQ+ inclusion commitments maintained through 2025</t>
        </is>
      </c>
      <c r="D52" s="51" t="inlineStr">
        <is>
          <t>Structural</t>
        </is>
      </c>
      <c r="E52" s="51" t="inlineStr">
        <is>
          <t>Positive</t>
        </is>
      </c>
      <c r="F52" s="51" t="n">
        <v>20</v>
      </c>
      <c r="G52" s="51" t="n">
        <v>2025</v>
      </c>
      <c r="H52" s="52" t="inlineStr">
        <is>
          <t>https://blogs.microsoft.com/blog/2024/10/23/microsofts-2024-global-diversity-inclusion-report-our-most-global-transparent-report-yet/</t>
        </is>
      </c>
      <c r="I52" s="52" t="inlineStr">
        <is>
          <t>Company</t>
        </is>
      </c>
      <c r="J52" s="51" t="inlineStr">
        <is>
          <t>Yes</t>
        </is>
      </c>
      <c r="K52" s="52" t="inlineStr"/>
    </row>
    <row r="53" ht="23.25" customHeight="1" s="42">
      <c r="A53" s="52" t="inlineStr">
        <is>
          <t>Microsoft</t>
        </is>
      </c>
      <c r="B53" s="52" t="inlineStr">
        <is>
          <t>p_consistent_history</t>
        </is>
      </c>
      <c r="C53" s="52" t="inlineStr">
        <is>
          <t>35+ years: sexual orientation in nondiscrimination policy since 1989; uninterrupted CEI 100s; sustained Pride programs</t>
        </is>
      </c>
      <c r="D53" s="51" t="inlineStr">
        <is>
          <t>Structural</t>
        </is>
      </c>
      <c r="E53" s="51" t="inlineStr">
        <is>
          <t>Positive</t>
        </is>
      </c>
      <c r="F53" s="51" t="n">
        <v>28</v>
      </c>
      <c r="G53" s="51" t="n">
        <v>2025</v>
      </c>
      <c r="H53" s="52" t="inlineStr">
        <is>
          <t>https://reports.hrc.org/corporate-equality-index-2025</t>
        </is>
      </c>
      <c r="I53" s="52" t="inlineStr">
        <is>
          <t>HRC</t>
        </is>
      </c>
      <c r="J53" s="51" t="inlineStr">
        <is>
          <t>No</t>
        </is>
      </c>
      <c r="K53" s="52" t="inlineStr"/>
    </row>
    <row r="54" ht="23.25" customHeight="1" s="42">
      <c r="A54" s="52" t="inlineStr">
        <is>
          <t>Amazon</t>
        </is>
      </c>
      <c r="B54" s="52" t="inlineStr">
        <is>
          <t>p_logo_rainbow</t>
        </is>
      </c>
      <c r="C54" s="52" t="inlineStr">
        <is>
          <t>Annual Pride branding and storefronts</t>
        </is>
      </c>
      <c r="D54" s="51" t="inlineStr">
        <is>
          <t>Cosmetic</t>
        </is>
      </c>
      <c r="E54" s="51" t="inlineStr">
        <is>
          <t>Positive</t>
        </is>
      </c>
      <c r="F54" s="51" t="n">
        <v>3</v>
      </c>
      <c r="G54" s="51" t="n">
        <v>2024</v>
      </c>
      <c r="H54" s="52" t="inlineStr">
        <is>
          <t>https://web.archive.org/web/2024/https://www.aboutamazon.com/affinity-groups/glamazon</t>
        </is>
      </c>
      <c r="I54" s="52" t="inlineStr">
        <is>
          <t>Archive</t>
        </is>
      </c>
      <c r="J54" s="51" t="inlineStr">
        <is>
          <t>No</t>
        </is>
      </c>
      <c r="K54" s="52" t="inlineStr"/>
    </row>
    <row r="55" ht="23.25" customHeight="1" s="42">
      <c r="A55" s="52" t="inlineStr">
        <is>
          <t>Amazon</t>
        </is>
      </c>
      <c r="B55" s="52" t="inlineStr">
        <is>
          <t>p_generic_post</t>
        </is>
      </c>
      <c r="C55" s="52" t="inlineStr">
        <is>
          <t>Annual Pride Month posts/statements</t>
        </is>
      </c>
      <c r="D55" s="51" t="inlineStr">
        <is>
          <t>Cosmetic</t>
        </is>
      </c>
      <c r="E55" s="51" t="inlineStr">
        <is>
          <t>Positive</t>
        </is>
      </c>
      <c r="F55" s="51" t="n">
        <v>2</v>
      </c>
      <c r="G55" s="51" t="n">
        <v>2024</v>
      </c>
      <c r="H55" s="52" t="inlineStr">
        <is>
          <t>https://web.archive.org/web/2024/https://www.aboutamazon.com/affinity-groups/glamazon</t>
        </is>
      </c>
      <c r="I55" s="52" t="inlineStr">
        <is>
          <t>Archive</t>
        </is>
      </c>
      <c r="J55" s="51" t="inlineStr">
        <is>
          <t>No</t>
        </is>
      </c>
      <c r="K55" s="52" t="inlineStr"/>
    </row>
    <row r="56" ht="23.25" customHeight="1" s="42">
      <c r="A56" s="52" t="inlineStr">
        <is>
          <t>Amazon</t>
        </is>
      </c>
      <c r="B56" s="52" t="inlineStr">
        <is>
          <t>p_merch_collection</t>
        </is>
      </c>
      <c r="C56" s="52" t="inlineStr">
        <is>
          <t>Pride merchandise collections and dedicated Pride storefront</t>
        </is>
      </c>
      <c r="D56" s="51" t="inlineStr">
        <is>
          <t>Commercial</t>
        </is>
      </c>
      <c r="E56" s="51" t="inlineStr">
        <is>
          <t>Positive</t>
        </is>
      </c>
      <c r="F56" s="51" t="n">
        <v>6</v>
      </c>
      <c r="G56" s="51" t="n">
        <v>2024</v>
      </c>
      <c r="H56" s="52" t="inlineStr">
        <is>
          <t>https://web.archive.org/web/2024/https://www.amazon.com/pride</t>
        </is>
      </c>
      <c r="I56" s="52" t="inlineStr">
        <is>
          <t>Archive</t>
        </is>
      </c>
      <c r="J56" s="51" t="inlineStr">
        <is>
          <t>No</t>
        </is>
      </c>
      <c r="K56" s="52" t="inlineStr"/>
    </row>
    <row r="57" ht="23.25" customHeight="1" s="42">
      <c r="A57" s="52" t="inlineStr">
        <is>
          <t>Amazon</t>
        </is>
      </c>
      <c r="B57" s="52" t="inlineStr">
        <is>
          <t>p_erg_support</t>
        </is>
      </c>
      <c r="C57" s="52" t="inlineStr">
        <is>
          <t>glamazon LGBTQ+ ERG, company-funded, continues to operate</t>
        </is>
      </c>
      <c r="D57" s="51" t="inlineStr">
        <is>
          <t>Civic</t>
        </is>
      </c>
      <c r="E57" s="51" t="inlineStr">
        <is>
          <t>Positive</t>
        </is>
      </c>
      <c r="F57" s="51" t="n">
        <v>15</v>
      </c>
      <c r="G57" s="51" t="n">
        <v>2025</v>
      </c>
      <c r="H57" s="52" t="inlineStr">
        <is>
          <t>https://www.aboutamazon.com/affinity-groups/glamazon</t>
        </is>
      </c>
      <c r="I57" s="52" t="inlineStr">
        <is>
          <t>Company</t>
        </is>
      </c>
      <c r="J57" s="51" t="inlineStr">
        <is>
          <t>Yes</t>
        </is>
      </c>
      <c r="K57" s="52" t="inlineStr"/>
    </row>
    <row r="58" ht="23.25" customHeight="1" s="42">
      <c r="A58" s="52" t="inlineStr">
        <is>
          <t>Amazon</t>
        </is>
      </c>
      <c r="B58" s="52" t="inlineStr">
        <is>
          <t>n_dei_removal</t>
        </is>
      </c>
      <c r="C58" s="52" t="inlineStr">
        <is>
          <t>Wound down DEI programs (Dec 2024 memo); scrubbed 'LGBTQ+ rights,' 'transgender' and gender-affirming-care language from positions page; diversity cut from 10-K</t>
        </is>
      </c>
      <c r="D58" s="51" t="inlineStr">
        <is>
          <t>—</t>
        </is>
      </c>
      <c r="E58" s="51" t="inlineStr">
        <is>
          <t>Negative</t>
        </is>
      </c>
      <c r="F58" s="51" t="n">
        <v>-32</v>
      </c>
      <c r="G58" s="51" t="n">
        <v>2025</v>
      </c>
      <c r="H58" s="52" t="inlineStr">
        <is>
          <t>https://www.lgbtqnation.com/2025/01/amazon-removes-section-on-lgbtq-rights-from-its-policy-page/</t>
        </is>
      </c>
      <c r="I58" s="52" t="inlineStr">
        <is>
          <t>News</t>
        </is>
      </c>
      <c r="J58" s="51" t="inlineStr">
        <is>
          <t>Yes</t>
        </is>
      </c>
      <c r="K58" s="52" t="inlineStr">
        <is>
          <t>Archived before-state: https://web.archive.org/web/2024/https://www.aboutamazon.com/about-us/our-positions</t>
        </is>
      </c>
    </row>
    <row r="59" ht="23.25" customHeight="1" s="42">
      <c r="A59" s="52" t="inlineStr">
        <is>
          <t>Salesforce</t>
        </is>
      </c>
      <c r="B59" s="52" t="inlineStr">
        <is>
          <t>p_logo_rainbow</t>
        </is>
      </c>
      <c r="C59" s="52" t="inlineStr">
        <is>
          <t>Annual Pride/rainbow Salesforce branding incl. Pride-themed mascots and events</t>
        </is>
      </c>
      <c r="D59" s="51" t="inlineStr">
        <is>
          <t>Cosmetic</t>
        </is>
      </c>
      <c r="E59" s="51" t="inlineStr">
        <is>
          <t>Positive</t>
        </is>
      </c>
      <c r="F59" s="51" t="n">
        <v>3</v>
      </c>
      <c r="G59" s="51" t="n">
        <v>2024</v>
      </c>
      <c r="H59" s="52" t="inlineStr">
        <is>
          <t>https://web.archive.org/web/2024/https://www.salesforce.com/company/equality/</t>
        </is>
      </c>
      <c r="I59" s="52" t="inlineStr">
        <is>
          <t>Archive</t>
        </is>
      </c>
      <c r="J59" s="51" t="inlineStr">
        <is>
          <t>No</t>
        </is>
      </c>
      <c r="K59" s="52" t="inlineStr"/>
    </row>
    <row r="60" ht="23.25" customHeight="1" s="42">
      <c r="A60" s="52" t="inlineStr">
        <is>
          <t>Salesforce</t>
        </is>
      </c>
      <c r="B60" s="52" t="inlineStr">
        <is>
          <t>p_generic_post</t>
        </is>
      </c>
      <c r="C60" s="52" t="inlineStr">
        <is>
          <t>Annual Pride Month statements</t>
        </is>
      </c>
      <c r="D60" s="51" t="inlineStr">
        <is>
          <t>Cosmetic</t>
        </is>
      </c>
      <c r="E60" s="51" t="inlineStr">
        <is>
          <t>Positive</t>
        </is>
      </c>
      <c r="F60" s="51" t="n">
        <v>2</v>
      </c>
      <c r="G60" s="51" t="n">
        <v>2024</v>
      </c>
      <c r="H60" s="52" t="inlineStr">
        <is>
          <t>https://web.archive.org/web/2024/https://www.salesforce.com/company/equality/</t>
        </is>
      </c>
      <c r="I60" s="52" t="inlineStr">
        <is>
          <t>Archive</t>
        </is>
      </c>
      <c r="J60" s="51" t="inlineStr">
        <is>
          <t>No</t>
        </is>
      </c>
      <c r="K60" s="52" t="inlineStr"/>
    </row>
    <row r="61" ht="23.25" customHeight="1" s="42">
      <c r="A61" s="52" t="inlineStr">
        <is>
          <t>Salesforce</t>
        </is>
      </c>
      <c r="B61" s="52" t="inlineStr">
        <is>
          <t>p_erg_support</t>
        </is>
      </c>
      <c r="C61" s="52" t="inlineStr">
        <is>
          <t>Outforce LGBTQ+ ERG, company-funded</t>
        </is>
      </c>
      <c r="D61" s="51" t="inlineStr">
        <is>
          <t>Civic</t>
        </is>
      </c>
      <c r="E61" s="51" t="inlineStr">
        <is>
          <t>Positive</t>
        </is>
      </c>
      <c r="F61" s="51" t="n">
        <v>15</v>
      </c>
      <c r="G61" s="51" t="n">
        <v>2025</v>
      </c>
      <c r="H61" s="52" t="inlineStr">
        <is>
          <t>https://www.salesforce.com/company/equality/</t>
        </is>
      </c>
      <c r="I61" s="52" t="inlineStr">
        <is>
          <t>Company</t>
        </is>
      </c>
      <c r="J61" s="51" t="inlineStr">
        <is>
          <t>Yes</t>
        </is>
      </c>
      <c r="K61" s="52" t="inlineStr"/>
    </row>
    <row r="62" ht="23.25" customHeight="1" s="42">
      <c r="A62" s="52" t="inlineStr">
        <is>
          <t>Salesforce</t>
        </is>
      </c>
      <c r="B62" s="52" t="inlineStr">
        <is>
          <t>p_benefits</t>
        </is>
      </c>
      <c r="C62" s="52" t="inlineStr">
        <is>
          <t>Inclusive partner and gender-affirming benefits (CEI-verified)</t>
        </is>
      </c>
      <c r="D62" s="51" t="inlineStr">
        <is>
          <t>Structural</t>
        </is>
      </c>
      <c r="E62" s="51" t="inlineStr">
        <is>
          <t>Positive</t>
        </is>
      </c>
      <c r="F62" s="51" t="n">
        <v>22</v>
      </c>
      <c r="G62" s="51" t="n">
        <v>2025</v>
      </c>
      <c r="H62" s="52" t="inlineStr">
        <is>
          <t>https://reports.hrc.org/corporate-equality-index-2025</t>
        </is>
      </c>
      <c r="I62" s="52" t="inlineStr">
        <is>
          <t>HRC</t>
        </is>
      </c>
      <c r="J62" s="51" t="inlineStr">
        <is>
          <t>No</t>
        </is>
      </c>
      <c r="K62" s="52" t="inlineStr"/>
    </row>
    <row r="63" ht="23.25" customHeight="1" s="42">
      <c r="A63" s="52" t="inlineStr">
        <is>
          <t>Salesforce</t>
        </is>
      </c>
      <c r="B63" s="52" t="inlineStr">
        <is>
          <t>p_leadership_vocal</t>
        </is>
      </c>
      <c r="C63" s="52" t="inlineStr">
        <is>
          <t>Benioff's public campaigns against Indiana RFRA (2015) and Georgia anti-LGBTQ+ legislation; 2025 pledge to stand by employees</t>
        </is>
      </c>
      <c r="D63" s="51" t="inlineStr">
        <is>
          <t>Structural</t>
        </is>
      </c>
      <c r="E63" s="51" t="inlineStr">
        <is>
          <t>Positive</t>
        </is>
      </c>
      <c r="F63" s="51" t="n">
        <v>18</v>
      </c>
      <c r="G63" s="51" t="n">
        <v>2025</v>
      </c>
      <c r="H63" s="52" t="inlineStr">
        <is>
          <t>https://www.sfexaminer.com/news/technology/salesforce-drops-goals-for-hiring-minorities-and-women/article_0fd0ceec-fa23-11ef-913d-8f79e68d0c56.html</t>
        </is>
      </c>
      <c r="I63" s="52" t="inlineStr">
        <is>
          <t>News</t>
        </is>
      </c>
      <c r="J63" s="51" t="inlineStr">
        <is>
          <t>No</t>
        </is>
      </c>
      <c r="K63" s="52" t="inlineStr"/>
    </row>
    <row r="64" ht="23.25" customHeight="1" s="42">
      <c r="A64" s="52" t="inlineStr">
        <is>
          <t>Salesforce</t>
        </is>
      </c>
      <c r="B64" s="52" t="inlineStr">
        <is>
          <t>n_dei_removal</t>
        </is>
      </c>
      <c r="C64" s="52" t="inlineStr">
        <is>
          <t>Dropped diversity hiring goals; removed diversity-as-core-value and exec-comp diversity language from annual filing</t>
        </is>
      </c>
      <c r="D64" s="51" t="inlineStr">
        <is>
          <t>—</t>
        </is>
      </c>
      <c r="E64" s="51" t="inlineStr">
        <is>
          <t>Negative</t>
        </is>
      </c>
      <c r="F64" s="51" t="n">
        <v>-32</v>
      </c>
      <c r="G64" s="51" t="n">
        <v>2025</v>
      </c>
      <c r="H64" s="52" t="inlineStr">
        <is>
          <t>https://www.techrepublic.com/article/salesforce-diversity-shift-legal-compliance/</t>
        </is>
      </c>
      <c r="I64" s="52" t="inlineStr">
        <is>
          <t>News</t>
        </is>
      </c>
      <c r="J64" s="51" t="inlineStr">
        <is>
          <t>Yes</t>
        </is>
      </c>
      <c r="K64" s="52" t="inlineStr"/>
    </row>
    <row r="65" ht="23.25" customHeight="1" s="42">
      <c r="A65" s="52" t="inlineStr">
        <is>
          <t>IBM</t>
        </is>
      </c>
      <c r="B65" s="52" t="inlineStr">
        <is>
          <t>p_generic_post</t>
        </is>
      </c>
      <c r="C65" s="52" t="inlineStr">
        <is>
          <t>Annual Pride Month statements and branding</t>
        </is>
      </c>
      <c r="D65" s="51" t="inlineStr">
        <is>
          <t>Cosmetic</t>
        </is>
      </c>
      <c r="E65" s="51" t="inlineStr">
        <is>
          <t>Positive</t>
        </is>
      </c>
      <c r="F65" s="51" t="n">
        <v>2</v>
      </c>
      <c r="G65" s="51" t="n">
        <v>2024</v>
      </c>
      <c r="H65" s="52" t="inlineStr">
        <is>
          <t>https://web.archive.org/web/2024/https://www.ibm.com/impact/be-equal</t>
        </is>
      </c>
      <c r="I65" s="52" t="inlineStr">
        <is>
          <t>Archive</t>
        </is>
      </c>
      <c r="J65" s="51" t="inlineStr">
        <is>
          <t>No</t>
        </is>
      </c>
      <c r="K65" s="52" t="inlineStr"/>
    </row>
    <row r="66" ht="23.25" customHeight="1" s="42">
      <c r="A66" s="52" t="inlineStr">
        <is>
          <t>IBM</t>
        </is>
      </c>
      <c r="B66" s="52" t="inlineStr">
        <is>
          <t>p_erg_support</t>
        </is>
      </c>
      <c r="C66" s="52" t="inlineStr">
        <is>
          <t>EAGLE LGBTQ+ ERG, funded for decades</t>
        </is>
      </c>
      <c r="D66" s="51" t="inlineStr">
        <is>
          <t>Civic</t>
        </is>
      </c>
      <c r="E66" s="51" t="inlineStr">
        <is>
          <t>Positive</t>
        </is>
      </c>
      <c r="F66" s="51" t="n">
        <v>15</v>
      </c>
      <c r="G66" s="51" t="n">
        <v>2024</v>
      </c>
      <c r="H66" s="52" t="inlineStr">
        <is>
          <t>https://web.archive.org/web/2024/https://www.ibm.com/impact/be-equal</t>
        </is>
      </c>
      <c r="I66" s="52" t="inlineStr">
        <is>
          <t>Archive</t>
        </is>
      </c>
      <c r="J66" s="51" t="inlineStr">
        <is>
          <t>No</t>
        </is>
      </c>
      <c r="K66" s="52" t="inlineStr"/>
    </row>
    <row r="67" ht="23.25" customHeight="1" s="42">
      <c r="A67" s="52" t="inlineStr">
        <is>
          <t>IBM</t>
        </is>
      </c>
      <c r="B67" s="52" t="inlineStr">
        <is>
          <t>p_benefits</t>
        </is>
      </c>
      <c r="C67" s="52" t="inlineStr">
        <is>
          <t>Early adopter of trans-inclusive health benefits; comprehensive partner benefits (CEI-verified)</t>
        </is>
      </c>
      <c r="D67" s="51" t="inlineStr">
        <is>
          <t>Structural</t>
        </is>
      </c>
      <c r="E67" s="51" t="inlineStr">
        <is>
          <t>Positive</t>
        </is>
      </c>
      <c r="F67" s="51" t="n">
        <v>22</v>
      </c>
      <c r="G67" s="51" t="n">
        <v>2024</v>
      </c>
      <c r="H67" s="52" t="inlineStr">
        <is>
          <t>https://reports.hrc.org/corporate-equality-index-2025</t>
        </is>
      </c>
      <c r="I67" s="52" t="inlineStr">
        <is>
          <t>HRC</t>
        </is>
      </c>
      <c r="J67" s="51" t="inlineStr">
        <is>
          <t>No</t>
        </is>
      </c>
      <c r="K67" s="52" t="inlineStr"/>
    </row>
    <row r="68" ht="23.25" customHeight="1" s="42">
      <c r="A68" s="52" t="inlineStr">
        <is>
          <t>IBM</t>
        </is>
      </c>
      <c r="B68" s="52" t="inlineStr">
        <is>
          <t>n_dei_removal</t>
        </is>
      </c>
      <c r="C68" s="52" t="inlineStr">
        <is>
          <t>Ended DEI department and Diversity Council; dropped exec-comp diversity ties; revised supplier diversity (April 2025 memo)</t>
        </is>
      </c>
      <c r="D68" s="51" t="inlineStr">
        <is>
          <t>—</t>
        </is>
      </c>
      <c r="E68" s="51" t="inlineStr">
        <is>
          <t>Negative</t>
        </is>
      </c>
      <c r="F68" s="51" t="n">
        <v>-32</v>
      </c>
      <c r="G68" s="51" t="n">
        <v>2025</v>
      </c>
      <c r="H68" s="52" t="inlineStr">
        <is>
          <t>https://www.hr-brew.com/stories/2025/05/06/ibm-reverses-course-on-decades-of-dei-efforts</t>
        </is>
      </c>
      <c r="I68" s="52" t="inlineStr">
        <is>
          <t>News</t>
        </is>
      </c>
      <c r="J68" s="51" t="inlineStr">
        <is>
          <t>Yes</t>
        </is>
      </c>
      <c r="K68" s="52" t="inlineStr">
        <is>
          <t>Publicized by Robby Starbuck; archived before-state: https://web.archive.org/web/2024/https://www.ibm.com/impact/be-equal</t>
        </is>
      </c>
    </row>
    <row r="69" ht="23.25" customHeight="1" s="42">
      <c r="A69" s="52" t="inlineStr">
        <is>
          <t>Oracle</t>
        </is>
      </c>
      <c r="B69" s="52" t="inlineStr">
        <is>
          <t>p_generic_post</t>
        </is>
      </c>
      <c r="C69" s="52" t="inlineStr">
        <is>
          <t>Occasional Pride Month posts; culture-and-inclusion careers page remains up</t>
        </is>
      </c>
      <c r="D69" s="51" t="inlineStr">
        <is>
          <t>Cosmetic</t>
        </is>
      </c>
      <c r="E69" s="51" t="inlineStr">
        <is>
          <t>Positive</t>
        </is>
      </c>
      <c r="F69" s="51" t="n">
        <v>2</v>
      </c>
      <c r="G69" s="51" t="n">
        <v>2024</v>
      </c>
      <c r="H69" s="52" t="inlineStr">
        <is>
          <t>https://www.oracle.com/careers/culture-inclusion/</t>
        </is>
      </c>
      <c r="I69" s="52" t="inlineStr">
        <is>
          <t>Company</t>
        </is>
      </c>
      <c r="J69" s="51" t="inlineStr">
        <is>
          <t>No</t>
        </is>
      </c>
      <c r="K69" s="52" t="inlineStr">
        <is>
          <t>Per TechCrunch April 2025 survey of tech DEI pages</t>
        </is>
      </c>
    </row>
    <row r="70" ht="23.25" customHeight="1" s="42">
      <c r="A70" s="52" t="inlineStr">
        <is>
          <t>Dell</t>
        </is>
      </c>
      <c r="B70" s="52" t="inlineStr">
        <is>
          <t>p_generic_post</t>
        </is>
      </c>
      <c r="C70" s="52" t="inlineStr">
        <is>
          <t>Annual Pride Month posts and branding</t>
        </is>
      </c>
      <c r="D70" s="51" t="inlineStr">
        <is>
          <t>Cosmetic</t>
        </is>
      </c>
      <c r="E70" s="51" t="inlineStr">
        <is>
          <t>Positive</t>
        </is>
      </c>
      <c r="F70" s="51" t="n">
        <v>2</v>
      </c>
      <c r="G70" s="51" t="n">
        <v>2024</v>
      </c>
      <c r="H70" s="52" t="inlineStr">
        <is>
          <t>https://web.archive.org/web/2024/https://www.dell.com/en-us/dt/corporate/social-impact/cultivating-inclusion.htm</t>
        </is>
      </c>
      <c r="I70" s="52" t="inlineStr">
        <is>
          <t>Archive</t>
        </is>
      </c>
      <c r="J70" s="51" t="inlineStr">
        <is>
          <t>No</t>
        </is>
      </c>
      <c r="K70" s="52" t="inlineStr"/>
    </row>
    <row r="71" ht="23.25" customHeight="1" s="42">
      <c r="A71" s="52" t="inlineStr">
        <is>
          <t>Dell</t>
        </is>
      </c>
      <c r="B71" s="52" t="inlineStr">
        <is>
          <t>p_erg_support</t>
        </is>
      </c>
      <c r="C71" s="52" t="inlineStr">
        <is>
          <t>Funded Pride ERG at Dell Technologies</t>
        </is>
      </c>
      <c r="D71" s="51" t="inlineStr">
        <is>
          <t>Civic</t>
        </is>
      </c>
      <c r="E71" s="51" t="inlineStr">
        <is>
          <t>Positive</t>
        </is>
      </c>
      <c r="F71" s="51" t="n">
        <v>15</v>
      </c>
      <c r="G71" s="51" t="n">
        <v>2024</v>
      </c>
      <c r="H71" s="52" t="inlineStr">
        <is>
          <t>https://web.archive.org/web/2024/https://www.dell.com/en-us/dt/corporate/social-impact/cultivating-inclusion.htm</t>
        </is>
      </c>
      <c r="I71" s="52" t="inlineStr">
        <is>
          <t>Archive</t>
        </is>
      </c>
      <c r="J71" s="51" t="inlineStr">
        <is>
          <t>No</t>
        </is>
      </c>
      <c r="K71" s="52" t="inlineStr"/>
    </row>
    <row r="72" ht="23.25" customHeight="1" s="42">
      <c r="A72" s="52" t="inlineStr">
        <is>
          <t>Dell</t>
        </is>
      </c>
      <c r="B72" s="52" t="inlineStr">
        <is>
          <t>n_dei_removal</t>
        </is>
      </c>
      <c r="C72" s="52" t="inlineStr">
        <is>
          <t>Rolled back DEI programs and diversity goals during the 2024-25 retreat wave</t>
        </is>
      </c>
      <c r="D72" s="51" t="inlineStr">
        <is>
          <t>—</t>
        </is>
      </c>
      <c r="E72" s="51" t="inlineStr">
        <is>
          <t>Negative</t>
        </is>
      </c>
      <c r="F72" s="51" t="n">
        <v>-32</v>
      </c>
      <c r="G72" s="51" t="n">
        <v>2025</v>
      </c>
      <c r="H72" s="52" t="inlineStr">
        <is>
          <t>https://www.cio.com/article/3854334/the-current-state-of-dei-in-the-tech-industry.html</t>
        </is>
      </c>
      <c r="I72" s="52" t="inlineStr">
        <is>
          <t>News</t>
        </is>
      </c>
      <c r="J72" s="51" t="inlineStr">
        <is>
          <t>Yes</t>
        </is>
      </c>
      <c r="K72" s="52" t="inlineStr"/>
    </row>
    <row r="73" ht="23.25" customHeight="1" s="42">
      <c r="A73" s="52" t="inlineStr">
        <is>
          <t>HP</t>
        </is>
      </c>
      <c r="B73" s="52" t="inlineStr">
        <is>
          <t>p_generic_post</t>
        </is>
      </c>
      <c r="C73" s="52" t="inlineStr">
        <is>
          <t>Annual Pride Month posts and branding</t>
        </is>
      </c>
      <c r="D73" s="51" t="inlineStr">
        <is>
          <t>Cosmetic</t>
        </is>
      </c>
      <c r="E73" s="51" t="inlineStr">
        <is>
          <t>Positive</t>
        </is>
      </c>
      <c r="F73" s="51" t="n">
        <v>2</v>
      </c>
      <c r="G73" s="51" t="n">
        <v>2024</v>
      </c>
      <c r="H73" s="52" t="inlineStr">
        <is>
          <t>https://web.archive.org/web/2024/https://www.hp.com/us-en/hp-information/about-hp/diversity.html</t>
        </is>
      </c>
      <c r="I73" s="52" t="inlineStr">
        <is>
          <t>Archive</t>
        </is>
      </c>
      <c r="J73" s="51" t="inlineStr">
        <is>
          <t>No</t>
        </is>
      </c>
      <c r="K73" s="52" t="inlineStr"/>
    </row>
    <row r="74" ht="23.25" customHeight="1" s="42">
      <c r="A74" s="52" t="inlineStr">
        <is>
          <t>HP</t>
        </is>
      </c>
      <c r="B74" s="52" t="inlineStr">
        <is>
          <t>p_erg_support</t>
        </is>
      </c>
      <c r="C74" s="52" t="inlineStr">
        <is>
          <t>Funded LGBTQ+ ERG (Pride Business Impact Network)</t>
        </is>
      </c>
      <c r="D74" s="51" t="inlineStr">
        <is>
          <t>Civic</t>
        </is>
      </c>
      <c r="E74" s="51" t="inlineStr">
        <is>
          <t>Positive</t>
        </is>
      </c>
      <c r="F74" s="51" t="n">
        <v>15</v>
      </c>
      <c r="G74" s="51" t="n">
        <v>2024</v>
      </c>
      <c r="H74" s="52" t="inlineStr">
        <is>
          <t>https://web.archive.org/web/2024/https://www.hp.com/us-en/hp-information/about-hp/diversity.html</t>
        </is>
      </c>
      <c r="I74" s="52" t="inlineStr">
        <is>
          <t>Archive</t>
        </is>
      </c>
      <c r="J74" s="51" t="inlineStr">
        <is>
          <t>No</t>
        </is>
      </c>
      <c r="K74" s="52" t="inlineStr"/>
    </row>
    <row r="75" ht="23.25" customHeight="1" s="42">
      <c r="A75" s="52" t="inlineStr">
        <is>
          <t>HP</t>
        </is>
      </c>
      <c r="B75" s="52" t="inlineStr">
        <is>
          <t>p_benefits</t>
        </is>
      </c>
      <c r="C75" s="52" t="inlineStr">
        <is>
          <t>Inclusive partner and gender-affirming benefits (CEI-verified)</t>
        </is>
      </c>
      <c r="D75" s="51" t="inlineStr">
        <is>
          <t>Structural</t>
        </is>
      </c>
      <c r="E75" s="51" t="inlineStr">
        <is>
          <t>Positive</t>
        </is>
      </c>
      <c r="F75" s="51" t="n">
        <v>22</v>
      </c>
      <c r="G75" s="51" t="n">
        <v>2024</v>
      </c>
      <c r="H75" s="52" t="inlineStr">
        <is>
          <t>https://reports.hrc.org/corporate-equality-index-2025</t>
        </is>
      </c>
      <c r="I75" s="52" t="inlineStr">
        <is>
          <t>HRC</t>
        </is>
      </c>
      <c r="J75" s="51" t="inlineStr">
        <is>
          <t>No</t>
        </is>
      </c>
      <c r="K75" s="52" t="inlineStr"/>
    </row>
    <row r="76" ht="23.25" customHeight="1" s="42">
      <c r="A76" s="52" t="inlineStr">
        <is>
          <t>Walmart</t>
        </is>
      </c>
      <c r="B76" s="52" t="inlineStr">
        <is>
          <t>p_logo_rainbow</t>
        </is>
      </c>
      <c r="C76" s="52" t="inlineStr">
        <is>
          <t>Annual rainbow branding during Pride Month (through 2024)</t>
        </is>
      </c>
      <c r="D76" s="51" t="inlineStr">
        <is>
          <t>Cosmetic</t>
        </is>
      </c>
      <c r="E76" s="51" t="inlineStr">
        <is>
          <t>Positive</t>
        </is>
      </c>
      <c r="F76" s="51" t="n">
        <v>3</v>
      </c>
      <c r="G76" s="51" t="n">
        <v>2024</v>
      </c>
      <c r="H76" s="52" t="inlineStr">
        <is>
          <t>https://web.archive.org/web/2024/https://corporate.walmart.com/purpose/belonging</t>
        </is>
      </c>
      <c r="I76" s="52" t="inlineStr">
        <is>
          <t>Archive</t>
        </is>
      </c>
      <c r="J76" s="51" t="inlineStr">
        <is>
          <t>No</t>
        </is>
      </c>
      <c r="K76" s="52" t="inlineStr"/>
    </row>
    <row r="77" ht="23.25" customHeight="1" s="42">
      <c r="A77" s="52" t="inlineStr">
        <is>
          <t>Walmart</t>
        </is>
      </c>
      <c r="B77" s="52" t="inlineStr">
        <is>
          <t>p_generic_post</t>
        </is>
      </c>
      <c r="C77" s="52" t="inlineStr">
        <is>
          <t>Annual Pride Month statements</t>
        </is>
      </c>
      <c r="D77" s="51" t="inlineStr">
        <is>
          <t>Cosmetic</t>
        </is>
      </c>
      <c r="E77" s="51" t="inlineStr">
        <is>
          <t>Positive</t>
        </is>
      </c>
      <c r="F77" s="51" t="n">
        <v>2</v>
      </c>
      <c r="G77" s="51" t="n">
        <v>2024</v>
      </c>
      <c r="H77" s="52" t="inlineStr">
        <is>
          <t>https://web.archive.org/web/2024/https://corporate.walmart.com/purpose/belonging</t>
        </is>
      </c>
      <c r="I77" s="52" t="inlineStr">
        <is>
          <t>Archive</t>
        </is>
      </c>
      <c r="J77" s="51" t="inlineStr">
        <is>
          <t>No</t>
        </is>
      </c>
      <c r="K77" s="52" t="inlineStr"/>
    </row>
    <row r="78" ht="23.25" customHeight="1" s="42">
      <c r="A78" s="52" t="inlineStr">
        <is>
          <t>Walmart</t>
        </is>
      </c>
      <c r="B78" s="52" t="inlineStr">
        <is>
          <t>p_merch_collection</t>
        </is>
      </c>
      <c r="C78" s="52" t="inlineStr">
        <is>
          <t>Pride merchandise assortment sold annually (scaled back after 2024)</t>
        </is>
      </c>
      <c r="D78" s="51" t="inlineStr">
        <is>
          <t>Commercial</t>
        </is>
      </c>
      <c r="E78" s="51" t="inlineStr">
        <is>
          <t>Positive</t>
        </is>
      </c>
      <c r="F78" s="51" t="n">
        <v>6</v>
      </c>
      <c r="G78" s="51" t="n">
        <v>2024</v>
      </c>
      <c r="H78" s="52" t="inlineStr">
        <is>
          <t>https://www.techtarget.com/whatis/feature/What-companies-are-rolling-back-DEI-policies</t>
        </is>
      </c>
      <c r="I78" s="52" t="inlineStr">
        <is>
          <t>News</t>
        </is>
      </c>
      <c r="J78" s="51" t="inlineStr">
        <is>
          <t>No</t>
        </is>
      </c>
      <c r="K78" s="52" t="inlineStr"/>
    </row>
    <row r="79" ht="23.25" customHeight="1" s="42">
      <c r="A79" s="52" t="inlineStr">
        <is>
          <t>Walmart</t>
        </is>
      </c>
      <c r="B79" s="52" t="inlineStr">
        <is>
          <t>p_parade_sponsor</t>
        </is>
      </c>
      <c r="C79" s="52" t="inlineStr">
        <is>
          <t>Sponsorship of Pride events incl. Stonewall Columbus (ended 2025)</t>
        </is>
      </c>
      <c r="D79" s="51" t="inlineStr">
        <is>
          <t>Civic</t>
        </is>
      </c>
      <c r="E79" s="51" t="inlineStr">
        <is>
          <t>Positive</t>
        </is>
      </c>
      <c r="F79" s="51" t="n">
        <v>12</v>
      </c>
      <c r="G79" s="51" t="n">
        <v>2024</v>
      </c>
      <c r="H79" s="52" t="inlineStr">
        <is>
          <t>https://www.advocate.com/news/companies-that-stopped-sponsoring-pride</t>
        </is>
      </c>
      <c r="I79" s="52" t="inlineStr">
        <is>
          <t>News</t>
        </is>
      </c>
      <c r="J79" s="51" t="inlineStr">
        <is>
          <t>No</t>
        </is>
      </c>
      <c r="K79" s="52" t="inlineStr"/>
    </row>
    <row r="80" ht="23.25" customHeight="1" s="42">
      <c r="A80" s="52" t="inlineStr">
        <is>
          <t>Walmart</t>
        </is>
      </c>
      <c r="B80" s="52" t="inlineStr">
        <is>
          <t>p_erg_support</t>
        </is>
      </c>
      <c r="C80" s="52" t="inlineStr">
        <is>
          <t>Funded PRIDE associate resource group</t>
        </is>
      </c>
      <c r="D80" s="51" t="inlineStr">
        <is>
          <t>Civic</t>
        </is>
      </c>
      <c r="E80" s="51" t="inlineStr">
        <is>
          <t>Positive</t>
        </is>
      </c>
      <c r="F80" s="51" t="n">
        <v>15</v>
      </c>
      <c r="G80" s="51" t="n">
        <v>2024</v>
      </c>
      <c r="H80" s="52" t="inlineStr">
        <is>
          <t>https://web.archive.org/web/2024/https://corporate.walmart.com/purpose/belonging</t>
        </is>
      </c>
      <c r="I80" s="52" t="inlineStr">
        <is>
          <t>Archive</t>
        </is>
      </c>
      <c r="J80" s="51" t="inlineStr">
        <is>
          <t>No</t>
        </is>
      </c>
      <c r="K80" s="52" t="inlineStr"/>
    </row>
    <row r="81" ht="23.25" customHeight="1" s="42">
      <c r="A81" s="52" t="inlineStr">
        <is>
          <t>Walmart</t>
        </is>
      </c>
      <c r="B81" s="52" t="inlineStr">
        <is>
          <t>n_dei_removal</t>
        </is>
      </c>
      <c r="C81" s="52" t="inlineStr">
        <is>
          <t>Ended CEI participation, supplier diversity, equity training; erased 'diversity' from documents; pulled some LGBTQ+ products</t>
        </is>
      </c>
      <c r="D81" s="51" t="inlineStr">
        <is>
          <t>—</t>
        </is>
      </c>
      <c r="E81" s="51" t="inlineStr">
        <is>
          <t>Negative</t>
        </is>
      </c>
      <c r="F81" s="51" t="n">
        <v>-32</v>
      </c>
      <c r="G81" s="51" t="n">
        <v>2024</v>
      </c>
      <c r="H81" s="52" t="inlineStr">
        <is>
          <t>https://www.techtarget.com/whatis/feature/What-companies-are-rolling-back-DEI-policies</t>
        </is>
      </c>
      <c r="I81" s="52" t="inlineStr">
        <is>
          <t>News</t>
        </is>
      </c>
      <c r="J81" s="51" t="inlineStr">
        <is>
          <t>No</t>
        </is>
      </c>
      <c r="K81" s="52" t="inlineStr">
        <is>
          <t>Nov 2024, responding to Robby Starbuck campaign; archived before-state: https://web.archive.org/web/2024/https://corporate.walmart.com/purpose/belonging</t>
        </is>
      </c>
    </row>
    <row r="82" ht="23.25" customHeight="1" s="42">
      <c r="A82" s="52" t="inlineStr">
        <is>
          <t>Walmart</t>
        </is>
      </c>
      <c r="B82" s="52" t="inlineStr">
        <is>
          <t>n_pride_retreat</t>
        </is>
      </c>
      <c r="C82" s="52" t="inlineStr">
        <is>
          <t>Withdrew Stonewall Columbus Pride sponsorship; scaled back Pride event support nationally</t>
        </is>
      </c>
      <c r="D82" s="51" t="inlineStr">
        <is>
          <t>—</t>
        </is>
      </c>
      <c r="E82" s="51" t="inlineStr">
        <is>
          <t>Negative</t>
        </is>
      </c>
      <c r="F82" s="51" t="n">
        <v>-22</v>
      </c>
      <c r="G82" s="51" t="n">
        <v>2025</v>
      </c>
      <c r="H82" s="52" t="inlineStr">
        <is>
          <t>https://www.advocate.com/news/companies-that-stopped-sponsoring-pride</t>
        </is>
      </c>
      <c r="I82" s="52" t="inlineStr">
        <is>
          <t>News</t>
        </is>
      </c>
      <c r="J82" s="51" t="inlineStr">
        <is>
          <t>Yes</t>
        </is>
      </c>
      <c r="K82" s="52" t="inlineStr"/>
    </row>
    <row r="83" ht="23.25" customHeight="1" s="42">
      <c r="A83" s="52" t="inlineStr">
        <is>
          <t>Target</t>
        </is>
      </c>
      <c r="B83" s="52" t="inlineStr">
        <is>
          <t>p_logo_rainbow</t>
        </is>
      </c>
      <c r="C83" s="52" t="inlineStr">
        <is>
          <t>Annual rainbow branding and Pride campaign visuals</t>
        </is>
      </c>
      <c r="D83" s="51" t="inlineStr">
        <is>
          <t>Cosmetic</t>
        </is>
      </c>
      <c r="E83" s="51" t="inlineStr">
        <is>
          <t>Positive</t>
        </is>
      </c>
      <c r="F83" s="51" t="n">
        <v>3</v>
      </c>
      <c r="G83" s="51" t="n">
        <v>2024</v>
      </c>
      <c r="H83" s="52" t="inlineStr">
        <is>
          <t>https://en.wikipedia.org/wiki/2023_Target_Pride_Month_merchandise_backlash</t>
        </is>
      </c>
      <c r="I83" s="52" t="inlineStr">
        <is>
          <t>News</t>
        </is>
      </c>
      <c r="J83" s="51" t="inlineStr">
        <is>
          <t>No</t>
        </is>
      </c>
      <c r="K83" s="52" t="inlineStr"/>
    </row>
    <row r="84" ht="23.25" customHeight="1" s="42">
      <c r="A84" s="52" t="inlineStr">
        <is>
          <t>Target</t>
        </is>
      </c>
      <c r="B84" s="52" t="inlineStr">
        <is>
          <t>p_generic_post</t>
        </is>
      </c>
      <c r="C84" s="52" t="inlineStr">
        <is>
          <t>Annual Pride Month statements</t>
        </is>
      </c>
      <c r="D84" s="51" t="inlineStr">
        <is>
          <t>Cosmetic</t>
        </is>
      </c>
      <c r="E84" s="51" t="inlineStr">
        <is>
          <t>Positive</t>
        </is>
      </c>
      <c r="F84" s="51" t="n">
        <v>2</v>
      </c>
      <c r="G84" s="51" t="n">
        <v>2024</v>
      </c>
      <c r="H84" s="52" t="inlineStr">
        <is>
          <t>https://web.archive.org/web/2024/https://corporate.target.com/sustainability-governance/our-team/diversity-equity-inclusion</t>
        </is>
      </c>
      <c r="I84" s="52" t="inlineStr">
        <is>
          <t>Archive</t>
        </is>
      </c>
      <c r="J84" s="51" t="inlineStr">
        <is>
          <t>No</t>
        </is>
      </c>
      <c r="K84" s="52" t="inlineStr"/>
    </row>
    <row r="85" ht="23.25" customHeight="1" s="42">
      <c r="A85" s="52" t="inlineStr">
        <is>
          <t>Target</t>
        </is>
      </c>
      <c r="B85" s="52" t="inlineStr">
        <is>
          <t>p_merch_collection</t>
        </is>
      </c>
      <c r="C85" s="52" t="inlineStr">
        <is>
          <t>Major annual Pride merchandise collections (2012-2023 era flagship retailer)</t>
        </is>
      </c>
      <c r="D85" s="51" t="inlineStr">
        <is>
          <t>Commercial</t>
        </is>
      </c>
      <c r="E85" s="51" t="inlineStr">
        <is>
          <t>Positive</t>
        </is>
      </c>
      <c r="F85" s="51" t="n">
        <v>6</v>
      </c>
      <c r="G85" s="51" t="n">
        <v>2023</v>
      </c>
      <c r="H85" s="52" t="inlineStr">
        <is>
          <t>https://en.wikipedia.org/wiki/2023_Target_Pride_Month_merchandise_backlash</t>
        </is>
      </c>
      <c r="I85" s="52" t="inlineStr">
        <is>
          <t>News</t>
        </is>
      </c>
      <c r="J85" s="51" t="inlineStr">
        <is>
          <t>No</t>
        </is>
      </c>
      <c r="K85" s="52" t="inlineStr"/>
    </row>
    <row r="86" ht="23.25" customHeight="1" s="42">
      <c r="A86" s="52" t="inlineStr">
        <is>
          <t>Target</t>
        </is>
      </c>
      <c r="B86" s="52" t="inlineStr">
        <is>
          <t>p_collab</t>
        </is>
      </c>
      <c r="C86" s="52" t="inlineStr">
        <is>
          <t>Pride collections designed with LGBTQ+ designers and brands</t>
        </is>
      </c>
      <c r="D86" s="51" t="inlineStr">
        <is>
          <t>Commercial</t>
        </is>
      </c>
      <c r="E86" s="51" t="inlineStr">
        <is>
          <t>Positive</t>
        </is>
      </c>
      <c r="F86" s="51" t="n">
        <v>8</v>
      </c>
      <c r="G86" s="51" t="n">
        <v>2023</v>
      </c>
      <c r="H86" s="52" t="inlineStr">
        <is>
          <t>https://en.wikipedia.org/wiki/2023_Target_Pride_Month_merchandise_backlash</t>
        </is>
      </c>
      <c r="I86" s="52" t="inlineStr">
        <is>
          <t>News</t>
        </is>
      </c>
      <c r="J86" s="51" t="inlineStr">
        <is>
          <t>No</t>
        </is>
      </c>
      <c r="K86" s="52" t="inlineStr"/>
    </row>
    <row r="87" ht="23.25" customHeight="1" s="42">
      <c r="A87" s="52" t="inlineStr">
        <is>
          <t>Target</t>
        </is>
      </c>
      <c r="B87" s="52" t="inlineStr">
        <is>
          <t>p_parade_sponsor</t>
        </is>
      </c>
      <c r="C87" s="52" t="inlineStr">
        <is>
          <t>Longtime Twin Cities Pride sponsor; NYC Pride Platinum-level donor ($175K tier)</t>
        </is>
      </c>
      <c r="D87" s="51" t="inlineStr">
        <is>
          <t>Civic</t>
        </is>
      </c>
      <c r="E87" s="51" t="inlineStr">
        <is>
          <t>Positive</t>
        </is>
      </c>
      <c r="F87" s="51" t="n">
        <v>12</v>
      </c>
      <c r="G87" s="51" t="n">
        <v>2024</v>
      </c>
      <c r="H87" s="52" t="inlineStr">
        <is>
          <t>https://www.advocate.com/news/companies-that-stopped-sponsoring-pride</t>
        </is>
      </c>
      <c r="I87" s="52" t="inlineStr">
        <is>
          <t>News</t>
        </is>
      </c>
      <c r="J87" s="51" t="inlineStr">
        <is>
          <t>No</t>
        </is>
      </c>
      <c r="K87" s="52" t="inlineStr"/>
    </row>
    <row r="88" ht="23.25" customHeight="1" s="42">
      <c r="A88" s="52" t="inlineStr">
        <is>
          <t>Target</t>
        </is>
      </c>
      <c r="B88" s="52" t="inlineStr">
        <is>
          <t>n_pride_retreat</t>
        </is>
      </c>
      <c r="C88" s="52" t="inlineStr">
        <is>
          <t>Pulled Pride merchandise from stores under pressure (2023); 2025 NYC Pride support reduced to unlisted 'silent partner'; dropped by Twin Cities Pride</t>
        </is>
      </c>
      <c r="D88" s="51" t="inlineStr">
        <is>
          <t>—</t>
        </is>
      </c>
      <c r="E88" s="51" t="inlineStr">
        <is>
          <t>Negative</t>
        </is>
      </c>
      <c r="F88" s="51" t="n">
        <v>-22</v>
      </c>
      <c r="G88" s="51" t="n">
        <v>2023</v>
      </c>
      <c r="H88" s="52" t="inlineStr">
        <is>
          <t>https://en.wikipedia.org/wiki/2023_Target_Pride_Month_merchandise_backlash</t>
        </is>
      </c>
      <c r="I88" s="52" t="inlineStr">
        <is>
          <t>News</t>
        </is>
      </c>
      <c r="J88" s="51" t="inlineStr">
        <is>
          <t>No</t>
        </is>
      </c>
      <c r="K88" s="52" t="inlineStr">
        <is>
          <t>2025 silent-partner status: https://www.advocate.com/news/companies-that-stopped-sponsoring-pride</t>
        </is>
      </c>
    </row>
    <row r="89" ht="23.25" customHeight="1" s="42">
      <c r="A89" s="52" t="inlineStr">
        <is>
          <t>Target</t>
        </is>
      </c>
      <c r="B89" s="52" t="inlineStr">
        <is>
          <t>n_dei_removal</t>
        </is>
      </c>
      <c r="C89" s="52" t="inlineStr">
        <is>
          <t>Ended three-year DEI goals; stopped reporting to HRC CEI and other external surveys; ended minority-supplier program</t>
        </is>
      </c>
      <c r="D89" s="51" t="inlineStr">
        <is>
          <t>—</t>
        </is>
      </c>
      <c r="E89" s="51" t="inlineStr">
        <is>
          <t>Negative</t>
        </is>
      </c>
      <c r="F89" s="51" t="n">
        <v>-32</v>
      </c>
      <c r="G89" s="51" t="n">
        <v>2025</v>
      </c>
      <c r="H89" s="52" t="inlineStr">
        <is>
          <t>https://www.cnbc.com/2025/01/24/target-rolls-back-major-dei-initiatives.html</t>
        </is>
      </c>
      <c r="I89" s="52" t="inlineStr">
        <is>
          <t>News</t>
        </is>
      </c>
      <c r="J89" s="51" t="inlineStr">
        <is>
          <t>Yes</t>
        </is>
      </c>
      <c r="K89" s="52" t="inlineStr">
        <is>
          <t>Archived before-state: https://web.archive.org/web/2024/https://corporate.target.com/sustainability-governance/our-team/diversity-equity-inclusion</t>
        </is>
      </c>
    </row>
    <row r="90" ht="23.25" customHeight="1" s="42">
      <c r="A90" s="52" t="inlineStr">
        <is>
          <t>Costco</t>
        </is>
      </c>
      <c r="B90" s="52" t="inlineStr">
        <is>
          <t>p_dei_explicit</t>
        </is>
      </c>
      <c r="C90" s="52" t="inlineStr">
        <is>
          <t>Board publicly defended diversity &amp; inclusion commitments against anti-DEI shareholder proposal</t>
        </is>
      </c>
      <c r="D90" s="51" t="inlineStr">
        <is>
          <t>Structural</t>
        </is>
      </c>
      <c r="E90" s="51" t="inlineStr">
        <is>
          <t>Positive</t>
        </is>
      </c>
      <c r="F90" s="51" t="n">
        <v>20</v>
      </c>
      <c r="G90" s="51" t="n">
        <v>2025</v>
      </c>
      <c r="H90" s="52" t="inlineStr">
        <is>
          <t>https://www.cbsnews.com/news/costco-dei-policy-board-statement-shareholder-meeting-vote/</t>
        </is>
      </c>
      <c r="I90" s="52" t="inlineStr">
        <is>
          <t>News</t>
        </is>
      </c>
      <c r="J90" s="51" t="inlineStr">
        <is>
          <t>Yes</t>
        </is>
      </c>
      <c r="K90" s="52" t="inlineStr">
        <is>
          <t>98%+ shareholder rejection of anti-DEI measure</t>
        </is>
      </c>
    </row>
    <row r="91" ht="23.25" customHeight="1" s="42">
      <c r="A91" s="52" t="inlineStr">
        <is>
          <t>Costco</t>
        </is>
      </c>
      <c r="B91" s="52" t="inlineStr">
        <is>
          <t>p_benefits</t>
        </is>
      </c>
      <c r="C91" s="52" t="inlineStr">
        <is>
          <t>Inclusive partner and transgender-inclusive health benefits</t>
        </is>
      </c>
      <c r="D91" s="51" t="inlineStr">
        <is>
          <t>Structural</t>
        </is>
      </c>
      <c r="E91" s="51" t="inlineStr">
        <is>
          <t>Positive</t>
        </is>
      </c>
      <c r="F91" s="51" t="n">
        <v>22</v>
      </c>
      <c r="G91" s="51" t="n">
        <v>2024</v>
      </c>
      <c r="H91" s="52" t="inlineStr">
        <is>
          <t>https://reports.hrc.org/corporate-equality-index-2025</t>
        </is>
      </c>
      <c r="I91" s="52" t="inlineStr">
        <is>
          <t>HRC</t>
        </is>
      </c>
      <c r="J91" s="51" t="inlineStr">
        <is>
          <t>No</t>
        </is>
      </c>
      <c r="K91" s="52" t="inlineStr"/>
    </row>
    <row r="92" ht="23.25" customHeight="1" s="42">
      <c r="A92" s="52" t="inlineStr">
        <is>
          <t>Lowe's</t>
        </is>
      </c>
      <c r="B92" s="52" t="inlineStr">
        <is>
          <t>p_logo_rainbow</t>
        </is>
      </c>
      <c r="C92" s="52" t="inlineStr">
        <is>
          <t>Pride Month branding (through 2024)</t>
        </is>
      </c>
      <c r="D92" s="51" t="inlineStr">
        <is>
          <t>Cosmetic</t>
        </is>
      </c>
      <c r="E92" s="51" t="inlineStr">
        <is>
          <t>Positive</t>
        </is>
      </c>
      <c r="F92" s="51" t="n">
        <v>3</v>
      </c>
      <c r="G92" s="51" t="n">
        <v>2024</v>
      </c>
      <c r="H92" s="52" t="inlineStr">
        <is>
          <t>https://web.archive.org/web/2024/https://corporate.lowes.com/who-we-are/culture-diversity</t>
        </is>
      </c>
      <c r="I92" s="52" t="inlineStr">
        <is>
          <t>Archive</t>
        </is>
      </c>
      <c r="J92" s="51" t="inlineStr">
        <is>
          <t>No</t>
        </is>
      </c>
      <c r="K92" s="52" t="inlineStr"/>
    </row>
    <row r="93" ht="23.25" customHeight="1" s="42">
      <c r="A93" s="52" t="inlineStr">
        <is>
          <t>Lowe's</t>
        </is>
      </c>
      <c r="B93" s="52" t="inlineStr">
        <is>
          <t>p_generic_post</t>
        </is>
      </c>
      <c r="C93" s="52" t="inlineStr">
        <is>
          <t>Annual Pride Month statements</t>
        </is>
      </c>
      <c r="D93" s="51" t="inlineStr">
        <is>
          <t>Cosmetic</t>
        </is>
      </c>
      <c r="E93" s="51" t="inlineStr">
        <is>
          <t>Positive</t>
        </is>
      </c>
      <c r="F93" s="51" t="n">
        <v>2</v>
      </c>
      <c r="G93" s="51" t="n">
        <v>2024</v>
      </c>
      <c r="H93" s="52" t="inlineStr">
        <is>
          <t>https://web.archive.org/web/2024/https://corporate.lowes.com/who-we-are/culture-diversity</t>
        </is>
      </c>
      <c r="I93" s="52" t="inlineStr">
        <is>
          <t>Archive</t>
        </is>
      </c>
      <c r="J93" s="51" t="inlineStr">
        <is>
          <t>No</t>
        </is>
      </c>
      <c r="K93" s="52" t="inlineStr"/>
    </row>
    <row r="94" ht="23.25" customHeight="1" s="42">
      <c r="A94" s="52" t="inlineStr">
        <is>
          <t>Lowe's</t>
        </is>
      </c>
      <c r="B94" s="52" t="inlineStr">
        <is>
          <t>p_parade_sponsor</t>
        </is>
      </c>
      <c r="C94" s="52" t="inlineStr">
        <is>
          <t>Pride event sponsorships incl. Stonewall Columbus (ended)</t>
        </is>
      </c>
      <c r="D94" s="51" t="inlineStr">
        <is>
          <t>Civic</t>
        </is>
      </c>
      <c r="E94" s="51" t="inlineStr">
        <is>
          <t>Positive</t>
        </is>
      </c>
      <c r="F94" s="51" t="n">
        <v>12</v>
      </c>
      <c r="G94" s="51" t="n">
        <v>2024</v>
      </c>
      <c r="H94" s="52" t="inlineStr">
        <is>
          <t>https://www.advocate.com/news/companies-that-stopped-sponsoring-pride</t>
        </is>
      </c>
      <c r="I94" s="52" t="inlineStr">
        <is>
          <t>News</t>
        </is>
      </c>
      <c r="J94" s="51" t="inlineStr">
        <is>
          <t>No</t>
        </is>
      </c>
      <c r="K94" s="52" t="inlineStr"/>
    </row>
    <row r="95" ht="23.25" customHeight="1" s="42">
      <c r="A95" s="52" t="inlineStr">
        <is>
          <t>Lowe's</t>
        </is>
      </c>
      <c r="B95" s="52" t="inlineStr">
        <is>
          <t>p_erg_support</t>
        </is>
      </c>
      <c r="C95" s="52" t="inlineStr">
        <is>
          <t>Funded LGBTQ+ ERG (folded into umbrella group Aug 2024)</t>
        </is>
      </c>
      <c r="D95" s="51" t="inlineStr">
        <is>
          <t>Civic</t>
        </is>
      </c>
      <c r="E95" s="51" t="inlineStr">
        <is>
          <t>Positive</t>
        </is>
      </c>
      <c r="F95" s="51" t="n">
        <v>15</v>
      </c>
      <c r="G95" s="51" t="n">
        <v>2023</v>
      </c>
      <c r="H95" s="52" t="inlineStr">
        <is>
          <t>https://www.hrc.org/press-releases/hrc-foundation-announces-record-participation-in-upcoming-2025-corporate-equality-index-docks-scores-of-seven-companies-in-current-ranking-following-their-pullback-from-workplace-inclusion</t>
        </is>
      </c>
      <c r="I95" s="52" t="inlineStr">
        <is>
          <t>HRC</t>
        </is>
      </c>
      <c r="J95" s="51" t="inlineStr">
        <is>
          <t>No</t>
        </is>
      </c>
      <c r="K95" s="52" t="inlineStr"/>
    </row>
    <row r="96" ht="23.25" customHeight="1" s="42">
      <c r="A96" s="52" t="inlineStr">
        <is>
          <t>Lowe's</t>
        </is>
      </c>
      <c r="B96" s="52" t="inlineStr">
        <is>
          <t>n_dei_removal</t>
        </is>
      </c>
      <c r="C96" s="52" t="inlineStr">
        <is>
          <t>Ended CEI participation, consolidated identity ERGs, ended Pride sponsorships after activist pressure; HRC docked CEI score -25</t>
        </is>
      </c>
      <c r="D96" s="51" t="inlineStr">
        <is>
          <t>—</t>
        </is>
      </c>
      <c r="E96" s="51" t="inlineStr">
        <is>
          <t>Negative</t>
        </is>
      </c>
      <c r="F96" s="51" t="n">
        <v>-32</v>
      </c>
      <c r="G96" s="51" t="n">
        <v>2024</v>
      </c>
      <c r="H96" s="52" t="inlineStr">
        <is>
          <t>https://www.hrc.org/press-releases/hrc-foundation-announces-record-participation-in-upcoming-2025-corporate-equality-index-docks-scores-of-seven-companies-in-current-ranking-following-their-pullback-from-workplace-inclusion</t>
        </is>
      </c>
      <c r="I96" s="52" t="inlineStr">
        <is>
          <t>HRC</t>
        </is>
      </c>
      <c r="J96" s="51" t="inlineStr">
        <is>
          <t>No</t>
        </is>
      </c>
      <c r="K96" s="52" t="inlineStr">
        <is>
          <t>One of 7 companies docked by HRC</t>
        </is>
      </c>
    </row>
    <row r="97" ht="23.25" customHeight="1" s="42">
      <c r="A97" s="52" t="inlineStr">
        <is>
          <t>Lowe's</t>
        </is>
      </c>
      <c r="B97" s="52" t="inlineStr">
        <is>
          <t>n_pride_retreat</t>
        </is>
      </c>
      <c r="C97" s="52" t="inlineStr">
        <is>
          <t>Withdrew Columbus Pride support in 2025 (part of ~$125K in withdrawn sponsorships)</t>
        </is>
      </c>
      <c r="D97" s="51" t="inlineStr">
        <is>
          <t>—</t>
        </is>
      </c>
      <c r="E97" s="51" t="inlineStr">
        <is>
          <t>Negative</t>
        </is>
      </c>
      <c r="F97" s="51" t="n">
        <v>-22</v>
      </c>
      <c r="G97" s="51" t="n">
        <v>2025</v>
      </c>
      <c r="H97" s="52" t="inlineStr">
        <is>
          <t>https://www.advocate.com/news/companies-that-stopped-sponsoring-pride</t>
        </is>
      </c>
      <c r="I97" s="52" t="inlineStr">
        <is>
          <t>News</t>
        </is>
      </c>
      <c r="J97" s="51" t="inlineStr">
        <is>
          <t>Yes</t>
        </is>
      </c>
      <c r="K97" s="52" t="inlineStr"/>
    </row>
    <row r="98" ht="23.25" customHeight="1" s="42">
      <c r="A98" s="52" t="inlineStr">
        <is>
          <t>Best Buy</t>
        </is>
      </c>
      <c r="B98" s="52" t="inlineStr">
        <is>
          <t>p_generic_post</t>
        </is>
      </c>
      <c r="C98" s="52" t="inlineStr">
        <is>
          <t>Annual Pride Month posts and campaigns</t>
        </is>
      </c>
      <c r="D98" s="51" t="inlineStr">
        <is>
          <t>Cosmetic</t>
        </is>
      </c>
      <c r="E98" s="51" t="inlineStr">
        <is>
          <t>Positive</t>
        </is>
      </c>
      <c r="F98" s="51" t="n">
        <v>2</v>
      </c>
      <c r="G98" s="51" t="n">
        <v>2024</v>
      </c>
      <c r="H98" s="52" t="inlineStr">
        <is>
          <t>https://web.archive.org/web/2024/https://corporate.bestbuy.com/inclusion-diversity/</t>
        </is>
      </c>
      <c r="I98" s="52" t="inlineStr">
        <is>
          <t>Archive</t>
        </is>
      </c>
      <c r="J98" s="51" t="inlineStr">
        <is>
          <t>No</t>
        </is>
      </c>
      <c r="K98" s="52" t="inlineStr"/>
    </row>
    <row r="99" ht="23.25" customHeight="1" s="42">
      <c r="A99" s="52" t="inlineStr">
        <is>
          <t>Best Buy</t>
        </is>
      </c>
      <c r="B99" s="52" t="inlineStr">
        <is>
          <t>p_erg_support</t>
        </is>
      </c>
      <c r="C99" s="52" t="inlineStr">
        <is>
          <t>Funded PRIDE employee resource group</t>
        </is>
      </c>
      <c r="D99" s="51" t="inlineStr">
        <is>
          <t>Civic</t>
        </is>
      </c>
      <c r="E99" s="51" t="inlineStr">
        <is>
          <t>Positive</t>
        </is>
      </c>
      <c r="F99" s="51" t="n">
        <v>15</v>
      </c>
      <c r="G99" s="51" t="n">
        <v>2024</v>
      </c>
      <c r="H99" s="52" t="inlineStr">
        <is>
          <t>https://web.archive.org/web/2024/https://corporate.bestbuy.com/inclusion-diversity/</t>
        </is>
      </c>
      <c r="I99" s="52" t="inlineStr">
        <is>
          <t>Archive</t>
        </is>
      </c>
      <c r="J99" s="51" t="inlineStr">
        <is>
          <t>No</t>
        </is>
      </c>
      <c r="K99" s="52" t="inlineStr"/>
    </row>
    <row r="100" ht="23.25" customHeight="1" s="42">
      <c r="A100" s="52" t="inlineStr">
        <is>
          <t>Best Buy</t>
        </is>
      </c>
      <c r="B100" s="52" t="inlineStr">
        <is>
          <t>p_benefits</t>
        </is>
      </c>
      <c r="C100" s="52" t="inlineStr">
        <is>
          <t>Inclusive partner and gender-affirming benefits (CEI-verified)</t>
        </is>
      </c>
      <c r="D100" s="51" t="inlineStr">
        <is>
          <t>Structural</t>
        </is>
      </c>
      <c r="E100" s="51" t="inlineStr">
        <is>
          <t>Positive</t>
        </is>
      </c>
      <c r="F100" s="51" t="n">
        <v>22</v>
      </c>
      <c r="G100" s="51" t="n">
        <v>2024</v>
      </c>
      <c r="H100" s="52" t="inlineStr">
        <is>
          <t>https://reports.hrc.org/corporate-equality-index-2025</t>
        </is>
      </c>
      <c r="I100" s="52" t="inlineStr">
        <is>
          <t>HRC</t>
        </is>
      </c>
      <c r="J100" s="51" t="inlineStr">
        <is>
          <t>No</t>
        </is>
      </c>
      <c r="K100" s="52" t="inlineStr"/>
    </row>
    <row r="101" ht="23.25" customHeight="1" s="42">
      <c r="A101" s="52" t="inlineStr">
        <is>
          <t>Nike</t>
        </is>
      </c>
      <c r="B101" s="52" t="inlineStr">
        <is>
          <t>p_logo_rainbow</t>
        </is>
      </c>
      <c r="C101" s="52" t="inlineStr">
        <is>
          <t>Rainbow/Pride campaign branding across Nike channels</t>
        </is>
      </c>
      <c r="D101" s="51" t="inlineStr">
        <is>
          <t>Cosmetic</t>
        </is>
      </c>
      <c r="E101" s="51" t="inlineStr">
        <is>
          <t>Positive</t>
        </is>
      </c>
      <c r="F101" s="51" t="n">
        <v>3</v>
      </c>
      <c r="G101" s="51" t="n">
        <v>2026</v>
      </c>
      <c r="H101" s="52" t="inlineStr">
        <is>
          <t>https://www.advocate.com/news/culture/2026-pride-month-company-support</t>
        </is>
      </c>
      <c r="I101" s="52" t="inlineStr">
        <is>
          <t>News</t>
        </is>
      </c>
      <c r="J101" s="51" t="inlineStr">
        <is>
          <t>Yes</t>
        </is>
      </c>
      <c r="K101" s="52" t="inlineStr"/>
    </row>
    <row r="102" ht="23.25" customHeight="1" s="42">
      <c r="A102" s="52" t="inlineStr">
        <is>
          <t>Nike</t>
        </is>
      </c>
      <c r="B102" s="52" t="inlineStr">
        <is>
          <t>p_merch_collection</t>
        </is>
      </c>
      <c r="C102" s="52" t="inlineStr">
        <is>
          <t>'Love Unites' Pride collection (2026); BETRUE line annually 2012-2023</t>
        </is>
      </c>
      <c r="D102" s="51" t="inlineStr">
        <is>
          <t>Commercial</t>
        </is>
      </c>
      <c r="E102" s="51" t="inlineStr">
        <is>
          <t>Positive</t>
        </is>
      </c>
      <c r="F102" s="51" t="n">
        <v>6</v>
      </c>
      <c r="G102" s="51" t="n">
        <v>2026</v>
      </c>
      <c r="H102" s="52" t="inlineStr">
        <is>
          <t>https://www.advocate.com/news/culture/2026-pride-month-company-support</t>
        </is>
      </c>
      <c r="I102" s="52" t="inlineStr">
        <is>
          <t>News</t>
        </is>
      </c>
      <c r="J102" s="51" t="inlineStr">
        <is>
          <t>Yes</t>
        </is>
      </c>
      <c r="K102" s="52" t="inlineStr"/>
    </row>
    <row r="103" ht="23.25" customHeight="1" s="42">
      <c r="A103" s="52" t="inlineStr">
        <is>
          <t>Nike</t>
        </is>
      </c>
      <c r="B103" s="52" t="inlineStr">
        <is>
          <t>p_collab</t>
        </is>
      </c>
      <c r="C103" s="52" t="inlineStr">
        <is>
          <t>BETRUE collaborations with LGBTQ+ athletes and designers (2012-2023)</t>
        </is>
      </c>
      <c r="D103" s="51" t="inlineStr">
        <is>
          <t>Commercial</t>
        </is>
      </c>
      <c r="E103" s="51" t="inlineStr">
        <is>
          <t>Positive</t>
        </is>
      </c>
      <c r="F103" s="51" t="n">
        <v>8</v>
      </c>
      <c r="G103" s="51" t="n">
        <v>2023</v>
      </c>
      <c r="H103" s="52" t="inlineStr">
        <is>
          <t>https://web.archive.org/web/2023/https://www.nike.com/betrue</t>
        </is>
      </c>
      <c r="I103" s="52" t="inlineStr">
        <is>
          <t>Archive</t>
        </is>
      </c>
      <c r="J103" s="51" t="inlineStr">
        <is>
          <t>No</t>
        </is>
      </c>
      <c r="K103" s="52" t="inlineStr"/>
    </row>
    <row r="104" ht="23.25" customHeight="1" s="42">
      <c r="A104" s="52" t="inlineStr">
        <is>
          <t>Abercrombie &amp; Fitch</t>
        </is>
      </c>
      <c r="B104" s="52" t="inlineStr">
        <is>
          <t>p_logo_rainbow</t>
        </is>
      </c>
      <c r="C104" s="52" t="inlineStr">
        <is>
          <t>Pride campaign branding</t>
        </is>
      </c>
      <c r="D104" s="51" t="inlineStr">
        <is>
          <t>Cosmetic</t>
        </is>
      </c>
      <c r="E104" s="51" t="inlineStr">
        <is>
          <t>Positive</t>
        </is>
      </c>
      <c r="F104" s="51" t="n">
        <v>3</v>
      </c>
      <c r="G104" s="51" t="n">
        <v>2026</v>
      </c>
      <c r="H104" s="52" t="inlineStr">
        <is>
          <t>https://www.advocate.com/news/culture/2026-pride-month-company-support</t>
        </is>
      </c>
      <c r="I104" s="52" t="inlineStr">
        <is>
          <t>News</t>
        </is>
      </c>
      <c r="J104" s="51" t="inlineStr">
        <is>
          <t>Yes</t>
        </is>
      </c>
      <c r="K104" s="52" t="inlineStr"/>
    </row>
    <row r="105" ht="23.25" customHeight="1" s="42">
      <c r="A105" s="52" t="inlineStr">
        <is>
          <t>Abercrombie &amp; Fitch</t>
        </is>
      </c>
      <c r="B105" s="52" t="inlineStr">
        <is>
          <t>p_merch_collection</t>
        </is>
      </c>
      <c r="C105" s="52" t="inlineStr">
        <is>
          <t>2026 Pride collection (embroidered denim, tees, etc.)</t>
        </is>
      </c>
      <c r="D105" s="51" t="inlineStr">
        <is>
          <t>Commercial</t>
        </is>
      </c>
      <c r="E105" s="51" t="inlineStr">
        <is>
          <t>Positive</t>
        </is>
      </c>
      <c r="F105" s="51" t="n">
        <v>6</v>
      </c>
      <c r="G105" s="51" t="n">
        <v>2026</v>
      </c>
      <c r="H105" s="52" t="inlineStr">
        <is>
          <t>https://www.advocate.com/news/culture/2026-pride-month-company-support</t>
        </is>
      </c>
      <c r="I105" s="52" t="inlineStr">
        <is>
          <t>News</t>
        </is>
      </c>
      <c r="J105" s="51" t="inlineStr">
        <is>
          <t>Yes</t>
        </is>
      </c>
      <c r="K105" s="52" t="inlineStr"/>
    </row>
    <row r="106" ht="23.25" customHeight="1" s="42">
      <c r="A106" s="52" t="inlineStr">
        <is>
          <t>Abercrombie &amp; Fitch</t>
        </is>
      </c>
      <c r="B106" s="52" t="inlineStr">
        <is>
          <t>p_donation_large</t>
        </is>
      </c>
      <c r="C106" s="52" t="inlineStr">
        <is>
          <t>$400,000 donation to The Trevor Project (2026), continuing a multi-year partnership</t>
        </is>
      </c>
      <c r="D106" s="51" t="inlineStr">
        <is>
          <t>Financial</t>
        </is>
      </c>
      <c r="E106" s="51" t="inlineStr">
        <is>
          <t>Positive</t>
        </is>
      </c>
      <c r="F106" s="51" t="n">
        <v>22</v>
      </c>
      <c r="G106" s="51" t="n">
        <v>2026</v>
      </c>
      <c r="H106" s="52" t="inlineStr">
        <is>
          <t>https://www.advocate.com/news/culture/2026-pride-month-company-support</t>
        </is>
      </c>
      <c r="I106" s="52" t="inlineStr">
        <is>
          <t>News</t>
        </is>
      </c>
      <c r="J106" s="51" t="inlineStr">
        <is>
          <t>Yes</t>
        </is>
      </c>
      <c r="K106" s="52" t="inlineStr"/>
    </row>
    <row r="107" ht="23.25" customHeight="1" s="42">
      <c r="A107" s="52" t="inlineStr">
        <is>
          <t>American Eagle</t>
        </is>
      </c>
      <c r="B107" s="52" t="inlineStr">
        <is>
          <t>p_logo_rainbow</t>
        </is>
      </c>
      <c r="C107" s="52" t="inlineStr">
        <is>
          <t>Pride campaign branding</t>
        </is>
      </c>
      <c r="D107" s="51" t="inlineStr">
        <is>
          <t>Cosmetic</t>
        </is>
      </c>
      <c r="E107" s="51" t="inlineStr">
        <is>
          <t>Positive</t>
        </is>
      </c>
      <c r="F107" s="51" t="n">
        <v>3</v>
      </c>
      <c r="G107" s="51" t="n">
        <v>2026</v>
      </c>
      <c r="H107" s="52" t="inlineStr">
        <is>
          <t>https://www.advocate.com/news/culture/2026-pride-month-company-support</t>
        </is>
      </c>
      <c r="I107" s="52" t="inlineStr">
        <is>
          <t>News</t>
        </is>
      </c>
      <c r="J107" s="51" t="inlineStr">
        <is>
          <t>Yes</t>
        </is>
      </c>
      <c r="K107" s="52" t="inlineStr"/>
    </row>
    <row r="108" ht="23.25" customHeight="1" s="42">
      <c r="A108" s="52" t="inlineStr">
        <is>
          <t>American Eagle</t>
        </is>
      </c>
      <c r="B108" s="52" t="inlineStr">
        <is>
          <t>p_merch_proceeds</t>
        </is>
      </c>
      <c r="C108" s="52" t="inlineStr">
        <is>
          <t>Pride Shop collection with proceeds historically benefiting It Gets Better (since 2018)</t>
        </is>
      </c>
      <c r="D108" s="51" t="inlineStr">
        <is>
          <t>Commercial</t>
        </is>
      </c>
      <c r="E108" s="51" t="inlineStr">
        <is>
          <t>Positive</t>
        </is>
      </c>
      <c r="F108" s="51" t="n">
        <v>10</v>
      </c>
      <c r="G108" s="51" t="n">
        <v>2026</v>
      </c>
      <c r="H108" s="52" t="inlineStr">
        <is>
          <t>https://www.ae.com/us/en/c/women/featured/the-pride-shop/cat3320007</t>
        </is>
      </c>
      <c r="I108" s="52" t="inlineStr">
        <is>
          <t>Company</t>
        </is>
      </c>
      <c r="J108" s="51" t="inlineStr">
        <is>
          <t>Yes</t>
        </is>
      </c>
      <c r="K108" s="52" t="inlineStr"/>
    </row>
    <row r="109" ht="23.25" customHeight="1" s="42">
      <c r="A109" s="52" t="inlineStr">
        <is>
          <t>American Eagle</t>
        </is>
      </c>
      <c r="B109" s="52" t="inlineStr">
        <is>
          <t>p_donation_large</t>
        </is>
      </c>
      <c r="C109" s="52" t="inlineStr">
        <is>
          <t>$150,000 donation to It Gets Better Project (2026)</t>
        </is>
      </c>
      <c r="D109" s="51" t="inlineStr">
        <is>
          <t>Financial</t>
        </is>
      </c>
      <c r="E109" s="51" t="inlineStr">
        <is>
          <t>Positive</t>
        </is>
      </c>
      <c r="F109" s="51" t="n">
        <v>22</v>
      </c>
      <c r="G109" s="51" t="n">
        <v>2026</v>
      </c>
      <c r="H109" s="52" t="inlineStr">
        <is>
          <t>https://www.advocate.com/news/culture/2026-pride-month-company-support</t>
        </is>
      </c>
      <c r="I109" s="52" t="inlineStr">
        <is>
          <t>News</t>
        </is>
      </c>
      <c r="J109" s="51" t="inlineStr">
        <is>
          <t>Yes</t>
        </is>
      </c>
      <c r="K109" s="52" t="inlineStr"/>
    </row>
    <row r="110" ht="23.25" customHeight="1" s="42">
      <c r="A110" s="52" t="inlineStr">
        <is>
          <t>Gap Inc.</t>
        </is>
      </c>
      <c r="B110" s="52" t="inlineStr">
        <is>
          <t>p_logo_rainbow</t>
        </is>
      </c>
      <c r="C110" s="52" t="inlineStr">
        <is>
          <t>Old Navy Pride campaign branding</t>
        </is>
      </c>
      <c r="D110" s="51" t="inlineStr">
        <is>
          <t>Cosmetic</t>
        </is>
      </c>
      <c r="E110" s="51" t="inlineStr">
        <is>
          <t>Positive</t>
        </is>
      </c>
      <c r="F110" s="51" t="n">
        <v>3</v>
      </c>
      <c r="G110" s="51" t="n">
        <v>2026</v>
      </c>
      <c r="H110" s="52" t="inlineStr">
        <is>
          <t>https://www.advocate.com/news/culture/2026-pride-month-company-support</t>
        </is>
      </c>
      <c r="I110" s="52" t="inlineStr">
        <is>
          <t>News</t>
        </is>
      </c>
      <c r="J110" s="51" t="inlineStr">
        <is>
          <t>Yes</t>
        </is>
      </c>
      <c r="K110" s="52" t="inlineStr"/>
    </row>
    <row r="111" ht="23.25" customHeight="1" s="42">
      <c r="A111" s="52" t="inlineStr">
        <is>
          <t>Gap Inc.</t>
        </is>
      </c>
      <c r="B111" s="52" t="inlineStr">
        <is>
          <t>p_merch_collection</t>
        </is>
      </c>
      <c r="C111" s="52" t="inlineStr">
        <is>
          <t>Old Navy 2026 Pride collection incl. kids' items and LGBTQ+ historical figures</t>
        </is>
      </c>
      <c r="D111" s="51" t="inlineStr">
        <is>
          <t>Commercial</t>
        </is>
      </c>
      <c r="E111" s="51" t="inlineStr">
        <is>
          <t>Positive</t>
        </is>
      </c>
      <c r="F111" s="51" t="n">
        <v>6</v>
      </c>
      <c r="G111" s="51" t="n">
        <v>2026</v>
      </c>
      <c r="H111" s="52" t="inlineStr">
        <is>
          <t>https://www.advocate.com/news/culture/2026-pride-month-company-support</t>
        </is>
      </c>
      <c r="I111" s="52" t="inlineStr">
        <is>
          <t>News</t>
        </is>
      </c>
      <c r="J111" s="51" t="inlineStr">
        <is>
          <t>Yes</t>
        </is>
      </c>
      <c r="K111" s="52" t="inlineStr"/>
    </row>
    <row r="112" ht="23.25" customHeight="1" s="42">
      <c r="A112" s="52" t="inlineStr">
        <is>
          <t>Gap Inc.</t>
        </is>
      </c>
      <c r="B112" s="52" t="inlineStr">
        <is>
          <t>p_generic_post</t>
        </is>
      </c>
      <c r="C112" s="52" t="inlineStr">
        <is>
          <t>Pride Month posts across Gap Inc. brands</t>
        </is>
      </c>
      <c r="D112" s="51" t="inlineStr">
        <is>
          <t>Cosmetic</t>
        </is>
      </c>
      <c r="E112" s="51" t="inlineStr">
        <is>
          <t>Positive</t>
        </is>
      </c>
      <c r="F112" s="51" t="n">
        <v>2</v>
      </c>
      <c r="G112" s="51" t="n">
        <v>2026</v>
      </c>
      <c r="H112" s="52" t="inlineStr">
        <is>
          <t>https://www.advocate.com/news/culture/2026-pride-month-company-support</t>
        </is>
      </c>
      <c r="I112" s="52" t="inlineStr">
        <is>
          <t>News</t>
        </is>
      </c>
      <c r="J112" s="51" t="inlineStr">
        <is>
          <t>Yes</t>
        </is>
      </c>
      <c r="K112" s="52" t="inlineStr"/>
    </row>
    <row r="113" ht="23.25" customHeight="1" s="42">
      <c r="A113" s="52" t="inlineStr">
        <is>
          <t>H&amp;M</t>
        </is>
      </c>
      <c r="B113" s="52" t="inlineStr">
        <is>
          <t>p_logo_rainbow</t>
        </is>
      </c>
      <c r="C113" s="52" t="inlineStr">
        <is>
          <t>Pride campaign branding globally</t>
        </is>
      </c>
      <c r="D113" s="51" t="inlineStr">
        <is>
          <t>Cosmetic</t>
        </is>
      </c>
      <c r="E113" s="51" t="inlineStr">
        <is>
          <t>Positive</t>
        </is>
      </c>
      <c r="F113" s="51" t="n">
        <v>3</v>
      </c>
      <c r="G113" s="51" t="n">
        <v>2024</v>
      </c>
      <c r="H113" s="52" t="inlineStr">
        <is>
          <t>https://web.archive.org/web/2024/https://www2.hm.com/en_us/free-form-campaigns/2007-pride-2024.html</t>
        </is>
      </c>
      <c r="I113" s="52" t="inlineStr">
        <is>
          <t>Archive</t>
        </is>
      </c>
      <c r="J113" s="51" t="inlineStr">
        <is>
          <t>No</t>
        </is>
      </c>
      <c r="K113" s="52" t="inlineStr"/>
    </row>
    <row r="114" ht="23.25" customHeight="1" s="42">
      <c r="A114" s="52" t="inlineStr">
        <is>
          <t>H&amp;M</t>
        </is>
      </c>
      <c r="B114" s="52" t="inlineStr">
        <is>
          <t>p_merch_proceeds</t>
        </is>
      </c>
      <c r="C114" s="52" t="inlineStr">
        <is>
          <t>Pride collections since 2018 with 10% of sales to UN Free &amp; Equal</t>
        </is>
      </c>
      <c r="D114" s="51" t="inlineStr">
        <is>
          <t>Commercial</t>
        </is>
      </c>
      <c r="E114" s="51" t="inlineStr">
        <is>
          <t>Positive</t>
        </is>
      </c>
      <c r="F114" s="51" t="n">
        <v>10</v>
      </c>
      <c r="G114" s="51" t="n">
        <v>2018</v>
      </c>
      <c r="H114" s="52" t="inlineStr">
        <is>
          <t>https://web.archive.org/web/2018/https://www2.hm.com/en_us/life/culture/inside-h-m/hm-supports-pride-2018.html</t>
        </is>
      </c>
      <c r="I114" s="52" t="inlineStr">
        <is>
          <t>Archive</t>
        </is>
      </c>
      <c r="J114" s="51" t="inlineStr">
        <is>
          <t>No</t>
        </is>
      </c>
      <c r="K114" s="52" t="inlineStr"/>
    </row>
    <row r="115" ht="23.25" customHeight="1" s="42">
      <c r="A115" s="52" t="inlineStr">
        <is>
          <t>Ralph Lauren</t>
        </is>
      </c>
      <c r="B115" s="52" t="inlineStr">
        <is>
          <t>p_logo_rainbow</t>
        </is>
      </c>
      <c r="C115" s="52" t="inlineStr">
        <is>
          <t>Polo Pride rainbow branding</t>
        </is>
      </c>
      <c r="D115" s="51" t="inlineStr">
        <is>
          <t>Cosmetic</t>
        </is>
      </c>
      <c r="E115" s="51" t="inlineStr">
        <is>
          <t>Positive</t>
        </is>
      </c>
      <c r="F115" s="51" t="n">
        <v>3</v>
      </c>
      <c r="G115" s="51" t="n">
        <v>2024</v>
      </c>
      <c r="H115" s="52" t="inlineStr">
        <is>
          <t>https://web.archive.org/web/2024/https://www.ralphlauren.com/brands-polo-pride</t>
        </is>
      </c>
      <c r="I115" s="52" t="inlineStr">
        <is>
          <t>Archive</t>
        </is>
      </c>
      <c r="J115" s="51" t="inlineStr">
        <is>
          <t>No</t>
        </is>
      </c>
      <c r="K115" s="52" t="inlineStr"/>
    </row>
    <row r="116" ht="23.25" customHeight="1" s="42">
      <c r="A116" s="52" t="inlineStr">
        <is>
          <t>Ralph Lauren</t>
        </is>
      </c>
      <c r="B116" s="52" t="inlineStr">
        <is>
          <t>p_merch_proceeds</t>
        </is>
      </c>
      <c r="C116" s="52" t="inlineStr">
        <is>
          <t>Polo Pride capsule with donations to LGBTQ+ organizations incl. Stonewall Community Foundation</t>
        </is>
      </c>
      <c r="D116" s="51" t="inlineStr">
        <is>
          <t>Commercial</t>
        </is>
      </c>
      <c r="E116" s="51" t="inlineStr">
        <is>
          <t>Positive</t>
        </is>
      </c>
      <c r="F116" s="51" t="n">
        <v>10</v>
      </c>
      <c r="G116" s="51" t="n">
        <v>2023</v>
      </c>
      <c r="H116" s="52" t="inlineStr">
        <is>
          <t>https://web.archive.org/web/2023/https://www.ralphlauren.com/brands-polo-pride</t>
        </is>
      </c>
      <c r="I116" s="52" t="inlineStr">
        <is>
          <t>Archive</t>
        </is>
      </c>
      <c r="J116" s="51" t="inlineStr">
        <is>
          <t>No</t>
        </is>
      </c>
      <c r="K116" s="52" t="inlineStr"/>
    </row>
    <row r="117" ht="23.25" customHeight="1" s="42">
      <c r="A117" s="52" t="inlineStr">
        <is>
          <t>Ralph Lauren</t>
        </is>
      </c>
      <c r="B117" s="52" t="inlineStr">
        <is>
          <t>p_generic_post</t>
        </is>
      </c>
      <c r="C117" s="52" t="inlineStr">
        <is>
          <t>Annual Pride Month posts</t>
        </is>
      </c>
      <c r="D117" s="51" t="inlineStr">
        <is>
          <t>Cosmetic</t>
        </is>
      </c>
      <c r="E117" s="51" t="inlineStr">
        <is>
          <t>Positive</t>
        </is>
      </c>
      <c r="F117" s="51" t="n">
        <v>2</v>
      </c>
      <c r="G117" s="51" t="n">
        <v>2024</v>
      </c>
      <c r="H117" s="52" t="inlineStr">
        <is>
          <t>https://web.archive.org/web/2024/https://www.ralphlauren.com/brands-polo-pride</t>
        </is>
      </c>
      <c r="I117" s="52" t="inlineStr">
        <is>
          <t>Archive</t>
        </is>
      </c>
      <c r="J117" s="51" t="inlineStr">
        <is>
          <t>No</t>
        </is>
      </c>
      <c r="K117" s="52" t="inlineStr"/>
    </row>
    <row r="118" ht="23.25" customHeight="1" s="42">
      <c r="A118" s="52" t="inlineStr">
        <is>
          <t>Levi Strauss &amp; Co.</t>
        </is>
      </c>
      <c r="B118" s="52" t="inlineStr">
        <is>
          <t>p_logo_rainbow</t>
        </is>
      </c>
      <c r="C118" s="52" t="inlineStr">
        <is>
          <t>Annual Pride campaign branding</t>
        </is>
      </c>
      <c r="D118" s="51" t="inlineStr">
        <is>
          <t>Cosmetic</t>
        </is>
      </c>
      <c r="E118" s="51" t="inlineStr">
        <is>
          <t>Positive</t>
        </is>
      </c>
      <c r="F118" s="51" t="n">
        <v>3</v>
      </c>
      <c r="G118" s="51" t="n">
        <v>2026</v>
      </c>
      <c r="H118" s="52" t="inlineStr">
        <is>
          <t>https://www.advocate.com/news/culture/2026-pride-month-company-support</t>
        </is>
      </c>
      <c r="I118" s="52" t="inlineStr">
        <is>
          <t>News</t>
        </is>
      </c>
      <c r="J118" s="51" t="inlineStr">
        <is>
          <t>Yes</t>
        </is>
      </c>
      <c r="K118" s="52" t="inlineStr"/>
    </row>
    <row r="119" ht="23.25" customHeight="1" s="42">
      <c r="A119" s="52" t="inlineStr">
        <is>
          <t>Levi Strauss &amp; Co.</t>
        </is>
      </c>
      <c r="B119" s="52" t="inlineStr">
        <is>
          <t>p_merch_proceeds</t>
        </is>
      </c>
      <c r="C119" s="52" t="inlineStr">
        <is>
          <t>Annual Pride collection (2026 edition inspired by queer motorcycle clubs); proceeds historically support LGBTQ+ orgs</t>
        </is>
      </c>
      <c r="D119" s="51" t="inlineStr">
        <is>
          <t>Commercial</t>
        </is>
      </c>
      <c r="E119" s="51" t="inlineStr">
        <is>
          <t>Positive</t>
        </is>
      </c>
      <c r="F119" s="51" t="n">
        <v>10</v>
      </c>
      <c r="G119" s="51" t="n">
        <v>2026</v>
      </c>
      <c r="H119" s="52" t="inlineStr">
        <is>
          <t>https://www.advocate.com/news/culture/2026-pride-month-company-support</t>
        </is>
      </c>
      <c r="I119" s="52" t="inlineStr">
        <is>
          <t>News</t>
        </is>
      </c>
      <c r="J119" s="51" t="inlineStr">
        <is>
          <t>Yes</t>
        </is>
      </c>
      <c r="K119" s="52" t="inlineStr"/>
    </row>
    <row r="120" ht="23.25" customHeight="1" s="42">
      <c r="A120" s="52" t="inlineStr">
        <is>
          <t>Levi Strauss &amp; Co.</t>
        </is>
      </c>
      <c r="B120" s="52" t="inlineStr">
        <is>
          <t>p_recurring</t>
        </is>
      </c>
      <c r="C120" s="52" t="inlineStr">
        <is>
          <t>Annual $100,000 donation to Outright International</t>
        </is>
      </c>
      <c r="D120" s="51" t="inlineStr">
        <is>
          <t>Financial</t>
        </is>
      </c>
      <c r="E120" s="51" t="inlineStr">
        <is>
          <t>Positive</t>
        </is>
      </c>
      <c r="F120" s="51" t="n">
        <v>25</v>
      </c>
      <c r="G120" s="51" t="n">
        <v>2026</v>
      </c>
      <c r="H120" s="52" t="inlineStr">
        <is>
          <t>https://www.advocate.com/news/culture/2026-pride-month-company-support</t>
        </is>
      </c>
      <c r="I120" s="52" t="inlineStr">
        <is>
          <t>News</t>
        </is>
      </c>
      <c r="J120" s="51" t="inlineStr">
        <is>
          <t>Yes</t>
        </is>
      </c>
      <c r="K120" s="52" t="inlineStr"/>
    </row>
    <row r="121" ht="23.25" customHeight="1" s="42">
      <c r="A121" s="52" t="inlineStr">
        <is>
          <t>Levi Strauss &amp; Co.</t>
        </is>
      </c>
      <c r="B121" s="52" t="inlineStr">
        <is>
          <t>p_benefits</t>
        </is>
      </c>
      <c r="C121" s="52" t="inlineStr">
        <is>
          <t>Domestic-partner health benefits since 1992 — first major US company; comprehensive trans-inclusive benefits today</t>
        </is>
      </c>
      <c r="D121" s="51" t="inlineStr">
        <is>
          <t>Structural</t>
        </is>
      </c>
      <c r="E121" s="51" t="inlineStr">
        <is>
          <t>Positive</t>
        </is>
      </c>
      <c r="F121" s="51" t="n">
        <v>22</v>
      </c>
      <c r="G121" s="51" t="n">
        <v>2025</v>
      </c>
      <c r="H121" s="52" t="inlineStr">
        <is>
          <t>https://reports.hrc.org/corporate-equality-index-2025</t>
        </is>
      </c>
      <c r="I121" s="52" t="inlineStr">
        <is>
          <t>HRC</t>
        </is>
      </c>
      <c r="J121" s="51" t="inlineStr">
        <is>
          <t>No</t>
        </is>
      </c>
      <c r="K121" s="52" t="inlineStr"/>
    </row>
    <row r="122" ht="23.25" customHeight="1" s="42">
      <c r="A122" s="52" t="inlineStr">
        <is>
          <t>Levi Strauss &amp; Co.</t>
        </is>
      </c>
      <c r="B122" s="52" t="inlineStr">
        <is>
          <t>p_consistent_history</t>
        </is>
      </c>
      <c r="C122" s="52" t="inlineStr">
        <is>
          <t>30+ years of continuous support: 1992 benefits, Boy Scouts funding withdrawal over discrimination, sustained CEI 100s</t>
        </is>
      </c>
      <c r="D122" s="51" t="inlineStr">
        <is>
          <t>Structural</t>
        </is>
      </c>
      <c r="E122" s="51" t="inlineStr">
        <is>
          <t>Positive</t>
        </is>
      </c>
      <c r="F122" s="51" t="n">
        <v>28</v>
      </c>
      <c r="G122" s="51" t="n">
        <v>2025</v>
      </c>
      <c r="H122" s="52" t="inlineStr">
        <is>
          <t>https://www.cnn.com/2025/05/02/business/costco-apple-levi-shareholders-dei</t>
        </is>
      </c>
      <c r="I122" s="52" t="inlineStr">
        <is>
          <t>News</t>
        </is>
      </c>
      <c r="J122" s="51" t="inlineStr">
        <is>
          <t>No</t>
        </is>
      </c>
      <c r="K122" s="52" t="inlineStr"/>
    </row>
    <row r="123" ht="23.25" customHeight="1" s="42">
      <c r="A123" s="52" t="inlineStr">
        <is>
          <t>PVH Corp.</t>
        </is>
      </c>
      <c r="B123" s="52" t="inlineStr">
        <is>
          <t>p_logo_rainbow</t>
        </is>
      </c>
      <c r="C123" s="52" t="inlineStr">
        <is>
          <t>CK/Tommy Pride campaign branding</t>
        </is>
      </c>
      <c r="D123" s="51" t="inlineStr">
        <is>
          <t>Cosmetic</t>
        </is>
      </c>
      <c r="E123" s="51" t="inlineStr">
        <is>
          <t>Positive</t>
        </is>
      </c>
      <c r="F123" s="51" t="n">
        <v>3</v>
      </c>
      <c r="G123" s="51" t="n">
        <v>2024</v>
      </c>
      <c r="H123" s="52" t="inlineStr">
        <is>
          <t>https://web.archive.org/web/2024/https://www.calvinklein.us/en/pride</t>
        </is>
      </c>
      <c r="I123" s="52" t="inlineStr">
        <is>
          <t>Archive</t>
        </is>
      </c>
      <c r="J123" s="51" t="inlineStr">
        <is>
          <t>No</t>
        </is>
      </c>
      <c r="K123" s="52" t="inlineStr"/>
    </row>
    <row r="124" ht="23.25" customHeight="1" s="42">
      <c r="A124" s="52" t="inlineStr">
        <is>
          <t>PVH Corp.</t>
        </is>
      </c>
      <c r="B124" s="52" t="inlineStr">
        <is>
          <t>p_merch_collection</t>
        </is>
      </c>
      <c r="C124" s="52" t="inlineStr">
        <is>
          <t>Calvin Klein 'This Is Love' and Tommy Hilfiger Pride collections</t>
        </is>
      </c>
      <c r="D124" s="51" t="inlineStr">
        <is>
          <t>Commercial</t>
        </is>
      </c>
      <c r="E124" s="51" t="inlineStr">
        <is>
          <t>Positive</t>
        </is>
      </c>
      <c r="F124" s="51" t="n">
        <v>6</v>
      </c>
      <c r="G124" s="51" t="n">
        <v>2023</v>
      </c>
      <c r="H124" s="52" t="inlineStr">
        <is>
          <t>https://web.archive.org/web/2023/https://www.calvinklein.us/en/pride</t>
        </is>
      </c>
      <c r="I124" s="52" t="inlineStr">
        <is>
          <t>Archive</t>
        </is>
      </c>
      <c r="J124" s="51" t="inlineStr">
        <is>
          <t>No</t>
        </is>
      </c>
      <c r="K124" s="52" t="inlineStr"/>
    </row>
    <row r="125" ht="23.25" customHeight="1" s="42">
      <c r="A125" s="52" t="inlineStr">
        <is>
          <t>PVH Corp.</t>
        </is>
      </c>
      <c r="B125" s="52" t="inlineStr">
        <is>
          <t>p_generic_post</t>
        </is>
      </c>
      <c r="C125" s="52" t="inlineStr">
        <is>
          <t>Annual Pride Month campaign posts</t>
        </is>
      </c>
      <c r="D125" s="51" t="inlineStr">
        <is>
          <t>Cosmetic</t>
        </is>
      </c>
      <c r="E125" s="51" t="inlineStr">
        <is>
          <t>Positive</t>
        </is>
      </c>
      <c r="F125" s="51" t="n">
        <v>2</v>
      </c>
      <c r="G125" s="51" t="n">
        <v>2024</v>
      </c>
      <c r="H125" s="52" t="inlineStr">
        <is>
          <t>https://web.archive.org/web/2024/https://www.calvinklein.us/en/pride</t>
        </is>
      </c>
      <c r="I125" s="52" t="inlineStr">
        <is>
          <t>Archive</t>
        </is>
      </c>
      <c r="J125" s="51" t="inlineStr">
        <is>
          <t>No</t>
        </is>
      </c>
      <c r="K125" s="52" t="inlineStr"/>
    </row>
    <row r="126" ht="23.25" customHeight="1" s="42">
      <c r="A126" s="52" t="inlineStr">
        <is>
          <t>PVH Corp.</t>
        </is>
      </c>
      <c r="B126" s="52" t="inlineStr">
        <is>
          <t>p_benefits</t>
        </is>
      </c>
      <c r="C126" s="52" t="inlineStr">
        <is>
          <t>Inclusive partner and gender-affirming benefits (CEI-verified)</t>
        </is>
      </c>
      <c r="D126" s="51" t="inlineStr">
        <is>
          <t>Structural</t>
        </is>
      </c>
      <c r="E126" s="51" t="inlineStr">
        <is>
          <t>Positive</t>
        </is>
      </c>
      <c r="F126" s="51" t="n">
        <v>22</v>
      </c>
      <c r="G126" s="51" t="n">
        <v>2024</v>
      </c>
      <c r="H126" s="52" t="inlineStr">
        <is>
          <t>https://reports.hrc.org/corporate-equality-index-2025</t>
        </is>
      </c>
      <c r="I126" s="52" t="inlineStr">
        <is>
          <t>HRC</t>
        </is>
      </c>
      <c r="J126" s="51" t="inlineStr">
        <is>
          <t>No</t>
        </is>
      </c>
      <c r="K126" s="52" t="inlineStr"/>
    </row>
    <row r="127" ht="23.25" customHeight="1" s="42">
      <c r="A127" s="52" t="inlineStr">
        <is>
          <t>Starbucks</t>
        </is>
      </c>
      <c r="B127" s="52" t="inlineStr">
        <is>
          <t>p_logo_rainbow</t>
        </is>
      </c>
      <c r="C127" s="52" t="inlineStr">
        <is>
          <t>Annual Pride branding and rainbow campaign visuals</t>
        </is>
      </c>
      <c r="D127" s="51" t="inlineStr">
        <is>
          <t>Cosmetic</t>
        </is>
      </c>
      <c r="E127" s="51" t="inlineStr">
        <is>
          <t>Positive</t>
        </is>
      </c>
      <c r="F127" s="51" t="n">
        <v>3</v>
      </c>
      <c r="G127" s="51" t="n">
        <v>2024</v>
      </c>
      <c r="H127" s="52" t="inlineStr">
        <is>
          <t>https://web.archive.org/web/2024/https://www.starbucks.com/responsibility/community/lgbtq</t>
        </is>
      </c>
      <c r="I127" s="52" t="inlineStr">
        <is>
          <t>Archive</t>
        </is>
      </c>
      <c r="J127" s="51" t="inlineStr">
        <is>
          <t>No</t>
        </is>
      </c>
      <c r="K127" s="52" t="inlineStr"/>
    </row>
    <row r="128" ht="23.25" customHeight="1" s="42">
      <c r="A128" s="52" t="inlineStr">
        <is>
          <t>Starbucks</t>
        </is>
      </c>
      <c r="B128" s="52" t="inlineStr">
        <is>
          <t>p_generic_post</t>
        </is>
      </c>
      <c r="C128" s="52" t="inlineStr">
        <is>
          <t>Annual Pride Month statements</t>
        </is>
      </c>
      <c r="D128" s="51" t="inlineStr">
        <is>
          <t>Cosmetic</t>
        </is>
      </c>
      <c r="E128" s="51" t="inlineStr">
        <is>
          <t>Positive</t>
        </is>
      </c>
      <c r="F128" s="51" t="n">
        <v>2</v>
      </c>
      <c r="G128" s="51" t="n">
        <v>2024</v>
      </c>
      <c r="H128" s="52" t="inlineStr">
        <is>
          <t>https://web.archive.org/web/2024/https://stories.starbucks.com/</t>
        </is>
      </c>
      <c r="I128" s="52" t="inlineStr">
        <is>
          <t>Archive</t>
        </is>
      </c>
      <c r="J128" s="51" t="inlineStr">
        <is>
          <t>No</t>
        </is>
      </c>
      <c r="K128" s="52" t="inlineStr"/>
    </row>
    <row r="129" ht="23.25" customHeight="1" s="42">
      <c r="A129" s="52" t="inlineStr">
        <is>
          <t>Starbucks</t>
        </is>
      </c>
      <c r="B129" s="52" t="inlineStr">
        <is>
          <t>p_merch_collection</t>
        </is>
      </c>
      <c r="C129" s="52" t="inlineStr">
        <is>
          <t>Annual Pride cups/tumbler merchandise</t>
        </is>
      </c>
      <c r="D129" s="51" t="inlineStr">
        <is>
          <t>Commercial</t>
        </is>
      </c>
      <c r="E129" s="51" t="inlineStr">
        <is>
          <t>Positive</t>
        </is>
      </c>
      <c r="F129" s="51" t="n">
        <v>6</v>
      </c>
      <c r="G129" s="51" t="n">
        <v>2024</v>
      </c>
      <c r="H129" s="52" t="inlineStr">
        <is>
          <t>https://web.archive.org/web/2024/https://stories.starbucks.com/</t>
        </is>
      </c>
      <c r="I129" s="52" t="inlineStr">
        <is>
          <t>Archive</t>
        </is>
      </c>
      <c r="J129" s="51" t="inlineStr">
        <is>
          <t>No</t>
        </is>
      </c>
      <c r="K129" s="52" t="inlineStr"/>
    </row>
    <row r="130" ht="23.25" customHeight="1" s="42">
      <c r="A130" s="52" t="inlineStr">
        <is>
          <t>Starbucks</t>
        </is>
      </c>
      <c r="B130" s="52" t="inlineStr">
        <is>
          <t>p_erg_support</t>
        </is>
      </c>
      <c r="C130" s="52" t="inlineStr">
        <is>
          <t>Funded Pride Alliance partner network (ERG)</t>
        </is>
      </c>
      <c r="D130" s="51" t="inlineStr">
        <is>
          <t>Civic</t>
        </is>
      </c>
      <c r="E130" s="51" t="inlineStr">
        <is>
          <t>Positive</t>
        </is>
      </c>
      <c r="F130" s="51" t="n">
        <v>15</v>
      </c>
      <c r="G130" s="51" t="n">
        <v>2024</v>
      </c>
      <c r="H130" s="52" t="inlineStr">
        <is>
          <t>https://web.archive.org/web/2024/https://www.starbucks.com/responsibility/community/lgbtq</t>
        </is>
      </c>
      <c r="I130" s="52" t="inlineStr">
        <is>
          <t>Archive</t>
        </is>
      </c>
      <c r="J130" s="51" t="inlineStr">
        <is>
          <t>No</t>
        </is>
      </c>
      <c r="K130" s="52" t="inlineStr"/>
    </row>
    <row r="131" ht="23.25" customHeight="1" s="42">
      <c r="A131" s="52" t="inlineStr">
        <is>
          <t>Starbucks</t>
        </is>
      </c>
      <c r="B131" s="52" t="inlineStr">
        <is>
          <t>p_benefits</t>
        </is>
      </c>
      <c r="C131" s="52" t="inlineStr">
        <is>
          <t>Gender-affirming healthcare benefits expanded in 2018 beyond WPATH baseline — industry landmark; comprehensive partner benefits</t>
        </is>
      </c>
      <c r="D131" s="51" t="inlineStr">
        <is>
          <t>Structural</t>
        </is>
      </c>
      <c r="E131" s="51" t="inlineStr">
        <is>
          <t>Positive</t>
        </is>
      </c>
      <c r="F131" s="51" t="n">
        <v>22</v>
      </c>
      <c r="G131" s="51" t="n">
        <v>2018</v>
      </c>
      <c r="H131" s="52" t="inlineStr">
        <is>
          <t>https://reports.hrc.org/corporate-equality-index-2025</t>
        </is>
      </c>
      <c r="I131" s="52" t="inlineStr">
        <is>
          <t>HRC</t>
        </is>
      </c>
      <c r="J131" s="51" t="inlineStr">
        <is>
          <t>No</t>
        </is>
      </c>
      <c r="K131" s="52" t="inlineStr"/>
    </row>
    <row r="132" ht="23.25" customHeight="1" s="42">
      <c r="A132" s="52" t="inlineStr">
        <is>
          <t>McDonald's</t>
        </is>
      </c>
      <c r="B132" s="52" t="inlineStr">
        <is>
          <t>p_logo_rainbow</t>
        </is>
      </c>
      <c r="C132" s="52" t="inlineStr">
        <is>
          <t>Pride Month branding (through 2024)</t>
        </is>
      </c>
      <c r="D132" s="51" t="inlineStr">
        <is>
          <t>Cosmetic</t>
        </is>
      </c>
      <c r="E132" s="51" t="inlineStr">
        <is>
          <t>Positive</t>
        </is>
      </c>
      <c r="F132" s="51" t="n">
        <v>3</v>
      </c>
      <c r="G132" s="51" t="n">
        <v>2024</v>
      </c>
      <c r="H132" s="52" t="inlineStr">
        <is>
          <t>https://web.archive.org/web/2024/https://corporate.mcdonalds.com/corpmcd/our-purpose-and-impact/jobs-inclusion-and-empowerment/diversity-and-inclusion.html</t>
        </is>
      </c>
      <c r="I132" s="52" t="inlineStr">
        <is>
          <t>Archive</t>
        </is>
      </c>
      <c r="J132" s="51" t="inlineStr">
        <is>
          <t>No</t>
        </is>
      </c>
      <c r="K132" s="52" t="inlineStr"/>
    </row>
    <row r="133" ht="23.25" customHeight="1" s="42">
      <c r="A133" s="52" t="inlineStr">
        <is>
          <t>McDonald's</t>
        </is>
      </c>
      <c r="B133" s="52" t="inlineStr">
        <is>
          <t>p_generic_post</t>
        </is>
      </c>
      <c r="C133" s="52" t="inlineStr">
        <is>
          <t>Annual Pride Month posts</t>
        </is>
      </c>
      <c r="D133" s="51" t="inlineStr">
        <is>
          <t>Cosmetic</t>
        </is>
      </c>
      <c r="E133" s="51" t="inlineStr">
        <is>
          <t>Positive</t>
        </is>
      </c>
      <c r="F133" s="51" t="n">
        <v>2</v>
      </c>
      <c r="G133" s="51" t="n">
        <v>2024</v>
      </c>
      <c r="H133" s="52" t="inlineStr">
        <is>
          <t>https://web.archive.org/web/2024/https://corporate.mcdonalds.com/corpmcd/our-purpose-and-impact/jobs-inclusion-and-empowerment/diversity-and-inclusion.html</t>
        </is>
      </c>
      <c r="I133" s="52" t="inlineStr">
        <is>
          <t>Archive</t>
        </is>
      </c>
      <c r="J133" s="51" t="inlineStr">
        <is>
          <t>No</t>
        </is>
      </c>
      <c r="K133" s="52" t="inlineStr"/>
    </row>
    <row r="134" ht="23.25" customHeight="1" s="42">
      <c r="A134" s="52" t="inlineStr">
        <is>
          <t>McDonald's</t>
        </is>
      </c>
      <c r="B134" s="52" t="inlineStr">
        <is>
          <t>p_erg_support</t>
        </is>
      </c>
      <c r="C134" s="52" t="inlineStr">
        <is>
          <t>Funded PRIDE Network employee resource group</t>
        </is>
      </c>
      <c r="D134" s="51" t="inlineStr">
        <is>
          <t>Civic</t>
        </is>
      </c>
      <c r="E134" s="51" t="inlineStr">
        <is>
          <t>Positive</t>
        </is>
      </c>
      <c r="F134" s="51" t="n">
        <v>15</v>
      </c>
      <c r="G134" s="51" t="n">
        <v>2024</v>
      </c>
      <c r="H134" s="52" t="inlineStr">
        <is>
          <t>https://web.archive.org/web/2024/https://corporate.mcdonalds.com/corpmcd/our-purpose-and-impact/jobs-inclusion-and-empowerment/diversity-and-inclusion.html</t>
        </is>
      </c>
      <c r="I134" s="52" t="inlineStr">
        <is>
          <t>Archive</t>
        </is>
      </c>
      <c r="J134" s="51" t="inlineStr">
        <is>
          <t>No</t>
        </is>
      </c>
      <c r="K134" s="52" t="inlineStr"/>
    </row>
    <row r="135" ht="23.25" customHeight="1" s="42">
      <c r="A135" s="52" t="inlineStr">
        <is>
          <t>McDonald's</t>
        </is>
      </c>
      <c r="B135" s="52" t="inlineStr">
        <is>
          <t>n_dei_removal</t>
        </is>
      </c>
      <c r="C135" s="52" t="inlineStr">
        <is>
          <t>Ended senior-leadership diversity goals and supplier targets; paused external surveys incl. HRC CEI</t>
        </is>
      </c>
      <c r="D135" s="51" t="inlineStr">
        <is>
          <t>—</t>
        </is>
      </c>
      <c r="E135" s="51" t="inlineStr">
        <is>
          <t>Negative</t>
        </is>
      </c>
      <c r="F135" s="51" t="n">
        <v>-32</v>
      </c>
      <c r="G135" s="51" t="n">
        <v>2025</v>
      </c>
      <c r="H135" s="52" t="inlineStr">
        <is>
          <t>https://www.cbsnews.com/news/meta-dei-programs-mcdonalds-walmart-ford-diversity/</t>
        </is>
      </c>
      <c r="I135" s="52" t="inlineStr">
        <is>
          <t>News</t>
        </is>
      </c>
      <c r="J135" s="51" t="inlineStr">
        <is>
          <t>Yes</t>
        </is>
      </c>
      <c r="K135" s="52" t="inlineStr">
        <is>
          <t>Announced early January 2025; archived before-state: https://web.archive.org/web/2024/https://corporate.mcdonalds.com/corpmcd/our-purpose-and-impact/jobs-inclusion-and-empowerment/diversity-and-inclusion.html</t>
        </is>
      </c>
    </row>
    <row r="136" ht="23.25" customHeight="1" s="42">
      <c r="A136" s="52" t="inlineStr">
        <is>
          <t>Chick-fil-A</t>
        </is>
      </c>
      <c r="B136" s="52" t="inlineStr">
        <is>
          <t>n_anti_lgbtq_orgs</t>
        </is>
      </c>
      <c r="C136" s="52" t="inlineStr">
        <is>
          <t>Multi-year foundation funding of organizations with anti-LGBTQ+ positions (FCA, Salvation Army; earlier Exodus International); flagged donations ended 2019</t>
        </is>
      </c>
      <c r="D136" s="51" t="inlineStr">
        <is>
          <t>—</t>
        </is>
      </c>
      <c r="E136" s="51" t="inlineStr">
        <is>
          <t>Negative</t>
        </is>
      </c>
      <c r="F136" s="51" t="n">
        <v>-35</v>
      </c>
      <c r="G136" s="51" t="n">
        <v>2019</v>
      </c>
      <c r="H136" s="52" t="inlineStr">
        <is>
          <t>https://en.wikipedia.org/wiki/Chick-fil-A_and_LGBT_people</t>
        </is>
      </c>
      <c r="I136" s="52" t="inlineStr">
        <is>
          <t>News</t>
        </is>
      </c>
      <c r="J136" s="51" t="inlineStr">
        <is>
          <t>No</t>
        </is>
      </c>
      <c r="K136" s="52" t="inlineStr">
        <is>
          <t>CEO Dan Cathy's 2012 anti-marriage-equality statements documented same source</t>
        </is>
      </c>
    </row>
    <row r="137" ht="23.25" customHeight="1" s="42">
      <c r="A137" s="52" t="inlineStr">
        <is>
          <t>Coca-Cola</t>
        </is>
      </c>
      <c r="B137" s="52" t="inlineStr">
        <is>
          <t>p_logo_rainbow</t>
        </is>
      </c>
      <c r="C137" s="52" t="inlineStr">
        <is>
          <t>Pride branding and campaign visuals</t>
        </is>
      </c>
      <c r="D137" s="51" t="inlineStr">
        <is>
          <t>Cosmetic</t>
        </is>
      </c>
      <c r="E137" s="51" t="inlineStr">
        <is>
          <t>Positive</t>
        </is>
      </c>
      <c r="F137" s="51" t="n">
        <v>3</v>
      </c>
      <c r="G137" s="51" t="n">
        <v>2024</v>
      </c>
      <c r="H137" s="52" t="inlineStr">
        <is>
          <t>https://web.archive.org/web/2024/https://www.coca-colacompany.com/social/diversity-and-inclusion</t>
        </is>
      </c>
      <c r="I137" s="52" t="inlineStr">
        <is>
          <t>Archive</t>
        </is>
      </c>
      <c r="J137" s="51" t="inlineStr">
        <is>
          <t>No</t>
        </is>
      </c>
      <c r="K137" s="52" t="inlineStr"/>
    </row>
    <row r="138" ht="23.25" customHeight="1" s="42">
      <c r="A138" s="52" t="inlineStr">
        <is>
          <t>Coca-Cola</t>
        </is>
      </c>
      <c r="B138" s="52" t="inlineStr">
        <is>
          <t>p_generic_post</t>
        </is>
      </c>
      <c r="C138" s="52" t="inlineStr">
        <is>
          <t>Annual Pride Month statements</t>
        </is>
      </c>
      <c r="D138" s="51" t="inlineStr">
        <is>
          <t>Cosmetic</t>
        </is>
      </c>
      <c r="E138" s="51" t="inlineStr">
        <is>
          <t>Positive</t>
        </is>
      </c>
      <c r="F138" s="51" t="n">
        <v>2</v>
      </c>
      <c r="G138" s="51" t="n">
        <v>2024</v>
      </c>
      <c r="H138" s="52" t="inlineStr">
        <is>
          <t>https://web.archive.org/web/2024/https://www.coca-colacompany.com/social/diversity-and-inclusion</t>
        </is>
      </c>
      <c r="I138" s="52" t="inlineStr">
        <is>
          <t>Archive</t>
        </is>
      </c>
      <c r="J138" s="51" t="inlineStr">
        <is>
          <t>No</t>
        </is>
      </c>
      <c r="K138" s="52" t="inlineStr"/>
    </row>
    <row r="139" ht="23.25" customHeight="1" s="42">
      <c r="A139" s="52" t="inlineStr">
        <is>
          <t>Coca-Cola</t>
        </is>
      </c>
      <c r="B139" s="52" t="inlineStr">
        <is>
          <t>p_parade_sponsor</t>
        </is>
      </c>
      <c r="C139" s="52" t="inlineStr">
        <is>
          <t>Longtime Atlanta Pride sponsorship</t>
        </is>
      </c>
      <c r="D139" s="51" t="inlineStr">
        <is>
          <t>Civic</t>
        </is>
      </c>
      <c r="E139" s="51" t="inlineStr">
        <is>
          <t>Positive</t>
        </is>
      </c>
      <c r="F139" s="51" t="n">
        <v>12</v>
      </c>
      <c r="G139" s="51" t="n">
        <v>2024</v>
      </c>
      <c r="H139" s="52" t="inlineStr">
        <is>
          <t>https://web.archive.org/web/2024/https://www.atlantapride.org/sponsors/</t>
        </is>
      </c>
      <c r="I139" s="52" t="inlineStr">
        <is>
          <t>Archive</t>
        </is>
      </c>
      <c r="J139" s="51" t="inlineStr">
        <is>
          <t>No</t>
        </is>
      </c>
      <c r="K139" s="52" t="inlineStr"/>
    </row>
    <row r="140" ht="23.25" customHeight="1" s="42">
      <c r="A140" s="52" t="inlineStr">
        <is>
          <t>Coca-Cola</t>
        </is>
      </c>
      <c r="B140" s="52" t="inlineStr">
        <is>
          <t>p_erg_support</t>
        </is>
      </c>
      <c r="C140" s="52" t="inlineStr">
        <is>
          <t>Funded LGBTQ+ ERG</t>
        </is>
      </c>
      <c r="D140" s="51" t="inlineStr">
        <is>
          <t>Civic</t>
        </is>
      </c>
      <c r="E140" s="51" t="inlineStr">
        <is>
          <t>Positive</t>
        </is>
      </c>
      <c r="F140" s="51" t="n">
        <v>15</v>
      </c>
      <c r="G140" s="51" t="n">
        <v>2024</v>
      </c>
      <c r="H140" s="52" t="inlineStr">
        <is>
          <t>https://web.archive.org/web/2024/https://www.coca-colacompany.com/social/diversity-and-inclusion</t>
        </is>
      </c>
      <c r="I140" s="52" t="inlineStr">
        <is>
          <t>Archive</t>
        </is>
      </c>
      <c r="J140" s="51" t="inlineStr">
        <is>
          <t>No</t>
        </is>
      </c>
      <c r="K140" s="52" t="inlineStr"/>
    </row>
    <row r="141" ht="23.25" customHeight="1" s="42">
      <c r="A141" s="52" t="inlineStr">
        <is>
          <t>Coca-Cola</t>
        </is>
      </c>
      <c r="B141" s="52" t="inlineStr">
        <is>
          <t>p_dei_explicit</t>
        </is>
      </c>
      <c r="C141" s="52" t="inlineStr">
        <is>
          <t>Maintained DEI commitments and inclusion-as-business-imperative language through 2025 while peers retreated</t>
        </is>
      </c>
      <c r="D141" s="51" t="inlineStr">
        <is>
          <t>Structural</t>
        </is>
      </c>
      <c r="E141" s="51" t="inlineStr">
        <is>
          <t>Positive</t>
        </is>
      </c>
      <c r="F141" s="51" t="n">
        <v>20</v>
      </c>
      <c r="G141" s="51" t="n">
        <v>2025</v>
      </c>
      <c r="H141" s="52" t="inlineStr">
        <is>
          <t>https://www.12news.com/article/news/nation-world/differences-pepsico-and-coca-cola-diversity-programs/507-ef02b553-d678-4157-a2dc-eb70a22589aa</t>
        </is>
      </c>
      <c r="I141" s="52" t="inlineStr">
        <is>
          <t>News</t>
        </is>
      </c>
      <c r="J141" s="51" t="inlineStr">
        <is>
          <t>Yes</t>
        </is>
      </c>
      <c r="K141" s="52" t="inlineStr"/>
    </row>
    <row r="142" ht="23.25" customHeight="1" s="42">
      <c r="A142" s="52" t="inlineStr">
        <is>
          <t>PepsiCo</t>
        </is>
      </c>
      <c r="B142" s="52" t="inlineStr">
        <is>
          <t>p_logo_rainbow</t>
        </is>
      </c>
      <c r="C142" s="52" t="inlineStr">
        <is>
          <t>Pride campaign branding (through 2024)</t>
        </is>
      </c>
      <c r="D142" s="51" t="inlineStr">
        <is>
          <t>Cosmetic</t>
        </is>
      </c>
      <c r="E142" s="51" t="inlineStr">
        <is>
          <t>Positive</t>
        </is>
      </c>
      <c r="F142" s="51" t="n">
        <v>3</v>
      </c>
      <c r="G142" s="51" t="n">
        <v>2024</v>
      </c>
      <c r="H142" s="52" t="inlineStr">
        <is>
          <t>https://web.archive.org/web/2024/https://www.pepsico.com/our-impact/diversity-equity-inclusion</t>
        </is>
      </c>
      <c r="I142" s="52" t="inlineStr">
        <is>
          <t>Archive</t>
        </is>
      </c>
      <c r="J142" s="51" t="inlineStr">
        <is>
          <t>No</t>
        </is>
      </c>
      <c r="K142" s="52" t="inlineStr"/>
    </row>
    <row r="143" ht="23.25" customHeight="1" s="42">
      <c r="A143" s="52" t="inlineStr">
        <is>
          <t>PepsiCo</t>
        </is>
      </c>
      <c r="B143" s="52" t="inlineStr">
        <is>
          <t>p_generic_post</t>
        </is>
      </c>
      <c r="C143" s="52" t="inlineStr">
        <is>
          <t>Annual Pride Month posts</t>
        </is>
      </c>
      <c r="D143" s="51" t="inlineStr">
        <is>
          <t>Cosmetic</t>
        </is>
      </c>
      <c r="E143" s="51" t="inlineStr">
        <is>
          <t>Positive</t>
        </is>
      </c>
      <c r="F143" s="51" t="n">
        <v>2</v>
      </c>
      <c r="G143" s="51" t="n">
        <v>2024</v>
      </c>
      <c r="H143" s="52" t="inlineStr">
        <is>
          <t>https://web.archive.org/web/2024/https://www.pepsico.com/our-impact/diversity-equity-inclusion</t>
        </is>
      </c>
      <c r="I143" s="52" t="inlineStr">
        <is>
          <t>Archive</t>
        </is>
      </c>
      <c r="J143" s="51" t="inlineStr">
        <is>
          <t>No</t>
        </is>
      </c>
      <c r="K143" s="52" t="inlineStr"/>
    </row>
    <row r="144" ht="23.25" customHeight="1" s="42">
      <c r="A144" s="52" t="inlineStr">
        <is>
          <t>PepsiCo</t>
        </is>
      </c>
      <c r="B144" s="52" t="inlineStr">
        <is>
          <t>p_parade_sponsor</t>
        </is>
      </c>
      <c r="C144" s="52" t="inlineStr">
        <is>
          <t>Longtime NYC Pride sponsorship as a top donor (ended/scaled back 2025)</t>
        </is>
      </c>
      <c r="D144" s="51" t="inlineStr">
        <is>
          <t>Civic</t>
        </is>
      </c>
      <c r="E144" s="51" t="inlineStr">
        <is>
          <t>Positive</t>
        </is>
      </c>
      <c r="F144" s="51" t="n">
        <v>12</v>
      </c>
      <c r="G144" s="51" t="n">
        <v>2024</v>
      </c>
      <c r="H144" s="52" t="inlineStr">
        <is>
          <t>https://www.nbcnews.com/news/us-news/nyc-pride-parade-drop-visible-corporate-sponsors-rcna215820</t>
        </is>
      </c>
      <c r="I144" s="52" t="inlineStr">
        <is>
          <t>News</t>
        </is>
      </c>
      <c r="J144" s="51" t="inlineStr">
        <is>
          <t>No</t>
        </is>
      </c>
      <c r="K144" s="52" t="inlineStr"/>
    </row>
    <row r="145" ht="23.25" customHeight="1" s="42">
      <c r="A145" s="52" t="inlineStr">
        <is>
          <t>PepsiCo</t>
        </is>
      </c>
      <c r="B145" s="52" t="inlineStr">
        <is>
          <t>p_erg_support</t>
        </is>
      </c>
      <c r="C145" s="52" t="inlineStr">
        <is>
          <t>Funded EQUAL LGBTQ+ employee resource group</t>
        </is>
      </c>
      <c r="D145" s="51" t="inlineStr">
        <is>
          <t>Civic</t>
        </is>
      </c>
      <c r="E145" s="51" t="inlineStr">
        <is>
          <t>Positive</t>
        </is>
      </c>
      <c r="F145" s="51" t="n">
        <v>15</v>
      </c>
      <c r="G145" s="51" t="n">
        <v>2024</v>
      </c>
      <c r="H145" s="52" t="inlineStr">
        <is>
          <t>https://web.archive.org/web/2024/https://www.pepsico.com/our-impact/diversity-equity-inclusion</t>
        </is>
      </c>
      <c r="I145" s="52" t="inlineStr">
        <is>
          <t>Archive</t>
        </is>
      </c>
      <c r="J145" s="51" t="inlineStr">
        <is>
          <t>No</t>
        </is>
      </c>
      <c r="K145" s="52" t="inlineStr"/>
    </row>
    <row r="146" ht="23.25" customHeight="1" s="42">
      <c r="A146" s="52" t="inlineStr">
        <is>
          <t>PepsiCo</t>
        </is>
      </c>
      <c r="B146" s="52" t="inlineStr">
        <is>
          <t>n_dei_removal</t>
        </is>
      </c>
      <c r="C146" s="52" t="inlineStr">
        <is>
          <t>Ended DEI representation goals; restructured chief DEI officer role</t>
        </is>
      </c>
      <c r="D146" s="51" t="inlineStr">
        <is>
          <t>—</t>
        </is>
      </c>
      <c r="E146" s="51" t="inlineStr">
        <is>
          <t>Negative</t>
        </is>
      </c>
      <c r="F146" s="51" t="n">
        <v>-32</v>
      </c>
      <c r="G146" s="51" t="n">
        <v>2025</v>
      </c>
      <c r="H146" s="52" t="inlineStr">
        <is>
          <t>https://www.12news.com/article/news/nation-world/differences-pepsico-and-coca-cola-diversity-programs/507-ef02b553-d678-4157-a2dc-eb70a22589aa</t>
        </is>
      </c>
      <c r="I146" s="52" t="inlineStr">
        <is>
          <t>News</t>
        </is>
      </c>
      <c r="J146" s="51" t="inlineStr">
        <is>
          <t>Yes</t>
        </is>
      </c>
      <c r="K146" s="52" t="inlineStr">
        <is>
          <t>Archived before-state: https://web.archive.org/web/2024/https://www.pepsico.com/our-impact/diversity-equity-inclusion</t>
        </is>
      </c>
    </row>
    <row r="147" ht="23.25" customHeight="1" s="42">
      <c r="A147" s="52" t="inlineStr">
        <is>
          <t>PepsiCo</t>
        </is>
      </c>
      <c r="B147" s="52" t="inlineStr">
        <is>
          <t>n_pride_retreat</t>
        </is>
      </c>
      <c r="C147" s="52" t="inlineStr">
        <is>
          <t>Withdrew/scaled back NYC Pride sponsorship after years as a leading donor</t>
        </is>
      </c>
      <c r="D147" s="51" t="inlineStr">
        <is>
          <t>—</t>
        </is>
      </c>
      <c r="E147" s="51" t="inlineStr">
        <is>
          <t>Negative</t>
        </is>
      </c>
      <c r="F147" s="51" t="n">
        <v>-22</v>
      </c>
      <c r="G147" s="51" t="n">
        <v>2025</v>
      </c>
      <c r="H147" s="52" t="inlineStr">
        <is>
          <t>https://www.advocate.com/news/companies-that-stopped-sponsoring-pride</t>
        </is>
      </c>
      <c r="I147" s="52" t="inlineStr">
        <is>
          <t>News</t>
        </is>
      </c>
      <c r="J147" s="51" t="inlineStr">
        <is>
          <t>Yes</t>
        </is>
      </c>
      <c r="K147" s="52" t="inlineStr"/>
    </row>
    <row r="148" ht="23.25" customHeight="1" s="42">
      <c r="A148" s="52" t="inlineStr">
        <is>
          <t>Anheuser-Busch InBev</t>
        </is>
      </c>
      <c r="B148" s="52" t="inlineStr">
        <is>
          <t>p_logo_rainbow</t>
        </is>
      </c>
      <c r="C148" s="52" t="inlineStr">
        <is>
          <t>Bud Light rainbow packaging/branding history</t>
        </is>
      </c>
      <c r="D148" s="51" t="inlineStr">
        <is>
          <t>Cosmetic</t>
        </is>
      </c>
      <c r="E148" s="51" t="inlineStr">
        <is>
          <t>Positive</t>
        </is>
      </c>
      <c r="F148" s="51" t="n">
        <v>3</v>
      </c>
      <c r="G148" s="51" t="n">
        <v>2023</v>
      </c>
      <c r="H148" s="52" t="inlineStr">
        <is>
          <t>https://web.archive.org/web/2023/https://www.anheuser-busch.com/community</t>
        </is>
      </c>
      <c r="I148" s="52" t="inlineStr">
        <is>
          <t>Archive</t>
        </is>
      </c>
      <c r="J148" s="51" t="inlineStr">
        <is>
          <t>No</t>
        </is>
      </c>
      <c r="K148" s="52" t="inlineStr"/>
    </row>
    <row r="149" ht="23.25" customHeight="1" s="42">
      <c r="A149" s="52" t="inlineStr">
        <is>
          <t>Anheuser-Busch InBev</t>
        </is>
      </c>
      <c r="B149" s="52" t="inlineStr">
        <is>
          <t>p_merch_collection</t>
        </is>
      </c>
      <c r="C149" s="52" t="inlineStr">
        <is>
          <t>Pride-themed packaging and merchandise across brands</t>
        </is>
      </c>
      <c r="D149" s="51" t="inlineStr">
        <is>
          <t>Commercial</t>
        </is>
      </c>
      <c r="E149" s="51" t="inlineStr">
        <is>
          <t>Positive</t>
        </is>
      </c>
      <c r="F149" s="51" t="n">
        <v>6</v>
      </c>
      <c r="G149" s="51" t="n">
        <v>2023</v>
      </c>
      <c r="H149" s="52" t="inlineStr">
        <is>
          <t>https://web.archive.org/web/2023/https://www.anheuser-busch.com/community</t>
        </is>
      </c>
      <c r="I149" s="52" t="inlineStr">
        <is>
          <t>Archive</t>
        </is>
      </c>
      <c r="J149" s="51" t="inlineStr">
        <is>
          <t>No</t>
        </is>
      </c>
      <c r="K149" s="52" t="inlineStr"/>
    </row>
    <row r="150" ht="23.25" customHeight="1" s="42">
      <c r="A150" s="52" t="inlineStr">
        <is>
          <t>Anheuser-Busch InBev</t>
        </is>
      </c>
      <c r="B150" s="52" t="inlineStr">
        <is>
          <t>p_collab</t>
        </is>
      </c>
      <c r="C150" s="52" t="inlineStr">
        <is>
          <t>Bud Light commercial partnership with trans influencer Dylan Mulvaney</t>
        </is>
      </c>
      <c r="D150" s="51" t="inlineStr">
        <is>
          <t>Commercial</t>
        </is>
      </c>
      <c r="E150" s="51" t="inlineStr">
        <is>
          <t>Positive</t>
        </is>
      </c>
      <c r="F150" s="51" t="n">
        <v>8</v>
      </c>
      <c r="G150" s="51" t="n">
        <v>2023</v>
      </c>
      <c r="H150" s="52" t="inlineStr">
        <is>
          <t>https://www.advocate.com/business/has-bud-light-lost-sales</t>
        </is>
      </c>
      <c r="I150" s="52" t="inlineStr">
        <is>
          <t>News</t>
        </is>
      </c>
      <c r="J150" s="51" t="inlineStr">
        <is>
          <t>No</t>
        </is>
      </c>
      <c r="K150" s="52" t="inlineStr"/>
    </row>
    <row r="151" ht="23.25" customHeight="1" s="42">
      <c r="A151" s="52" t="inlineStr">
        <is>
          <t>Anheuser-Busch InBev</t>
        </is>
      </c>
      <c r="B151" s="52" t="inlineStr">
        <is>
          <t>p_parade_sponsor</t>
        </is>
      </c>
      <c r="C151" s="52" t="inlineStr">
        <is>
          <t>~30 years of St. Louis Pride sponsorship; SF and Columbus Pride sponsorships (all ended by 2025)</t>
        </is>
      </c>
      <c r="D151" s="51" t="inlineStr">
        <is>
          <t>Civic</t>
        </is>
      </c>
      <c r="E151" s="51" t="inlineStr">
        <is>
          <t>Positive</t>
        </is>
      </c>
      <c r="F151" s="51" t="n">
        <v>12</v>
      </c>
      <c r="G151" s="51" t="n">
        <v>2024</v>
      </c>
      <c r="H151" s="52" t="inlineStr">
        <is>
          <t>https://www.nbcnews.com/nbc-out/out-news/dei-rollbacks-corporations-pull-sponsorship-pride-parades-rcna200330</t>
        </is>
      </c>
      <c r="I151" s="52" t="inlineStr">
        <is>
          <t>News</t>
        </is>
      </c>
      <c r="J151" s="51" t="inlineStr">
        <is>
          <t>No</t>
        </is>
      </c>
      <c r="K151" s="52" t="inlineStr"/>
    </row>
    <row r="152" ht="23.25" customHeight="1" s="42">
      <c r="A152" s="52" t="inlineStr">
        <is>
          <t>Anheuser-Busch InBev</t>
        </is>
      </c>
      <c r="B152" s="52" t="inlineStr">
        <is>
          <t>n_selective</t>
        </is>
      </c>
      <c r="C152" s="52" t="inlineStr">
        <is>
          <t>Abandoned trans partner Dylan Mulvaney under pressure: no public defense, execs on leave, reassurance messaging to boycotters; HRC docked its CEI score</t>
        </is>
      </c>
      <c r="D152" s="51" t="inlineStr">
        <is>
          <t>—</t>
        </is>
      </c>
      <c r="E152" s="51" t="inlineStr">
        <is>
          <t>Negative</t>
        </is>
      </c>
      <c r="F152" s="51" t="n">
        <v>-10</v>
      </c>
      <c r="G152" s="51" t="n">
        <v>2023</v>
      </c>
      <c r="H152" s="52" t="inlineStr">
        <is>
          <t>https://www.advocate.com/business/has-bud-light-lost-sales</t>
        </is>
      </c>
      <c r="I152" s="52" t="inlineStr">
        <is>
          <t>News</t>
        </is>
      </c>
      <c r="J152" s="51" t="inlineStr">
        <is>
          <t>No</t>
        </is>
      </c>
      <c r="K152" s="52" t="inlineStr"/>
    </row>
    <row r="153" ht="23.25" customHeight="1" s="42">
      <c r="A153" s="52" t="inlineStr">
        <is>
          <t>Anheuser-Busch InBev</t>
        </is>
      </c>
      <c r="B153" s="52" t="inlineStr">
        <is>
          <t>n_pride_retreat</t>
        </is>
      </c>
      <c r="C153" s="52" t="inlineStr">
        <is>
          <t>Publicly retreated from its trans-inclusive campaign and Pride commitments amid the 2023 boycott (CEO statement distancing the brand; marketing leadership placed on leave)</t>
        </is>
      </c>
      <c r="D153" s="51" t="inlineStr">
        <is>
          <t>—</t>
        </is>
      </c>
      <c r="E153" s="51" t="inlineStr">
        <is>
          <t>Negative</t>
        </is>
      </c>
      <c r="F153" s="51" t="n">
        <v>-22</v>
      </c>
      <c r="G153" s="51" t="n">
        <v>2023</v>
      </c>
      <c r="H153" s="52" t="inlineStr">
        <is>
          <t>https://en.wikipedia.org/wiki/Bud_Light_boycott</t>
        </is>
      </c>
      <c r="I153" s="52" t="inlineStr">
        <is>
          <t>News</t>
        </is>
      </c>
      <c r="J153" s="51" t="inlineStr">
        <is>
          <t>No</t>
        </is>
      </c>
      <c r="K153" s="52" t="inlineStr"/>
    </row>
    <row r="154" ht="23.25" customHeight="1" s="42">
      <c r="A154" s="52" t="inlineStr">
        <is>
          <t>Anheuser-Busch InBev</t>
        </is>
      </c>
      <c r="B154" s="52" t="inlineStr">
        <is>
          <t>n_pride_retreat</t>
        </is>
      </c>
      <c r="C154" s="52" t="inlineStr">
        <is>
          <t>Withdrew from SF Pride, Columbus Pride, and 30-year hometown St. Louis Pride sponsorship ($150K shortfall)</t>
        </is>
      </c>
      <c r="D154" s="51" t="inlineStr">
        <is>
          <t>—</t>
        </is>
      </c>
      <c r="E154" s="51" t="inlineStr">
        <is>
          <t>Negative</t>
        </is>
      </c>
      <c r="F154" s="51" t="n">
        <v>-22</v>
      </c>
      <c r="G154" s="51" t="n">
        <v>2025</v>
      </c>
      <c r="H154" s="52" t="inlineStr">
        <is>
          <t>https://www.advocate.com/news/companies-that-stopped-sponsoring-pride</t>
        </is>
      </c>
      <c r="I154" s="52" t="inlineStr">
        <is>
          <t>News</t>
        </is>
      </c>
      <c r="J154" s="51" t="inlineStr">
        <is>
          <t>Yes</t>
        </is>
      </c>
      <c r="K154" s="52" t="inlineStr"/>
    </row>
    <row r="155" ht="23.25" customHeight="1" s="42">
      <c r="A155" s="52" t="inlineStr">
        <is>
          <t>Whole Foods</t>
        </is>
      </c>
      <c r="B155" s="52" t="inlineStr">
        <is>
          <t>p_generic_post</t>
        </is>
      </c>
      <c r="C155" s="52" t="inlineStr">
        <is>
          <t>Local/regional Pride Month engagement and posts</t>
        </is>
      </c>
      <c r="D155" s="51" t="inlineStr">
        <is>
          <t>Cosmetic</t>
        </is>
      </c>
      <c r="E155" s="51" t="inlineStr">
        <is>
          <t>Positive</t>
        </is>
      </c>
      <c r="F155" s="51" t="n">
        <v>2</v>
      </c>
      <c r="G155" s="51" t="n">
        <v>2024</v>
      </c>
      <c r="H155" s="52" t="inlineStr">
        <is>
          <t>https://web.archive.org/web/2024/https://www.wholefoodsmarket.com/company-info</t>
        </is>
      </c>
      <c r="I155" s="52" t="inlineStr">
        <is>
          <t>Archive</t>
        </is>
      </c>
      <c r="J155" s="51" t="inlineStr">
        <is>
          <t>No</t>
        </is>
      </c>
      <c r="K155" s="52" t="inlineStr"/>
    </row>
    <row r="156" ht="23.25" customHeight="1" s="42">
      <c r="A156" s="52" t="inlineStr">
        <is>
          <t>JPMorgan Chase</t>
        </is>
      </c>
      <c r="B156" s="52" t="inlineStr">
        <is>
          <t>p_generic_post</t>
        </is>
      </c>
      <c r="C156" s="52" t="inlineStr">
        <is>
          <t>Annual Pride Month posts and branding</t>
        </is>
      </c>
      <c r="D156" s="51" t="inlineStr">
        <is>
          <t>Cosmetic</t>
        </is>
      </c>
      <c r="E156" s="51" t="inlineStr">
        <is>
          <t>Positive</t>
        </is>
      </c>
      <c r="F156" s="51" t="n">
        <v>2</v>
      </c>
      <c r="G156" s="51" t="n">
        <v>2024</v>
      </c>
      <c r="H156" s="52" t="inlineStr">
        <is>
          <t>https://web.archive.org/web/2024/https://www.jpmorganchase.com/impact/people/diversity-equity-inclusion</t>
        </is>
      </c>
      <c r="I156" s="52" t="inlineStr">
        <is>
          <t>Archive</t>
        </is>
      </c>
      <c r="J156" s="51" t="inlineStr">
        <is>
          <t>No</t>
        </is>
      </c>
      <c r="K156" s="52" t="inlineStr"/>
    </row>
    <row r="157" ht="23.25" customHeight="1" s="42">
      <c r="A157" s="52" t="inlineStr">
        <is>
          <t>JPMorgan Chase</t>
        </is>
      </c>
      <c r="B157" s="52" t="inlineStr">
        <is>
          <t>p_erg_support</t>
        </is>
      </c>
      <c r="C157" s="52" t="inlineStr">
        <is>
          <t>Funded PRIDE business resource group</t>
        </is>
      </c>
      <c r="D157" s="51" t="inlineStr">
        <is>
          <t>Civic</t>
        </is>
      </c>
      <c r="E157" s="51" t="inlineStr">
        <is>
          <t>Positive</t>
        </is>
      </c>
      <c r="F157" s="51" t="n">
        <v>15</v>
      </c>
      <c r="G157" s="51" t="n">
        <v>2025</v>
      </c>
      <c r="H157" s="52" t="inlineStr">
        <is>
          <t>https://web.archive.org/web/2024/https://www.jpmorganchase.com/impact/people/diversity-equity-inclusion</t>
        </is>
      </c>
      <c r="I157" s="52" t="inlineStr">
        <is>
          <t>Archive</t>
        </is>
      </c>
      <c r="J157" s="51" t="inlineStr">
        <is>
          <t>No</t>
        </is>
      </c>
      <c r="K157" s="52" t="inlineStr"/>
    </row>
    <row r="158" ht="23.25" customHeight="1" s="42">
      <c r="A158" s="52" t="inlineStr">
        <is>
          <t>JPMorgan Chase</t>
        </is>
      </c>
      <c r="B158" s="52" t="inlineStr">
        <is>
          <t>p_benefits</t>
        </is>
      </c>
      <c r="C158" s="52" t="inlineStr">
        <is>
          <t>Comprehensive partner and gender-affirming benefits (CEI-verified)</t>
        </is>
      </c>
      <c r="D158" s="51" t="inlineStr">
        <is>
          <t>Structural</t>
        </is>
      </c>
      <c r="E158" s="51" t="inlineStr">
        <is>
          <t>Positive</t>
        </is>
      </c>
      <c r="F158" s="51" t="n">
        <v>22</v>
      </c>
      <c r="G158" s="51" t="n">
        <v>2025</v>
      </c>
      <c r="H158" s="52" t="inlineStr">
        <is>
          <t>https://reports.hrc.org/corporate-equality-index-2025</t>
        </is>
      </c>
      <c r="I158" s="52" t="inlineStr">
        <is>
          <t>HRC</t>
        </is>
      </c>
      <c r="J158" s="51" t="inlineStr">
        <is>
          <t>No</t>
        </is>
      </c>
      <c r="K158" s="52" t="inlineStr"/>
    </row>
    <row r="159" ht="23.25" customHeight="1" s="42">
      <c r="A159" s="52" t="inlineStr">
        <is>
          <t>JPMorgan Chase</t>
        </is>
      </c>
      <c r="B159" s="52" t="inlineStr">
        <is>
          <t>p_leadership_vocal</t>
        </is>
      </c>
      <c r="C159" s="52" t="inlineStr">
        <is>
          <t>Dimon 2025: outreach to 'Black, Hispanic, LGBT, veteran, disabled communities' continues — 'We're not changing that'</t>
        </is>
      </c>
      <c r="D159" s="51" t="inlineStr">
        <is>
          <t>Structural</t>
        </is>
      </c>
      <c r="E159" s="51" t="inlineStr">
        <is>
          <t>Positive</t>
        </is>
      </c>
      <c r="F159" s="51" t="n">
        <v>18</v>
      </c>
      <c r="G159" s="51" t="n">
        <v>2025</v>
      </c>
      <c r="H159" s="52" t="inlineStr">
        <is>
          <t>https://www.bankingdive.com/news/goldman-dei-diversity-equity-inclusion-solomon-gnodde-moynihan-fraser-dimon/741251/</t>
        </is>
      </c>
      <c r="I159" s="52" t="inlineStr">
        <is>
          <t>News</t>
        </is>
      </c>
      <c r="J159" s="51" t="inlineStr">
        <is>
          <t>Yes</t>
        </is>
      </c>
      <c r="K159" s="52" t="inlineStr"/>
    </row>
    <row r="160" ht="23.25" customHeight="1" s="42">
      <c r="A160" s="52" t="inlineStr">
        <is>
          <t>Bank of America</t>
        </is>
      </c>
      <c r="B160" s="52" t="inlineStr">
        <is>
          <t>p_generic_post</t>
        </is>
      </c>
      <c r="C160" s="52" t="inlineStr">
        <is>
          <t>Annual Pride Month posts and sponsorship history</t>
        </is>
      </c>
      <c r="D160" s="51" t="inlineStr">
        <is>
          <t>Cosmetic</t>
        </is>
      </c>
      <c r="E160" s="51" t="inlineStr">
        <is>
          <t>Positive</t>
        </is>
      </c>
      <c r="F160" s="51" t="n">
        <v>2</v>
      </c>
      <c r="G160" s="51" t="n">
        <v>2024</v>
      </c>
      <c r="H160" s="52" t="inlineStr">
        <is>
          <t>https://web.archive.org/web/2024/https://about.bankofamerica.com/en/making-an-impact/diversity-inclusion</t>
        </is>
      </c>
      <c r="I160" s="52" t="inlineStr">
        <is>
          <t>Archive</t>
        </is>
      </c>
      <c r="J160" s="51" t="inlineStr">
        <is>
          <t>No</t>
        </is>
      </c>
      <c r="K160" s="52" t="inlineStr"/>
    </row>
    <row r="161" ht="23.25" customHeight="1" s="42">
      <c r="A161" s="52" t="inlineStr">
        <is>
          <t>Bank of America</t>
        </is>
      </c>
      <c r="B161" s="52" t="inlineStr">
        <is>
          <t>p_erg_support</t>
        </is>
      </c>
      <c r="C161" s="52" t="inlineStr">
        <is>
          <t>Funded LGBTQ+ Pride ERG</t>
        </is>
      </c>
      <c r="D161" s="51" t="inlineStr">
        <is>
          <t>Civic</t>
        </is>
      </c>
      <c r="E161" s="51" t="inlineStr">
        <is>
          <t>Positive</t>
        </is>
      </c>
      <c r="F161" s="51" t="n">
        <v>15</v>
      </c>
      <c r="G161" s="51" t="n">
        <v>2024</v>
      </c>
      <c r="H161" s="52" t="inlineStr">
        <is>
          <t>https://web.archive.org/web/2024/https://about.bankofamerica.com/en/making-an-impact/diversity-inclusion</t>
        </is>
      </c>
      <c r="I161" s="52" t="inlineStr">
        <is>
          <t>Archive</t>
        </is>
      </c>
      <c r="J161" s="51" t="inlineStr">
        <is>
          <t>No</t>
        </is>
      </c>
      <c r="K161" s="52" t="inlineStr"/>
    </row>
    <row r="162" ht="23.25" customHeight="1" s="42">
      <c r="A162" s="52" t="inlineStr">
        <is>
          <t>Bank of America</t>
        </is>
      </c>
      <c r="B162" s="52" t="inlineStr">
        <is>
          <t>p_benefits</t>
        </is>
      </c>
      <c r="C162" s="52" t="inlineStr">
        <is>
          <t>Inclusive partner and gender-affirming benefits (CEI-verified)</t>
        </is>
      </c>
      <c r="D162" s="51" t="inlineStr">
        <is>
          <t>Structural</t>
        </is>
      </c>
      <c r="E162" s="51" t="inlineStr">
        <is>
          <t>Positive</t>
        </is>
      </c>
      <c r="F162" s="51" t="n">
        <v>22</v>
      </c>
      <c r="G162" s="51" t="n">
        <v>2024</v>
      </c>
      <c r="H162" s="52" t="inlineStr">
        <is>
          <t>https://reports.hrc.org/corporate-equality-index-2025</t>
        </is>
      </c>
      <c r="I162" s="52" t="inlineStr">
        <is>
          <t>HRC</t>
        </is>
      </c>
      <c r="J162" s="51" t="inlineStr">
        <is>
          <t>No</t>
        </is>
      </c>
      <c r="K162" s="52" t="inlineStr"/>
    </row>
    <row r="163" ht="23.25" customHeight="1" s="42">
      <c r="A163" s="52" t="inlineStr">
        <is>
          <t>Bank of America</t>
        </is>
      </c>
      <c r="B163" s="52" t="inlineStr">
        <is>
          <t>n_dei_removal</t>
        </is>
      </c>
      <c r="C163" s="52" t="inlineStr">
        <is>
          <t>Scrubbed diversity language from 10-K; renamed DEI 'talent and opportunity'; rolled back diverse-slate initiatives</t>
        </is>
      </c>
      <c r="D163" s="51" t="inlineStr">
        <is>
          <t>—</t>
        </is>
      </c>
      <c r="E163" s="51" t="inlineStr">
        <is>
          <t>Negative</t>
        </is>
      </c>
      <c r="F163" s="51" t="n">
        <v>-32</v>
      </c>
      <c r="G163" s="51" t="n">
        <v>2025</v>
      </c>
      <c r="H163" s="52" t="inlineStr">
        <is>
          <t>https://www.bankingdive.com/news/goldman-dei-diversity-equity-inclusion-solomon-gnodde-moynihan-fraser-dimon/741251/</t>
        </is>
      </c>
      <c r="I163" s="52" t="inlineStr">
        <is>
          <t>News</t>
        </is>
      </c>
      <c r="J163" s="51" t="inlineStr">
        <is>
          <t>Yes</t>
        </is>
      </c>
      <c r="K163" s="52" t="inlineStr"/>
    </row>
    <row r="164" ht="23.25" customHeight="1" s="42">
      <c r="A164" s="52" t="inlineStr">
        <is>
          <t>Wells Fargo</t>
        </is>
      </c>
      <c r="B164" s="52" t="inlineStr">
        <is>
          <t>p_generic_post</t>
        </is>
      </c>
      <c r="C164" s="52" t="inlineStr">
        <is>
          <t>Annual Pride posts; pioneering LGBTQ+-targeted advertising since the 1990s</t>
        </is>
      </c>
      <c r="D164" s="51" t="inlineStr">
        <is>
          <t>Cosmetic</t>
        </is>
      </c>
      <c r="E164" s="51" t="inlineStr">
        <is>
          <t>Positive</t>
        </is>
      </c>
      <c r="F164" s="51" t="n">
        <v>2</v>
      </c>
      <c r="G164" s="51" t="n">
        <v>2024</v>
      </c>
      <c r="H164" s="52" t="inlineStr">
        <is>
          <t>https://web.archive.org/web/2024/https://www.wellsfargo.com/about/diversity/</t>
        </is>
      </c>
      <c r="I164" s="52" t="inlineStr">
        <is>
          <t>Archive</t>
        </is>
      </c>
      <c r="J164" s="51" t="inlineStr">
        <is>
          <t>No</t>
        </is>
      </c>
      <c r="K164" s="52" t="inlineStr"/>
    </row>
    <row r="165" ht="23.25" customHeight="1" s="42">
      <c r="A165" s="52" t="inlineStr">
        <is>
          <t>Wells Fargo</t>
        </is>
      </c>
      <c r="B165" s="52" t="inlineStr">
        <is>
          <t>p_erg_support</t>
        </is>
      </c>
      <c r="C165" s="52" t="inlineStr">
        <is>
          <t>Funded PRIDE employee resource group</t>
        </is>
      </c>
      <c r="D165" s="51" t="inlineStr">
        <is>
          <t>Civic</t>
        </is>
      </c>
      <c r="E165" s="51" t="inlineStr">
        <is>
          <t>Positive</t>
        </is>
      </c>
      <c r="F165" s="51" t="n">
        <v>15</v>
      </c>
      <c r="G165" s="51" t="n">
        <v>2024</v>
      </c>
      <c r="H165" s="52" t="inlineStr">
        <is>
          <t>https://web.archive.org/web/2024/https://www.wellsfargo.com/about/diversity/</t>
        </is>
      </c>
      <c r="I165" s="52" t="inlineStr">
        <is>
          <t>Archive</t>
        </is>
      </c>
      <c r="J165" s="51" t="inlineStr">
        <is>
          <t>No</t>
        </is>
      </c>
      <c r="K165" s="52" t="inlineStr"/>
    </row>
    <row r="166" ht="23.25" customHeight="1" s="42">
      <c r="A166" s="52" t="inlineStr">
        <is>
          <t>Wells Fargo</t>
        </is>
      </c>
      <c r="B166" s="52" t="inlineStr">
        <is>
          <t>p_benefits</t>
        </is>
      </c>
      <c r="C166" s="52" t="inlineStr">
        <is>
          <t>Inclusive partner and gender-affirming benefits (CEI-verified)</t>
        </is>
      </c>
      <c r="D166" s="51" t="inlineStr">
        <is>
          <t>Structural</t>
        </is>
      </c>
      <c r="E166" s="51" t="inlineStr">
        <is>
          <t>Positive</t>
        </is>
      </c>
      <c r="F166" s="51" t="n">
        <v>22</v>
      </c>
      <c r="G166" s="51" t="n">
        <v>2024</v>
      </c>
      <c r="H166" s="52" t="inlineStr">
        <is>
          <t>https://reports.hrc.org/corporate-equality-index-2025</t>
        </is>
      </c>
      <c r="I166" s="52" t="inlineStr">
        <is>
          <t>HRC</t>
        </is>
      </c>
      <c r="J166" s="51" t="inlineStr">
        <is>
          <t>No</t>
        </is>
      </c>
      <c r="K166" s="52" t="inlineStr"/>
    </row>
    <row r="167" ht="23.25" customHeight="1" s="42">
      <c r="A167" s="52" t="inlineStr">
        <is>
          <t>Wells Fargo</t>
        </is>
      </c>
      <c r="B167" s="52" t="inlineStr">
        <is>
          <t>n_dei_removal</t>
        </is>
      </c>
      <c r="C167" s="52" t="inlineStr">
        <is>
          <t>Dropped diverse-slate hiring requirement; scaled back DEI programs/language</t>
        </is>
      </c>
      <c r="D167" s="51" t="inlineStr">
        <is>
          <t>—</t>
        </is>
      </c>
      <c r="E167" s="51" t="inlineStr">
        <is>
          <t>Negative</t>
        </is>
      </c>
      <c r="F167" s="51" t="n">
        <v>-32</v>
      </c>
      <c r="G167" s="51" t="n">
        <v>2025</v>
      </c>
      <c r="H167" s="52" t="inlineStr">
        <is>
          <t>https://www.bankingdive.com/news/goldman-dei-diversity-equity-inclusion-solomon-gnodde-moynihan-fraser-dimon/741251/</t>
        </is>
      </c>
      <c r="I167" s="52" t="inlineStr">
        <is>
          <t>News</t>
        </is>
      </c>
      <c r="J167" s="51" t="inlineStr">
        <is>
          <t>Yes</t>
        </is>
      </c>
      <c r="K167" s="52" t="inlineStr"/>
    </row>
    <row r="168" ht="23.25" customHeight="1" s="42">
      <c r="A168" s="52" t="inlineStr">
        <is>
          <t>Goldman Sachs</t>
        </is>
      </c>
      <c r="B168" s="52" t="inlineStr">
        <is>
          <t>p_generic_post</t>
        </is>
      </c>
      <c r="C168" s="52" t="inlineStr">
        <is>
          <t>Annual Pride Month posts and branding</t>
        </is>
      </c>
      <c r="D168" s="51" t="inlineStr">
        <is>
          <t>Cosmetic</t>
        </is>
      </c>
      <c r="E168" s="51" t="inlineStr">
        <is>
          <t>Positive</t>
        </is>
      </c>
      <c r="F168" s="51" t="n">
        <v>2</v>
      </c>
      <c r="G168" s="51" t="n">
        <v>2024</v>
      </c>
      <c r="H168" s="52" t="inlineStr">
        <is>
          <t>https://web.archive.org/web/2024/https://www.goldmansachs.com/our-firm/people-and-culture/diversity-and-inclusion</t>
        </is>
      </c>
      <c r="I168" s="52" t="inlineStr">
        <is>
          <t>Archive</t>
        </is>
      </c>
      <c r="J168" s="51" t="inlineStr">
        <is>
          <t>No</t>
        </is>
      </c>
      <c r="K168" s="52" t="inlineStr"/>
    </row>
    <row r="169" ht="23.25" customHeight="1" s="42">
      <c r="A169" s="52" t="inlineStr">
        <is>
          <t>Goldman Sachs</t>
        </is>
      </c>
      <c r="B169" s="52" t="inlineStr">
        <is>
          <t>p_erg_support</t>
        </is>
      </c>
      <c r="C169" s="52" t="inlineStr">
        <is>
          <t>Funded LGBTQ+ employee network</t>
        </is>
      </c>
      <c r="D169" s="51" t="inlineStr">
        <is>
          <t>Civic</t>
        </is>
      </c>
      <c r="E169" s="51" t="inlineStr">
        <is>
          <t>Positive</t>
        </is>
      </c>
      <c r="F169" s="51" t="n">
        <v>15</v>
      </c>
      <c r="G169" s="51" t="n">
        <v>2024</v>
      </c>
      <c r="H169" s="52" t="inlineStr">
        <is>
          <t>https://web.archive.org/web/2024/https://www.goldmansachs.com/our-firm/people-and-culture/diversity-and-inclusion</t>
        </is>
      </c>
      <c r="I169" s="52" t="inlineStr">
        <is>
          <t>Archive</t>
        </is>
      </c>
      <c r="J169" s="51" t="inlineStr">
        <is>
          <t>No</t>
        </is>
      </c>
      <c r="K169" s="52" t="inlineStr"/>
    </row>
    <row r="170" ht="23.25" customHeight="1" s="42">
      <c r="A170" s="52" t="inlineStr">
        <is>
          <t>Goldman Sachs</t>
        </is>
      </c>
      <c r="B170" s="52" t="inlineStr">
        <is>
          <t>p_benefits</t>
        </is>
      </c>
      <c r="C170" s="52" t="inlineStr">
        <is>
          <t>Inclusive partner and gender-affirming benefits (CEI-verified)</t>
        </is>
      </c>
      <c r="D170" s="51" t="inlineStr">
        <is>
          <t>Structural</t>
        </is>
      </c>
      <c r="E170" s="51" t="inlineStr">
        <is>
          <t>Positive</t>
        </is>
      </c>
      <c r="F170" s="51" t="n">
        <v>22</v>
      </c>
      <c r="G170" s="51" t="n">
        <v>2024</v>
      </c>
      <c r="H170" s="52" t="inlineStr">
        <is>
          <t>https://reports.hrc.org/corporate-equality-index-2025</t>
        </is>
      </c>
      <c r="I170" s="52" t="inlineStr">
        <is>
          <t>HRC</t>
        </is>
      </c>
      <c r="J170" s="51" t="inlineStr">
        <is>
          <t>No</t>
        </is>
      </c>
      <c r="K170" s="52" t="inlineStr"/>
    </row>
    <row r="171" ht="23.25" customHeight="1" s="42">
      <c r="A171" s="52" t="inlineStr">
        <is>
          <t>Goldman Sachs</t>
        </is>
      </c>
      <c r="B171" s="52" t="inlineStr">
        <is>
          <t>n_dei_removal</t>
        </is>
      </c>
      <c r="C171" s="52" t="inlineStr">
        <is>
          <t>Canceled 2022 diversity targets, diverse-slate and IPO board-diversity requirements; scrubbed equity pages post-EO</t>
        </is>
      </c>
      <c r="D171" s="51" t="inlineStr">
        <is>
          <t>—</t>
        </is>
      </c>
      <c r="E171" s="51" t="inlineStr">
        <is>
          <t>Negative</t>
        </is>
      </c>
      <c r="F171" s="51" t="n">
        <v>-32</v>
      </c>
      <c r="G171" s="51" t="n">
        <v>2025</v>
      </c>
      <c r="H171" s="52" t="inlineStr">
        <is>
          <t>https://fortune.com/2025/02/27/goldman-sachs-erases-diversity-goals-gender-racial-equality-website-trump-dei-order/</t>
        </is>
      </c>
      <c r="I171" s="52" t="inlineStr">
        <is>
          <t>News</t>
        </is>
      </c>
      <c r="J171" s="51" t="inlineStr">
        <is>
          <t>Yes</t>
        </is>
      </c>
      <c r="K171" s="52" t="inlineStr">
        <is>
          <t>Archived before-state: https://web.archive.org/web/2024/https://www.goldmansachs.com/our-firm/people-and-culture/diversity-and-inclusion</t>
        </is>
      </c>
    </row>
    <row r="172" ht="23.25" customHeight="1" s="42">
      <c r="A172" s="52" t="inlineStr">
        <is>
          <t>American Express</t>
        </is>
      </c>
      <c r="B172" s="52" t="inlineStr">
        <is>
          <t>p_generic_post</t>
        </is>
      </c>
      <c r="C172" s="52" t="inlineStr">
        <is>
          <t>Annual Pride Month posts and branding</t>
        </is>
      </c>
      <c r="D172" s="51" t="inlineStr">
        <is>
          <t>Cosmetic</t>
        </is>
      </c>
      <c r="E172" s="51" t="inlineStr">
        <is>
          <t>Positive</t>
        </is>
      </c>
      <c r="F172" s="51" t="n">
        <v>2</v>
      </c>
      <c r="G172" s="51" t="n">
        <v>2024</v>
      </c>
      <c r="H172" s="52" t="inlineStr">
        <is>
          <t>https://web.archive.org/web/2024/https://www.americanexpress.com/en-us/company/diversity/</t>
        </is>
      </c>
      <c r="I172" s="52" t="inlineStr">
        <is>
          <t>Archive</t>
        </is>
      </c>
      <c r="J172" s="51" t="inlineStr">
        <is>
          <t>No</t>
        </is>
      </c>
      <c r="K172" s="52" t="inlineStr"/>
    </row>
    <row r="173" ht="23.25" customHeight="1" s="42">
      <c r="A173" s="52" t="inlineStr">
        <is>
          <t>American Express</t>
        </is>
      </c>
      <c r="B173" s="52" t="inlineStr">
        <is>
          <t>p_erg_support</t>
        </is>
      </c>
      <c r="C173" s="52" t="inlineStr">
        <is>
          <t>Funded PRIDE employee network</t>
        </is>
      </c>
      <c r="D173" s="51" t="inlineStr">
        <is>
          <t>Civic</t>
        </is>
      </c>
      <c r="E173" s="51" t="inlineStr">
        <is>
          <t>Positive</t>
        </is>
      </c>
      <c r="F173" s="51" t="n">
        <v>15</v>
      </c>
      <c r="G173" s="51" t="n">
        <v>2024</v>
      </c>
      <c r="H173" s="52" t="inlineStr">
        <is>
          <t>https://web.archive.org/web/2024/https://www.americanexpress.com/en-us/company/diversity/</t>
        </is>
      </c>
      <c r="I173" s="52" t="inlineStr">
        <is>
          <t>Archive</t>
        </is>
      </c>
      <c r="J173" s="51" t="inlineStr">
        <is>
          <t>No</t>
        </is>
      </c>
      <c r="K173" s="52" t="inlineStr"/>
    </row>
    <row r="174" ht="23.25" customHeight="1" s="42">
      <c r="A174" s="52" t="inlineStr">
        <is>
          <t>American Express</t>
        </is>
      </c>
      <c r="B174" s="52" t="inlineStr">
        <is>
          <t>p_benefits</t>
        </is>
      </c>
      <c r="C174" s="52" t="inlineStr">
        <is>
          <t>Inclusive partner and gender-affirming benefits (CEI-verified)</t>
        </is>
      </c>
      <c r="D174" s="51" t="inlineStr">
        <is>
          <t>Structural</t>
        </is>
      </c>
      <c r="E174" s="51" t="inlineStr">
        <is>
          <t>Positive</t>
        </is>
      </c>
      <c r="F174" s="51" t="n">
        <v>22</v>
      </c>
      <c r="G174" s="51" t="n">
        <v>2024</v>
      </c>
      <c r="H174" s="52" t="inlineStr">
        <is>
          <t>https://reports.hrc.org/corporate-equality-index-2025</t>
        </is>
      </c>
      <c r="I174" s="52" t="inlineStr">
        <is>
          <t>HRC</t>
        </is>
      </c>
      <c r="J174" s="51" t="inlineStr">
        <is>
          <t>No</t>
        </is>
      </c>
      <c r="K174" s="52" t="inlineStr"/>
    </row>
    <row r="175" ht="23.25" customHeight="1" s="42">
      <c r="A175" s="52" t="inlineStr">
        <is>
          <t>American Express</t>
        </is>
      </c>
      <c r="B175" s="52" t="inlineStr">
        <is>
          <t>n_dei_removal</t>
        </is>
      </c>
      <c r="C175" s="52" t="inlineStr">
        <is>
          <t>Removed DEI criteria from board selection process; trimmed diversity language</t>
        </is>
      </c>
      <c r="D175" s="51" t="inlineStr">
        <is>
          <t>—</t>
        </is>
      </c>
      <c r="E175" s="51" t="inlineStr">
        <is>
          <t>Negative</t>
        </is>
      </c>
      <c r="F175" s="51" t="n">
        <v>-32</v>
      </c>
      <c r="G175" s="51" t="n">
        <v>2025</v>
      </c>
      <c r="H175" s="52" t="inlineStr">
        <is>
          <t>https://simplywall.st/stocks/us/diversified-financials/nyse-axp/american-express/news/american-express-drops-board-dei-criteria-as-valuation-scree/amp</t>
        </is>
      </c>
      <c r="I175" s="52" t="inlineStr">
        <is>
          <t>News</t>
        </is>
      </c>
      <c r="J175" s="51" t="inlineStr">
        <is>
          <t>Yes</t>
        </is>
      </c>
      <c r="K175" s="52" t="inlineStr"/>
    </row>
    <row r="176" ht="23.25" customHeight="1" s="42">
      <c r="A176" s="52" t="inlineStr">
        <is>
          <t>Visa</t>
        </is>
      </c>
      <c r="B176" s="52" t="inlineStr">
        <is>
          <t>p_generic_post</t>
        </is>
      </c>
      <c r="C176" s="52" t="inlineStr">
        <is>
          <t>Annual Pride Month posts and branding</t>
        </is>
      </c>
      <c r="D176" s="51" t="inlineStr">
        <is>
          <t>Cosmetic</t>
        </is>
      </c>
      <c r="E176" s="51" t="inlineStr">
        <is>
          <t>Positive</t>
        </is>
      </c>
      <c r="F176" s="51" t="n">
        <v>2</v>
      </c>
      <c r="G176" s="51" t="n">
        <v>2024</v>
      </c>
      <c r="H176" s="52" t="inlineStr">
        <is>
          <t>https://web.archive.org/web/2024/https://usa.visa.com/about-visa/diversity-inclusion.html</t>
        </is>
      </c>
      <c r="I176" s="52" t="inlineStr">
        <is>
          <t>Archive</t>
        </is>
      </c>
      <c r="J176" s="51" t="inlineStr">
        <is>
          <t>No</t>
        </is>
      </c>
      <c r="K176" s="52" t="inlineStr"/>
    </row>
    <row r="177" ht="23.25" customHeight="1" s="42">
      <c r="A177" s="52" t="inlineStr">
        <is>
          <t>Visa</t>
        </is>
      </c>
      <c r="B177" s="52" t="inlineStr">
        <is>
          <t>p_erg_support</t>
        </is>
      </c>
      <c r="C177" s="52" t="inlineStr">
        <is>
          <t>Funded LGBTQ+ employee resource group</t>
        </is>
      </c>
      <c r="D177" s="51" t="inlineStr">
        <is>
          <t>Civic</t>
        </is>
      </c>
      <c r="E177" s="51" t="inlineStr">
        <is>
          <t>Positive</t>
        </is>
      </c>
      <c r="F177" s="51" t="n">
        <v>15</v>
      </c>
      <c r="G177" s="51" t="n">
        <v>2024</v>
      </c>
      <c r="H177" s="52" t="inlineStr">
        <is>
          <t>https://web.archive.org/web/2024/https://usa.visa.com/about-visa/diversity-inclusion.html</t>
        </is>
      </c>
      <c r="I177" s="52" t="inlineStr">
        <is>
          <t>Archive</t>
        </is>
      </c>
      <c r="J177" s="51" t="inlineStr">
        <is>
          <t>No</t>
        </is>
      </c>
      <c r="K177" s="52" t="inlineStr"/>
    </row>
    <row r="178" ht="23.25" customHeight="1" s="42">
      <c r="A178" s="52" t="inlineStr">
        <is>
          <t>Mastercard</t>
        </is>
      </c>
      <c r="B178" s="52" t="inlineStr">
        <is>
          <t>p_logo_rainbow</t>
        </is>
      </c>
      <c r="C178" s="52" t="inlineStr">
        <is>
          <t>Pride campaign branding</t>
        </is>
      </c>
      <c r="D178" s="51" t="inlineStr">
        <is>
          <t>Cosmetic</t>
        </is>
      </c>
      <c r="E178" s="51" t="inlineStr">
        <is>
          <t>Positive</t>
        </is>
      </c>
      <c r="F178" s="51" t="n">
        <v>3</v>
      </c>
      <c r="G178" s="51" t="n">
        <v>2024</v>
      </c>
      <c r="H178" s="52" t="inlineStr">
        <is>
          <t>https://web.archive.org/web/2024/https://www.mastercard.us/en-us/vision/who-we-are/diversity-inclusion.html</t>
        </is>
      </c>
      <c r="I178" s="52" t="inlineStr">
        <is>
          <t>Archive</t>
        </is>
      </c>
      <c r="J178" s="51" t="inlineStr">
        <is>
          <t>No</t>
        </is>
      </c>
      <c r="K178" s="52" t="inlineStr"/>
    </row>
    <row r="179" ht="23.25" customHeight="1" s="42">
      <c r="A179" s="52" t="inlineStr">
        <is>
          <t>Mastercard</t>
        </is>
      </c>
      <c r="B179" s="52" t="inlineStr">
        <is>
          <t>p_generic_post</t>
        </is>
      </c>
      <c r="C179" s="52" t="inlineStr">
        <is>
          <t>Annual Pride Month posts</t>
        </is>
      </c>
      <c r="D179" s="51" t="inlineStr">
        <is>
          <t>Cosmetic</t>
        </is>
      </c>
      <c r="E179" s="51" t="inlineStr">
        <is>
          <t>Positive</t>
        </is>
      </c>
      <c r="F179" s="51" t="n">
        <v>2</v>
      </c>
      <c r="G179" s="51" t="n">
        <v>2024</v>
      </c>
      <c r="H179" s="52" t="inlineStr">
        <is>
          <t>https://web.archive.org/web/2024/https://www.mastercard.us/en-us/vision/who-we-are/diversity-inclusion.html</t>
        </is>
      </c>
      <c r="I179" s="52" t="inlineStr">
        <is>
          <t>Archive</t>
        </is>
      </c>
      <c r="J179" s="51" t="inlineStr">
        <is>
          <t>No</t>
        </is>
      </c>
      <c r="K179" s="52" t="inlineStr"/>
    </row>
    <row r="180" ht="23.25" customHeight="1" s="42">
      <c r="A180" s="52" t="inlineStr">
        <is>
          <t>Mastercard</t>
        </is>
      </c>
      <c r="B180" s="52" t="inlineStr">
        <is>
          <t>p_community_events</t>
        </is>
      </c>
      <c r="C180" s="52" t="inlineStr">
        <is>
          <t>True Name card initiative (2019—) enabling trans/nonbinary customers to use chosen names; ongoing community partnerships</t>
        </is>
      </c>
      <c r="D180" s="51" t="inlineStr">
        <is>
          <t>Civic</t>
        </is>
      </c>
      <c r="E180" s="51" t="inlineStr">
        <is>
          <t>Positive</t>
        </is>
      </c>
      <c r="F180" s="51" t="n">
        <v>12</v>
      </c>
      <c r="G180" s="51" t="n">
        <v>2019</v>
      </c>
      <c r="H180" s="52" t="inlineStr">
        <is>
          <t>https://www.mastercard.us/en-us/personal/find-a-card/true-name.html</t>
        </is>
      </c>
      <c r="I180" s="52" t="inlineStr">
        <is>
          <t>Company</t>
        </is>
      </c>
      <c r="J180" s="51" t="inlineStr">
        <is>
          <t>No</t>
        </is>
      </c>
      <c r="K180" s="52" t="inlineStr"/>
    </row>
    <row r="181" ht="23.25" customHeight="1" s="42">
      <c r="A181" s="52" t="inlineStr">
        <is>
          <t>Mastercard</t>
        </is>
      </c>
      <c r="B181" s="52" t="inlineStr">
        <is>
          <t>p_parade_sponsor</t>
        </is>
      </c>
      <c r="C181" s="52" t="inlineStr">
        <is>
          <t>NYC Pride Platinum-level sponsor ($175K tier) for several years (withdrawn 2025)</t>
        </is>
      </c>
      <c r="D181" s="51" t="inlineStr">
        <is>
          <t>Civic</t>
        </is>
      </c>
      <c r="E181" s="51" t="inlineStr">
        <is>
          <t>Positive</t>
        </is>
      </c>
      <c r="F181" s="51" t="n">
        <v>12</v>
      </c>
      <c r="G181" s="51" t="n">
        <v>2024</v>
      </c>
      <c r="H181" s="52" t="inlineStr">
        <is>
          <t>https://www.advocate.com/news/companies-that-stopped-sponsoring-pride</t>
        </is>
      </c>
      <c r="I181" s="52" t="inlineStr">
        <is>
          <t>News</t>
        </is>
      </c>
      <c r="J181" s="51" t="inlineStr">
        <is>
          <t>No</t>
        </is>
      </c>
      <c r="K181" s="52" t="inlineStr"/>
    </row>
    <row r="182" ht="23.25" customHeight="1" s="42">
      <c r="A182" s="52" t="inlineStr">
        <is>
          <t>Mastercard</t>
        </is>
      </c>
      <c r="B182" s="52" t="inlineStr">
        <is>
          <t>p_parade_march</t>
        </is>
      </c>
      <c r="C182" s="52" t="inlineStr">
        <is>
          <t>≈100 employees and executives marching in 2026 Pride events with increased company spending</t>
        </is>
      </c>
      <c r="D182" s="51" t="inlineStr">
        <is>
          <t>Civic</t>
        </is>
      </c>
      <c r="E182" s="51" t="inlineStr">
        <is>
          <t>Positive</t>
        </is>
      </c>
      <c r="F182" s="51" t="n">
        <v>10</v>
      </c>
      <c r="G182" s="51" t="n">
        <v>2026</v>
      </c>
      <c r="H182" s="52" t="inlineStr">
        <is>
          <t>https://www.bloomberg.com/news/articles/2026-06-08/u-s-pride-events-claw-back-business-sponsorships-after-anti-dei-retreat</t>
        </is>
      </c>
      <c r="I182" s="52" t="inlineStr">
        <is>
          <t>News</t>
        </is>
      </c>
      <c r="J182" s="51" t="inlineStr">
        <is>
          <t>Yes</t>
        </is>
      </c>
      <c r="K182" s="52" t="inlineStr"/>
    </row>
    <row r="183" ht="23.25" customHeight="1" s="42">
      <c r="A183" s="52" t="inlineStr">
        <is>
          <t>Mastercard</t>
        </is>
      </c>
      <c r="B183" s="52" t="inlineStr">
        <is>
          <t>n_pride_retreat</t>
        </is>
      </c>
      <c r="C183" s="52" t="inlineStr">
        <is>
          <t>Withdrew NYC Pride Platinum sponsorship for 2025</t>
        </is>
      </c>
      <c r="D183" s="51" t="inlineStr">
        <is>
          <t>—</t>
        </is>
      </c>
      <c r="E183" s="51" t="inlineStr">
        <is>
          <t>Negative</t>
        </is>
      </c>
      <c r="F183" s="51" t="n">
        <v>-22</v>
      </c>
      <c r="G183" s="51" t="n">
        <v>2025</v>
      </c>
      <c r="H183" s="52" t="inlineStr">
        <is>
          <t>https://www.advocate.com/news/companies-that-stopped-sponsoring-pride</t>
        </is>
      </c>
      <c r="I183" s="52" t="inlineStr">
        <is>
          <t>News</t>
        </is>
      </c>
      <c r="J183" s="51" t="inlineStr">
        <is>
          <t>Yes</t>
        </is>
      </c>
      <c r="K183" s="52" t="inlineStr"/>
    </row>
    <row r="184" ht="23.25" customHeight="1" s="42">
      <c r="A184" s="52" t="inlineStr">
        <is>
          <t>Charles Schwab</t>
        </is>
      </c>
      <c r="B184" s="52" t="inlineStr">
        <is>
          <t>p_generic_post</t>
        </is>
      </c>
      <c r="C184" s="52" t="inlineStr">
        <is>
          <t>Occasional inclusion/Pride posts</t>
        </is>
      </c>
      <c r="D184" s="51" t="inlineStr">
        <is>
          <t>Cosmetic</t>
        </is>
      </c>
      <c r="E184" s="51" t="inlineStr">
        <is>
          <t>Positive</t>
        </is>
      </c>
      <c r="F184" s="51" t="n">
        <v>2</v>
      </c>
      <c r="G184" s="51" t="n">
        <v>2024</v>
      </c>
      <c r="H184" s="52" t="inlineStr">
        <is>
          <t>https://web.archive.org/web/2024/https://www.aboutschwab.com/diversity</t>
        </is>
      </c>
      <c r="I184" s="52" t="inlineStr">
        <is>
          <t>Archive</t>
        </is>
      </c>
      <c r="J184" s="51" t="inlineStr">
        <is>
          <t>No</t>
        </is>
      </c>
      <c r="K184" s="52" t="inlineStr"/>
    </row>
    <row r="185" ht="23.25" customHeight="1" s="42">
      <c r="A185" s="52" t="inlineStr">
        <is>
          <t>Citigroup</t>
        </is>
      </c>
      <c r="B185" s="52" t="inlineStr">
        <is>
          <t>p_generic_post</t>
        </is>
      </c>
      <c r="C185" s="52" t="inlineStr">
        <is>
          <t>Annual Pride Month posts and branding</t>
        </is>
      </c>
      <c r="D185" s="51" t="inlineStr">
        <is>
          <t>Cosmetic</t>
        </is>
      </c>
      <c r="E185" s="51" t="inlineStr">
        <is>
          <t>Positive</t>
        </is>
      </c>
      <c r="F185" s="51" t="n">
        <v>2</v>
      </c>
      <c r="G185" s="51" t="n">
        <v>2024</v>
      </c>
      <c r="H185" s="52" t="inlineStr">
        <is>
          <t>https://web.archive.org/web/2024/https://www.citigroup.com/global/about-us/diversity-equity-inclusion</t>
        </is>
      </c>
      <c r="I185" s="52" t="inlineStr">
        <is>
          <t>Archive</t>
        </is>
      </c>
      <c r="J185" s="51" t="inlineStr">
        <is>
          <t>No</t>
        </is>
      </c>
      <c r="K185" s="52" t="inlineStr"/>
    </row>
    <row r="186" ht="23.25" customHeight="1" s="42">
      <c r="A186" s="52" t="inlineStr">
        <is>
          <t>Citigroup</t>
        </is>
      </c>
      <c r="B186" s="52" t="inlineStr">
        <is>
          <t>p_parade_sponsor</t>
        </is>
      </c>
      <c r="C186" s="52" t="inlineStr">
        <is>
          <t>NYC Pride sponsorship for multiple years (scaled back 2025)</t>
        </is>
      </c>
      <c r="D186" s="51" t="inlineStr">
        <is>
          <t>Civic</t>
        </is>
      </c>
      <c r="E186" s="51" t="inlineStr">
        <is>
          <t>Positive</t>
        </is>
      </c>
      <c r="F186" s="51" t="n">
        <v>12</v>
      </c>
      <c r="G186" s="51" t="n">
        <v>2024</v>
      </c>
      <c r="H186" s="52" t="inlineStr">
        <is>
          <t>https://www.advocate.com/news/companies-that-stopped-sponsoring-pride</t>
        </is>
      </c>
      <c r="I186" s="52" t="inlineStr">
        <is>
          <t>News</t>
        </is>
      </c>
      <c r="J186" s="51" t="inlineStr">
        <is>
          <t>No</t>
        </is>
      </c>
      <c r="K186" s="52" t="inlineStr"/>
    </row>
    <row r="187" ht="23.25" customHeight="1" s="42">
      <c r="A187" s="52" t="inlineStr">
        <is>
          <t>Citigroup</t>
        </is>
      </c>
      <c r="B187" s="52" t="inlineStr">
        <is>
          <t>p_erg_support</t>
        </is>
      </c>
      <c r="C187" s="52" t="inlineStr">
        <is>
          <t>Funded Pride employee network</t>
        </is>
      </c>
      <c r="D187" s="51" t="inlineStr">
        <is>
          <t>Civic</t>
        </is>
      </c>
      <c r="E187" s="51" t="inlineStr">
        <is>
          <t>Positive</t>
        </is>
      </c>
      <c r="F187" s="51" t="n">
        <v>15</v>
      </c>
      <c r="G187" s="51" t="n">
        <v>2024</v>
      </c>
      <c r="H187" s="52" t="inlineStr">
        <is>
          <t>https://web.archive.org/web/2024/https://www.citigroup.com/global/about-us/diversity-equity-inclusion</t>
        </is>
      </c>
      <c r="I187" s="52" t="inlineStr">
        <is>
          <t>Archive</t>
        </is>
      </c>
      <c r="J187" s="51" t="inlineStr">
        <is>
          <t>No</t>
        </is>
      </c>
      <c r="K187" s="52" t="inlineStr"/>
    </row>
    <row r="188" ht="23.25" customHeight="1" s="42">
      <c r="A188" s="52" t="inlineStr">
        <is>
          <t>Citigroup</t>
        </is>
      </c>
      <c r="B188" s="52" t="inlineStr">
        <is>
          <t>n_dei_removal</t>
        </is>
      </c>
      <c r="C188" s="52" t="inlineStr">
        <is>
          <t>Dropped diversity goals and board-diversity requirements; renamed DEI team 'Talent Management and Engagement'</t>
        </is>
      </c>
      <c r="D188" s="51" t="inlineStr">
        <is>
          <t>—</t>
        </is>
      </c>
      <c r="E188" s="51" t="inlineStr">
        <is>
          <t>Negative</t>
        </is>
      </c>
      <c r="F188" s="51" t="n">
        <v>-32</v>
      </c>
      <c r="G188" s="51" t="n">
        <v>2025</v>
      </c>
      <c r="H188" s="52" t="inlineStr">
        <is>
          <t>https://www.cnbc.com/2025/02/21/citigroup-joins-corporate-retreat-from-diversity-initiatives.html</t>
        </is>
      </c>
      <c r="I188" s="52" t="inlineStr">
        <is>
          <t>News</t>
        </is>
      </c>
      <c r="J188" s="51" t="inlineStr">
        <is>
          <t>Yes</t>
        </is>
      </c>
      <c r="K188" s="52" t="inlineStr"/>
    </row>
    <row r="189" ht="23.25" customHeight="1" s="42">
      <c r="A189" s="52" t="inlineStr">
        <is>
          <t>Citigroup</t>
        </is>
      </c>
      <c r="B189" s="52" t="inlineStr">
        <is>
          <t>n_pride_retreat</t>
        </is>
      </c>
      <c r="C189" s="52" t="inlineStr">
        <is>
          <t>Scaled back NYC Pride sponsorship for 2025</t>
        </is>
      </c>
      <c r="D189" s="51" t="inlineStr">
        <is>
          <t>—</t>
        </is>
      </c>
      <c r="E189" s="51" t="inlineStr">
        <is>
          <t>Negative</t>
        </is>
      </c>
      <c r="F189" s="51" t="n">
        <v>-22</v>
      </c>
      <c r="G189" s="51" t="n">
        <v>2025</v>
      </c>
      <c r="H189" s="52" t="inlineStr">
        <is>
          <t>https://www.advocate.com/news/companies-that-stopped-sponsoring-pride</t>
        </is>
      </c>
      <c r="I189" s="52" t="inlineStr">
        <is>
          <t>News</t>
        </is>
      </c>
      <c r="J189" s="51" t="inlineStr">
        <is>
          <t>Yes</t>
        </is>
      </c>
      <c r="K189" s="52" t="inlineStr"/>
    </row>
    <row r="190" ht="23.25" customHeight="1" s="42">
      <c r="A190" s="52" t="inlineStr">
        <is>
          <t>Walt Disney Co.</t>
        </is>
      </c>
      <c r="B190" s="52" t="inlineStr">
        <is>
          <t>p_logo_rainbow</t>
        </is>
      </c>
      <c r="C190" s="52" t="inlineStr">
        <is>
          <t>Annual Pride branding across parks and platforms</t>
        </is>
      </c>
      <c r="D190" s="51" t="inlineStr">
        <is>
          <t>Cosmetic</t>
        </is>
      </c>
      <c r="E190" s="51" t="inlineStr">
        <is>
          <t>Positive</t>
        </is>
      </c>
      <c r="F190" s="51" t="n">
        <v>3</v>
      </c>
      <c r="G190" s="51" t="n">
        <v>2025</v>
      </c>
      <c r="H190" s="52" t="inlineStr">
        <is>
          <t>https://web.archive.org/web/2025/https://www.shopdisney.com/franchises/disney-pride-collection/</t>
        </is>
      </c>
      <c r="I190" s="52" t="inlineStr">
        <is>
          <t>Archive</t>
        </is>
      </c>
      <c r="J190" s="51" t="inlineStr">
        <is>
          <t>Yes</t>
        </is>
      </c>
      <c r="K190" s="52" t="inlineStr"/>
    </row>
    <row r="191" ht="23.25" customHeight="1" s="42">
      <c r="A191" s="52" t="inlineStr">
        <is>
          <t>Walt Disney Co.</t>
        </is>
      </c>
      <c r="B191" s="52" t="inlineStr">
        <is>
          <t>p_merch_collection</t>
        </is>
      </c>
      <c r="C191" s="52" t="inlineStr">
        <is>
          <t>Disney Pride Collection merchandise line, ongoing annually</t>
        </is>
      </c>
      <c r="D191" s="51" t="inlineStr">
        <is>
          <t>Commercial</t>
        </is>
      </c>
      <c r="E191" s="51" t="inlineStr">
        <is>
          <t>Positive</t>
        </is>
      </c>
      <c r="F191" s="51" t="n">
        <v>6</v>
      </c>
      <c r="G191" s="51" t="n">
        <v>2025</v>
      </c>
      <c r="H191" s="52" t="inlineStr">
        <is>
          <t>https://web.archive.org/web/2025/https://www.shopdisney.com/franchises/disney-pride-collection/</t>
        </is>
      </c>
      <c r="I191" s="52" t="inlineStr">
        <is>
          <t>Archive</t>
        </is>
      </c>
      <c r="J191" s="51" t="inlineStr">
        <is>
          <t>Yes</t>
        </is>
      </c>
      <c r="K191" s="52" t="inlineStr"/>
    </row>
    <row r="192" ht="23.25" customHeight="1" s="42">
      <c r="A192" s="52" t="inlineStr">
        <is>
          <t>Walt Disney Co.</t>
        </is>
      </c>
      <c r="B192" s="52" t="inlineStr">
        <is>
          <t>p_community_events</t>
        </is>
      </c>
      <c r="C192" s="52" t="inlineStr">
        <is>
          <t>Disneyland After Dark: Pride Nite events</t>
        </is>
      </c>
      <c r="D192" s="51" t="inlineStr">
        <is>
          <t>Civic</t>
        </is>
      </c>
      <c r="E192" s="51" t="inlineStr">
        <is>
          <t>Positive</t>
        </is>
      </c>
      <c r="F192" s="51" t="n">
        <v>12</v>
      </c>
      <c r="G192" s="51" t="n">
        <v>2024</v>
      </c>
      <c r="H192" s="52" t="inlineStr">
        <is>
          <t>https://web.archive.org/web/2024/https://disneyland.disney.go.com/events-tours/disneyland/disneyland-after-dark/</t>
        </is>
      </c>
      <c r="I192" s="52" t="inlineStr">
        <is>
          <t>Archive</t>
        </is>
      </c>
      <c r="J192" s="51" t="inlineStr">
        <is>
          <t>No</t>
        </is>
      </c>
      <c r="K192" s="52" t="inlineStr"/>
    </row>
    <row r="193" ht="23.25" customHeight="1" s="42">
      <c r="A193" s="52" t="inlineStr">
        <is>
          <t>Walt Disney Co.</t>
        </is>
      </c>
      <c r="B193" s="52" t="inlineStr">
        <is>
          <t>p_erg_support</t>
        </is>
      </c>
      <c r="C193" s="52" t="inlineStr">
        <is>
          <t>Funded LGBTQ+ ERGs (rebranded 'belonging' groups in 2025)</t>
        </is>
      </c>
      <c r="D193" s="51" t="inlineStr">
        <is>
          <t>Civic</t>
        </is>
      </c>
      <c r="E193" s="51" t="inlineStr">
        <is>
          <t>Positive</t>
        </is>
      </c>
      <c r="F193" s="51" t="n">
        <v>15</v>
      </c>
      <c r="G193" s="51" t="n">
        <v>2025</v>
      </c>
      <c r="H193" s="52" t="inlineStr">
        <is>
          <t>https://www.axios.com/2025/02/11/disney-dei-changes-trump-era</t>
        </is>
      </c>
      <c r="I193" s="52" t="inlineStr">
        <is>
          <t>News</t>
        </is>
      </c>
      <c r="J193" s="51" t="inlineStr">
        <is>
          <t>Yes</t>
        </is>
      </c>
      <c r="K193" s="52" t="inlineStr"/>
    </row>
    <row r="194" ht="23.25" customHeight="1" s="42">
      <c r="A194" s="52" t="inlineStr">
        <is>
          <t>Walt Disney Co.</t>
        </is>
      </c>
      <c r="B194" s="52" t="inlineStr">
        <is>
          <t>p_benefits</t>
        </is>
      </c>
      <c r="C194" s="52" t="inlineStr">
        <is>
          <t>Comprehensive partner and gender-affirming benefits (CEI-verified)</t>
        </is>
      </c>
      <c r="D194" s="51" t="inlineStr">
        <is>
          <t>Structural</t>
        </is>
      </c>
      <c r="E194" s="51" t="inlineStr">
        <is>
          <t>Positive</t>
        </is>
      </c>
      <c r="F194" s="51" t="n">
        <v>22</v>
      </c>
      <c r="G194" s="51" t="n">
        <v>2024</v>
      </c>
      <c r="H194" s="52" t="inlineStr">
        <is>
          <t>https://reports.hrc.org/corporate-equality-index-2025</t>
        </is>
      </c>
      <c r="I194" s="52" t="inlineStr">
        <is>
          <t>HRC</t>
        </is>
      </c>
      <c r="J194" s="51" t="inlineStr">
        <is>
          <t>No</t>
        </is>
      </c>
      <c r="K194" s="52" t="inlineStr"/>
    </row>
    <row r="195" ht="23.25" customHeight="1" s="42">
      <c r="A195" s="52" t="inlineStr">
        <is>
          <t>Walt Disney Co.</t>
        </is>
      </c>
      <c r="B195" s="52" t="inlineStr">
        <is>
          <t>n_anti_lgbtq_donations</t>
        </is>
      </c>
      <c r="C195" s="52" t="inlineStr">
        <is>
          <t>Donations to Florida legislators sponsoring the 'Don't Say Gay' bill, revealed during Disney's initial silence in 2022</t>
        </is>
      </c>
      <c r="D195" s="51" t="inlineStr">
        <is>
          <t>—</t>
        </is>
      </c>
      <c r="E195" s="51" t="inlineStr">
        <is>
          <t>Negative</t>
        </is>
      </c>
      <c r="F195" s="51" t="n">
        <v>-30</v>
      </c>
      <c r="G195" s="51" t="n">
        <v>2022</v>
      </c>
      <c r="H195" s="52" t="inlineStr">
        <is>
          <t>https://en.wikipedia.org/wiki/Florida_Parental_Rights_in_Education_Act</t>
        </is>
      </c>
      <c r="I195" s="52" t="inlineStr">
        <is>
          <t>News</t>
        </is>
      </c>
      <c r="J195" s="51" t="inlineStr">
        <is>
          <t>No</t>
        </is>
      </c>
      <c r="K195" s="52" t="inlineStr">
        <is>
          <t>Company later opposed the bill under employee pressure; paused FL donations</t>
        </is>
      </c>
    </row>
    <row r="196" ht="23.25" customHeight="1" s="42">
      <c r="A196" s="52" t="inlineStr">
        <is>
          <t>Walt Disney Co.</t>
        </is>
      </c>
      <c r="B196" s="52" t="inlineStr">
        <is>
          <t>n_selective</t>
        </is>
      </c>
      <c r="C196" s="52" t="inlineStr">
        <is>
          <t>Pulled a transgender storyline from Pixar's 'Win or Lose' before release</t>
        </is>
      </c>
      <c r="D196" s="51" t="inlineStr">
        <is>
          <t>—</t>
        </is>
      </c>
      <c r="E196" s="51" t="inlineStr">
        <is>
          <t>Negative</t>
        </is>
      </c>
      <c r="F196" s="51" t="n">
        <v>-10</v>
      </c>
      <c r="G196" s="51" t="n">
        <v>2024</v>
      </c>
      <c r="H196" s="52" t="inlineStr">
        <is>
          <t>https://san.com/cc/disney-softens-content-warnings-amid-broader-dei-changes/</t>
        </is>
      </c>
      <c r="I196" s="52" t="inlineStr">
        <is>
          <t>News</t>
        </is>
      </c>
      <c r="J196" s="51" t="inlineStr">
        <is>
          <t>No</t>
        </is>
      </c>
      <c r="K196" s="52" t="inlineStr"/>
    </row>
    <row r="197" ht="23.25" customHeight="1" s="42">
      <c r="A197" s="52" t="inlineStr">
        <is>
          <t>Walt Disney Co.</t>
        </is>
      </c>
      <c r="B197" s="52" t="inlineStr">
        <is>
          <t>n_dei_removal</t>
        </is>
      </c>
      <c r="C197" s="52" t="inlineStr">
        <is>
          <t>Ended Reimagine Tomorrow, removed DEI from exec compensation, softened content advisories (Feb 2025)</t>
        </is>
      </c>
      <c r="D197" s="51" t="inlineStr">
        <is>
          <t>—</t>
        </is>
      </c>
      <c r="E197" s="51" t="inlineStr">
        <is>
          <t>Negative</t>
        </is>
      </c>
      <c r="F197" s="51" t="n">
        <v>-32</v>
      </c>
      <c r="G197" s="51" t="n">
        <v>2025</v>
      </c>
      <c r="H197" s="52" t="inlineStr">
        <is>
          <t>https://www.axios.com/2025/02/11/disney-dei-changes-trump-era</t>
        </is>
      </c>
      <c r="I197" s="52" t="inlineStr">
        <is>
          <t>News</t>
        </is>
      </c>
      <c r="J197" s="51" t="inlineStr">
        <is>
          <t>Yes</t>
        </is>
      </c>
      <c r="K197" s="52" t="inlineStr">
        <is>
          <t>Archived before-state: https://web.archive.org/web/2024/https://impact.disney.com/diversity-equity-inclusion/</t>
        </is>
      </c>
    </row>
    <row r="198" ht="23.25" customHeight="1" s="42">
      <c r="A198" s="52" t="inlineStr">
        <is>
          <t>Netflix</t>
        </is>
      </c>
      <c r="B198" s="52" t="inlineStr">
        <is>
          <t>p_generic_post</t>
        </is>
      </c>
      <c r="C198" s="52" t="inlineStr">
        <is>
          <t>Annual Pride Month posts and Pride content hubs</t>
        </is>
      </c>
      <c r="D198" s="51" t="inlineStr">
        <is>
          <t>Cosmetic</t>
        </is>
      </c>
      <c r="E198" s="51" t="inlineStr">
        <is>
          <t>Positive</t>
        </is>
      </c>
      <c r="F198" s="51" t="n">
        <v>2</v>
      </c>
      <c r="G198" s="51" t="n">
        <v>2025</v>
      </c>
      <c r="H198" s="52" t="inlineStr">
        <is>
          <t>https://web.archive.org/web/2025/https://about.netflix.com/en/inclusion</t>
        </is>
      </c>
      <c r="I198" s="52" t="inlineStr">
        <is>
          <t>Archive</t>
        </is>
      </c>
      <c r="J198" s="51" t="inlineStr">
        <is>
          <t>Yes</t>
        </is>
      </c>
      <c r="K198" s="52" t="inlineStr"/>
    </row>
    <row r="199" ht="23.25" customHeight="1" s="42">
      <c r="A199" s="52" t="inlineStr">
        <is>
          <t>Netflix</t>
        </is>
      </c>
      <c r="B199" s="52" t="inlineStr">
        <is>
          <t>p_collab</t>
        </is>
      </c>
      <c r="C199" s="52" t="inlineStr">
        <is>
          <t>Sustained investment in LGBTQ+ storytelling and queer creators (Heartstopper, Sex Education, etc.)</t>
        </is>
      </c>
      <c r="D199" s="51" t="inlineStr">
        <is>
          <t>Commercial</t>
        </is>
      </c>
      <c r="E199" s="51" t="inlineStr">
        <is>
          <t>Positive</t>
        </is>
      </c>
      <c r="F199" s="51" t="n">
        <v>8</v>
      </c>
      <c r="G199" s="51" t="n">
        <v>2025</v>
      </c>
      <c r="H199" s="52" t="inlineStr">
        <is>
          <t>https://web.archive.org/web/2025/https://about.netflix.com/en/inclusion</t>
        </is>
      </c>
      <c r="I199" s="52" t="inlineStr">
        <is>
          <t>Archive</t>
        </is>
      </c>
      <c r="J199" s="51" t="inlineStr">
        <is>
          <t>No</t>
        </is>
      </c>
      <c r="K199" s="52" t="inlineStr"/>
    </row>
    <row r="200" ht="23.25" customHeight="1" s="42">
      <c r="A200" s="52" t="inlineStr">
        <is>
          <t>Netflix</t>
        </is>
      </c>
      <c r="B200" s="52" t="inlineStr">
        <is>
          <t>p_benefits</t>
        </is>
      </c>
      <c r="C200" s="52" t="inlineStr">
        <is>
          <t>Inclusive partner and gender-affirming benefits (CEI-verified)</t>
        </is>
      </c>
      <c r="D200" s="51" t="inlineStr">
        <is>
          <t>Structural</t>
        </is>
      </c>
      <c r="E200" s="51" t="inlineStr">
        <is>
          <t>Positive</t>
        </is>
      </c>
      <c r="F200" s="51" t="n">
        <v>22</v>
      </c>
      <c r="G200" s="51" t="n">
        <v>2024</v>
      </c>
      <c r="H200" s="52" t="inlineStr">
        <is>
          <t>https://reports.hrc.org/corporate-equality-index-2025</t>
        </is>
      </c>
      <c r="I200" s="52" t="inlineStr">
        <is>
          <t>HRC</t>
        </is>
      </c>
      <c r="J200" s="51" t="inlineStr">
        <is>
          <t>No</t>
        </is>
      </c>
      <c r="K200" s="52" t="inlineStr"/>
    </row>
    <row r="201" ht="23.25" customHeight="1" s="42">
      <c r="A201" s="52" t="inlineStr">
        <is>
          <t>Netflix</t>
        </is>
      </c>
      <c r="B201" s="52" t="inlineStr">
        <is>
          <t>n_selective</t>
        </is>
      </c>
      <c r="C201" s="52" t="inlineStr">
        <is>
          <t>Defended anti-trans material in Chappelle's 'The Closer' against employee walkout; walkout organizer fired</t>
        </is>
      </c>
      <c r="D201" s="51" t="inlineStr">
        <is>
          <t>—</t>
        </is>
      </c>
      <c r="E201" s="51" t="inlineStr">
        <is>
          <t>Negative</t>
        </is>
      </c>
      <c r="F201" s="51" t="n">
        <v>-10</v>
      </c>
      <c r="G201" s="51" t="n">
        <v>2021</v>
      </c>
      <c r="H201" s="52" t="inlineStr">
        <is>
          <t>https://en.wikipedia.org/wiki/The_Closer_(2021_film)</t>
        </is>
      </c>
      <c r="I201" s="52" t="inlineStr">
        <is>
          <t>News</t>
        </is>
      </c>
      <c r="J201" s="51" t="inlineStr">
        <is>
          <t>No</t>
        </is>
      </c>
      <c r="K201" s="52" t="inlineStr"/>
    </row>
    <row r="202" ht="23.25" customHeight="1" s="42">
      <c r="A202" s="52" t="inlineStr">
        <is>
          <t>Warner Bros. Discovery</t>
        </is>
      </c>
      <c r="B202" s="52" t="inlineStr">
        <is>
          <t>p_generic_post</t>
        </is>
      </c>
      <c r="C202" s="52" t="inlineStr">
        <is>
          <t>Pride Month content collections and posts (Max)</t>
        </is>
      </c>
      <c r="D202" s="51" t="inlineStr">
        <is>
          <t>Cosmetic</t>
        </is>
      </c>
      <c r="E202" s="51" t="inlineStr">
        <is>
          <t>Positive</t>
        </is>
      </c>
      <c r="F202" s="51" t="n">
        <v>2</v>
      </c>
      <c r="G202" s="51" t="n">
        <v>2025</v>
      </c>
      <c r="H202" s="52" t="inlineStr">
        <is>
          <t>https://web.archive.org/web/2025/https://www.wbd.com/</t>
        </is>
      </c>
      <c r="I202" s="52" t="inlineStr">
        <is>
          <t>Archive</t>
        </is>
      </c>
      <c r="J202" s="51" t="inlineStr">
        <is>
          <t>Yes</t>
        </is>
      </c>
      <c r="K202" s="52" t="inlineStr"/>
    </row>
    <row r="203" ht="23.25" customHeight="1" s="42">
      <c r="A203" s="52" t="inlineStr">
        <is>
          <t>Warner Bros. Discovery</t>
        </is>
      </c>
      <c r="B203" s="52" t="inlineStr">
        <is>
          <t>p_collab</t>
        </is>
      </c>
      <c r="C203" s="52" t="inlineStr">
        <is>
          <t>Queer-led programming investment (HBO's 'We're Here' and related slate)</t>
        </is>
      </c>
      <c r="D203" s="51" t="inlineStr">
        <is>
          <t>Commercial</t>
        </is>
      </c>
      <c r="E203" s="51" t="inlineStr">
        <is>
          <t>Positive</t>
        </is>
      </c>
      <c r="F203" s="51" t="n">
        <v>8</v>
      </c>
      <c r="G203" s="51" t="n">
        <v>2024</v>
      </c>
      <c r="H203" s="52" t="inlineStr">
        <is>
          <t>https://web.archive.org/web/2024/https://www.hbo.com/were-here</t>
        </is>
      </c>
      <c r="I203" s="52" t="inlineStr">
        <is>
          <t>Archive</t>
        </is>
      </c>
      <c r="J203" s="51" t="inlineStr">
        <is>
          <t>No</t>
        </is>
      </c>
      <c r="K203" s="52" t="inlineStr"/>
    </row>
    <row r="204" ht="23.25" customHeight="1" s="42">
      <c r="A204" s="52" t="inlineStr">
        <is>
          <t>NBCUniversal</t>
        </is>
      </c>
      <c r="B204" s="52" t="inlineStr">
        <is>
          <t>p_generic_post</t>
        </is>
      </c>
      <c r="C204" s="52" t="inlineStr">
        <is>
          <t>Pride Month coverage and posts; NBC Out LGBTQ+ news vertical operating continuously</t>
        </is>
      </c>
      <c r="D204" s="51" t="inlineStr">
        <is>
          <t>Cosmetic</t>
        </is>
      </c>
      <c r="E204" s="51" t="inlineStr">
        <is>
          <t>Positive</t>
        </is>
      </c>
      <c r="F204" s="51" t="n">
        <v>2</v>
      </c>
      <c r="G204" s="51" t="n">
        <v>2025</v>
      </c>
      <c r="H204" s="52" t="inlineStr">
        <is>
          <t>https://www.nbcnews.com/nbc-out</t>
        </is>
      </c>
      <c r="I204" s="52" t="inlineStr">
        <is>
          <t>Company</t>
        </is>
      </c>
      <c r="J204" s="51" t="inlineStr">
        <is>
          <t>Yes</t>
        </is>
      </c>
      <c r="K204" s="52" t="inlineStr"/>
    </row>
    <row r="205" ht="23.25" customHeight="1" s="42">
      <c r="A205" s="52" t="inlineStr">
        <is>
          <t>NBCUniversal</t>
        </is>
      </c>
      <c r="B205" s="52" t="inlineStr">
        <is>
          <t>p_erg_support</t>
        </is>
      </c>
      <c r="C205" s="52" t="inlineStr">
        <is>
          <t>Funded OUT@NBCUniversal employee resource group</t>
        </is>
      </c>
      <c r="D205" s="51" t="inlineStr">
        <is>
          <t>Civic</t>
        </is>
      </c>
      <c r="E205" s="51" t="inlineStr">
        <is>
          <t>Positive</t>
        </is>
      </c>
      <c r="F205" s="51" t="n">
        <v>15</v>
      </c>
      <c r="G205" s="51" t="n">
        <v>2024</v>
      </c>
      <c r="H205" s="52" t="inlineStr">
        <is>
          <t>https://web.archive.org/web/2024/https://www.nbcuniversal.com/impact/diversity-equity-inclusion</t>
        </is>
      </c>
      <c r="I205" s="52" t="inlineStr">
        <is>
          <t>Archive</t>
        </is>
      </c>
      <c r="J205" s="51" t="inlineStr">
        <is>
          <t>No</t>
        </is>
      </c>
      <c r="K205" s="52" t="inlineStr"/>
    </row>
    <row r="206" ht="23.25" customHeight="1" s="42">
      <c r="A206" s="52" t="inlineStr">
        <is>
          <t>Paramount Global</t>
        </is>
      </c>
      <c r="B206" s="52" t="inlineStr">
        <is>
          <t>p_generic_post</t>
        </is>
      </c>
      <c r="C206" s="52" t="inlineStr">
        <is>
          <t>Pride Month posts and programming across brands</t>
        </is>
      </c>
      <c r="D206" s="51" t="inlineStr">
        <is>
          <t>Cosmetic</t>
        </is>
      </c>
      <c r="E206" s="51" t="inlineStr">
        <is>
          <t>Positive</t>
        </is>
      </c>
      <c r="F206" s="51" t="n">
        <v>2</v>
      </c>
      <c r="G206" s="51" t="n">
        <v>2024</v>
      </c>
      <c r="H206" s="52" t="inlineStr">
        <is>
          <t>https://web.archive.org/web/2024/https://www.paramount.com/company/inclusion</t>
        </is>
      </c>
      <c r="I206" s="52" t="inlineStr">
        <is>
          <t>Archive</t>
        </is>
      </c>
      <c r="J206" s="51" t="inlineStr">
        <is>
          <t>No</t>
        </is>
      </c>
      <c r="K206" s="52" t="inlineStr"/>
    </row>
    <row r="207" ht="23.25" customHeight="1" s="42">
      <c r="A207" s="52" t="inlineStr">
        <is>
          <t>Paramount Global</t>
        </is>
      </c>
      <c r="B207" s="52" t="inlineStr">
        <is>
          <t>p_collab</t>
        </is>
      </c>
      <c r="C207" s="52" t="inlineStr">
        <is>
          <t>LGBTQ+ programming legacy: Logo TV, MTV queer content and GLAAD-recognized series</t>
        </is>
      </c>
      <c r="D207" s="51" t="inlineStr">
        <is>
          <t>Commercial</t>
        </is>
      </c>
      <c r="E207" s="51" t="inlineStr">
        <is>
          <t>Positive</t>
        </is>
      </c>
      <c r="F207" s="51" t="n">
        <v>8</v>
      </c>
      <c r="G207" s="51" t="n">
        <v>2024</v>
      </c>
      <c r="H207" s="52" t="inlineStr">
        <is>
          <t>https://web.archive.org/web/2024/https://www.paramount.com/company/inclusion</t>
        </is>
      </c>
      <c r="I207" s="52" t="inlineStr">
        <is>
          <t>Archive</t>
        </is>
      </c>
      <c r="J207" s="51" t="inlineStr">
        <is>
          <t>No</t>
        </is>
      </c>
      <c r="K207" s="52" t="inlineStr"/>
    </row>
    <row r="208" ht="23.25" customHeight="1" s="42">
      <c r="A208" s="52" t="inlineStr">
        <is>
          <t>Paramount Global</t>
        </is>
      </c>
      <c r="B208" s="52" t="inlineStr">
        <is>
          <t>p_erg_support</t>
        </is>
      </c>
      <c r="C208" s="52" t="inlineStr">
        <is>
          <t>Funded LGBTQ+ employee resource groups</t>
        </is>
      </c>
      <c r="D208" s="51" t="inlineStr">
        <is>
          <t>Civic</t>
        </is>
      </c>
      <c r="E208" s="51" t="inlineStr">
        <is>
          <t>Positive</t>
        </is>
      </c>
      <c r="F208" s="51" t="n">
        <v>15</v>
      </c>
      <c r="G208" s="51" t="n">
        <v>2024</v>
      </c>
      <c r="H208" s="52" t="inlineStr">
        <is>
          <t>https://web.archive.org/web/2024/https://www.paramount.com/company/inclusion</t>
        </is>
      </c>
      <c r="I208" s="52" t="inlineStr">
        <is>
          <t>Archive</t>
        </is>
      </c>
      <c r="J208" s="51" t="inlineStr">
        <is>
          <t>No</t>
        </is>
      </c>
      <c r="K208" s="52" t="inlineStr"/>
    </row>
    <row r="209" ht="23.25" customHeight="1" s="42">
      <c r="A209" s="52" t="inlineStr">
        <is>
          <t>Paramount Global</t>
        </is>
      </c>
      <c r="B209" s="52" t="inlineStr">
        <is>
          <t>n_dei_removal</t>
        </is>
      </c>
      <c r="C209" s="52" t="inlineStr">
        <is>
          <t>Ended numerical DEI goals and applicant demographic collection citing Trump executive orders, amid FCC merger pressure</t>
        </is>
      </c>
      <c r="D209" s="51" t="inlineStr">
        <is>
          <t>—</t>
        </is>
      </c>
      <c r="E209" s="51" t="inlineStr">
        <is>
          <t>Negative</t>
        </is>
      </c>
      <c r="F209" s="51" t="n">
        <v>-32</v>
      </c>
      <c r="G209" s="51" t="n">
        <v>2025</v>
      </c>
      <c r="H209" s="52" t="inlineStr">
        <is>
          <t>https://www.lgbtqnation.com/2025/02/paramounts-gay-ceos-rollback-companys-dei-initiatives-to-appease-trump/</t>
        </is>
      </c>
      <c r="I209" s="52" t="inlineStr">
        <is>
          <t>News</t>
        </is>
      </c>
      <c r="J209" s="51" t="inlineStr">
        <is>
          <t>Yes</t>
        </is>
      </c>
      <c r="K209" s="52" t="inlineStr">
        <is>
          <t>FCC chair threatened to block deals over DEI: https://thedesk.net/2025/03/fcc-brendan-carr-skydance-paramount-dei-initiatives/</t>
        </is>
      </c>
    </row>
    <row r="210" ht="23.25" customHeight="1" s="42">
      <c r="A210" s="52" t="inlineStr">
        <is>
          <t>Spotify</t>
        </is>
      </c>
      <c r="B210" s="52" t="inlineStr">
        <is>
          <t>p_logo_rainbow</t>
        </is>
      </c>
      <c r="C210" s="52" t="inlineStr">
        <is>
          <t>Annual Pride hub branding and playlists</t>
        </is>
      </c>
      <c r="D210" s="51" t="inlineStr">
        <is>
          <t>Cosmetic</t>
        </is>
      </c>
      <c r="E210" s="51" t="inlineStr">
        <is>
          <t>Positive</t>
        </is>
      </c>
      <c r="F210" s="51" t="n">
        <v>3</v>
      </c>
      <c r="G210" s="51" t="n">
        <v>2025</v>
      </c>
      <c r="H210" s="52" t="inlineStr">
        <is>
          <t>https://web.archive.org/web/2025/https://open.spotify.com/genre/pride-page</t>
        </is>
      </c>
      <c r="I210" s="52" t="inlineStr">
        <is>
          <t>Archive</t>
        </is>
      </c>
      <c r="J210" s="51" t="inlineStr">
        <is>
          <t>Yes</t>
        </is>
      </c>
      <c r="K210" s="52" t="inlineStr"/>
    </row>
    <row r="211" ht="23.25" customHeight="1" s="42">
      <c r="A211" s="52" t="inlineStr">
        <is>
          <t>Spotify</t>
        </is>
      </c>
      <c r="B211" s="52" t="inlineStr">
        <is>
          <t>p_collab</t>
        </is>
      </c>
      <c r="C211" s="52" t="inlineStr">
        <is>
          <t>Queer-artist editorial campaigns (GLOW spotlight program for LGBTQIA+ artists)</t>
        </is>
      </c>
      <c r="D211" s="51" t="inlineStr">
        <is>
          <t>Commercial</t>
        </is>
      </c>
      <c r="E211" s="51" t="inlineStr">
        <is>
          <t>Positive</t>
        </is>
      </c>
      <c r="F211" s="51" t="n">
        <v>8</v>
      </c>
      <c r="G211" s="51" t="n">
        <v>2024</v>
      </c>
      <c r="H211" s="52" t="inlineStr">
        <is>
          <t>https://newsroom.spotify.com/2023-02-01/spotify-celebrates-lgbtqia-artists-with-new-music-program-glow/</t>
        </is>
      </c>
      <c r="I211" s="52" t="inlineStr">
        <is>
          <t>Company</t>
        </is>
      </c>
      <c r="J211" s="51" t="inlineStr">
        <is>
          <t>No</t>
        </is>
      </c>
      <c r="K211" s="52" t="inlineStr"/>
    </row>
    <row r="212" ht="23.25" customHeight="1" s="42">
      <c r="A212" s="52" t="inlineStr">
        <is>
          <t>Spotify</t>
        </is>
      </c>
      <c r="B212" s="52" t="inlineStr">
        <is>
          <t>n_greenwashing</t>
        </is>
      </c>
      <c r="C212" s="52" t="inlineStr">
        <is>
          <t>Pride-month branding paired with bankrolling content repeatedly flagged by GLAAD for anti-trans rhetoric (Rogan exclusive)</t>
        </is>
      </c>
      <c r="D212" s="51" t="inlineStr">
        <is>
          <t>—</t>
        </is>
      </c>
      <c r="E212" s="51" t="inlineStr">
        <is>
          <t>Negative</t>
        </is>
      </c>
      <c r="F212" s="51" t="n">
        <v>-8</v>
      </c>
      <c r="G212" s="51" t="n">
        <v>2024</v>
      </c>
      <c r="H212" s="52" t="inlineStr">
        <is>
          <t>https://glaad.org/smsi/2024/</t>
        </is>
      </c>
      <c r="I212" s="52" t="inlineStr">
        <is>
          <t>GLAAD</t>
        </is>
      </c>
      <c r="J212" s="51" t="inlineStr">
        <is>
          <t>No</t>
        </is>
      </c>
      <c r="K212" s="52" t="inlineStr"/>
    </row>
    <row r="213" ht="23.25" customHeight="1" s="42">
      <c r="A213" s="52" t="inlineStr">
        <is>
          <t>Live Nation</t>
        </is>
      </c>
      <c r="B213" s="52" t="inlineStr">
        <is>
          <t>p_generic_post</t>
        </is>
      </c>
      <c r="C213" s="52" t="inlineStr">
        <is>
          <t>Pride Month posts and event promotion</t>
        </is>
      </c>
      <c r="D213" s="51" t="inlineStr">
        <is>
          <t>Cosmetic</t>
        </is>
      </c>
      <c r="E213" s="51" t="inlineStr">
        <is>
          <t>Positive</t>
        </is>
      </c>
      <c r="F213" s="51" t="n">
        <v>2</v>
      </c>
      <c r="G213" s="51" t="n">
        <v>2025</v>
      </c>
      <c r="H213" s="52" t="inlineStr">
        <is>
          <t>https://web.archive.org/web/2025/https://www.livenationentertainment.com/</t>
        </is>
      </c>
      <c r="I213" s="52" t="inlineStr">
        <is>
          <t>Archive</t>
        </is>
      </c>
      <c r="J213" s="51" t="inlineStr">
        <is>
          <t>Yes</t>
        </is>
      </c>
      <c r="K213" s="52" t="inlineStr"/>
    </row>
    <row r="214" ht="23.25" customHeight="1" s="42">
      <c r="A214" s="52" t="inlineStr">
        <is>
          <t>Live Nation</t>
        </is>
      </c>
      <c r="B214" s="52" t="inlineStr">
        <is>
          <t>p_parade_sponsor</t>
        </is>
      </c>
      <c r="C214" s="52" t="inlineStr">
        <is>
          <t>Sponsorship/production of Pride-season concerts and festival events</t>
        </is>
      </c>
      <c r="D214" s="51" t="inlineStr">
        <is>
          <t>Civic</t>
        </is>
      </c>
      <c r="E214" s="51" t="inlineStr">
        <is>
          <t>Positive</t>
        </is>
      </c>
      <c r="F214" s="51" t="n">
        <v>12</v>
      </c>
      <c r="G214" s="51" t="n">
        <v>2024</v>
      </c>
      <c r="H214" s="52" t="inlineStr">
        <is>
          <t>https://web.archive.org/web/2024/https://www.livenationentertainment.com/diversity-equity-inclusion/</t>
        </is>
      </c>
      <c r="I214" s="52" t="inlineStr">
        <is>
          <t>Archive</t>
        </is>
      </c>
      <c r="J214" s="51" t="inlineStr">
        <is>
          <t>No</t>
        </is>
      </c>
      <c r="K214" s="52" t="inlineStr"/>
    </row>
    <row r="215" ht="23.25" customHeight="1" s="42">
      <c r="A215" s="52" t="inlineStr">
        <is>
          <t>General Motors</t>
        </is>
      </c>
      <c r="B215" s="52" t="inlineStr">
        <is>
          <t>p_generic_post</t>
        </is>
      </c>
      <c r="C215" s="52" t="inlineStr">
        <is>
          <t>Pride Month posts and engagement</t>
        </is>
      </c>
      <c r="D215" s="51" t="inlineStr">
        <is>
          <t>Cosmetic</t>
        </is>
      </c>
      <c r="E215" s="51" t="inlineStr">
        <is>
          <t>Positive</t>
        </is>
      </c>
      <c r="F215" s="51" t="n">
        <v>2</v>
      </c>
      <c r="G215" s="51" t="n">
        <v>2024</v>
      </c>
      <c r="H215" s="52" t="inlineStr">
        <is>
          <t>https://web.archive.org/web/2024/https://www.gm.com/company/culture</t>
        </is>
      </c>
      <c r="I215" s="52" t="inlineStr">
        <is>
          <t>Archive</t>
        </is>
      </c>
      <c r="J215" s="51" t="inlineStr">
        <is>
          <t>No</t>
        </is>
      </c>
      <c r="K215" s="52" t="inlineStr"/>
    </row>
    <row r="216" ht="23.25" customHeight="1" s="42">
      <c r="A216" s="52" t="inlineStr">
        <is>
          <t>General Motors</t>
        </is>
      </c>
      <c r="B216" s="52" t="inlineStr">
        <is>
          <t>p_erg_support</t>
        </is>
      </c>
      <c r="C216" s="52" t="inlineStr">
        <is>
          <t>Funded GM PLUS LGBTQ+ employee resource group</t>
        </is>
      </c>
      <c r="D216" s="51" t="inlineStr">
        <is>
          <t>Civic</t>
        </is>
      </c>
      <c r="E216" s="51" t="inlineStr">
        <is>
          <t>Positive</t>
        </is>
      </c>
      <c r="F216" s="51" t="n">
        <v>15</v>
      </c>
      <c r="G216" s="51" t="n">
        <v>2024</v>
      </c>
      <c r="H216" s="52" t="inlineStr">
        <is>
          <t>https://web.archive.org/web/2024/https://www.gm.com/company/culture</t>
        </is>
      </c>
      <c r="I216" s="52" t="inlineStr">
        <is>
          <t>Archive</t>
        </is>
      </c>
      <c r="J216" s="51" t="inlineStr">
        <is>
          <t>No</t>
        </is>
      </c>
      <c r="K216" s="52" t="inlineStr"/>
    </row>
    <row r="217" ht="23.25" customHeight="1" s="42">
      <c r="A217" s="52" t="inlineStr">
        <is>
          <t>General Motors</t>
        </is>
      </c>
      <c r="B217" s="52" t="inlineStr">
        <is>
          <t>n_dei_removal</t>
        </is>
      </c>
      <c r="C217" s="52" t="inlineStr">
        <is>
          <t>Dropped DEI references from annual filing in early-2025 retreat wave</t>
        </is>
      </c>
      <c r="D217" s="51" t="inlineStr">
        <is>
          <t>—</t>
        </is>
      </c>
      <c r="E217" s="51" t="inlineStr">
        <is>
          <t>Negative</t>
        </is>
      </c>
      <c r="F217" s="51" t="n">
        <v>-32</v>
      </c>
      <c r="G217" s="51" t="n">
        <v>2025</v>
      </c>
      <c r="H217" s="52" t="inlineStr">
        <is>
          <t>https://www.techtarget.com/whatis/feature/What-companies-are-rolling-back-DEI-policies</t>
        </is>
      </c>
      <c r="I217" s="52" t="inlineStr">
        <is>
          <t>News</t>
        </is>
      </c>
      <c r="J217" s="51" t="inlineStr">
        <is>
          <t>Yes</t>
        </is>
      </c>
      <c r="K217" s="52" t="inlineStr"/>
    </row>
    <row r="218" ht="23.25" customHeight="1" s="42">
      <c r="A218" s="52" t="inlineStr">
        <is>
          <t>Ford</t>
        </is>
      </c>
      <c r="B218" s="52" t="inlineStr">
        <is>
          <t>p_logo_rainbow</t>
        </is>
      </c>
      <c r="C218" s="52" t="inlineStr">
        <is>
          <t>Pride branding history ('Very Gay Raptor' campaign, Pride visuals)</t>
        </is>
      </c>
      <c r="D218" s="51" t="inlineStr">
        <is>
          <t>Cosmetic</t>
        </is>
      </c>
      <c r="E218" s="51" t="inlineStr">
        <is>
          <t>Positive</t>
        </is>
      </c>
      <c r="F218" s="51" t="n">
        <v>3</v>
      </c>
      <c r="G218" s="51" t="n">
        <v>2023</v>
      </c>
      <c r="H218" s="52" t="inlineStr">
        <is>
          <t>https://web.archive.org/web/2023/https://www.ford.com/</t>
        </is>
      </c>
      <c r="I218" s="52" t="inlineStr">
        <is>
          <t>Archive</t>
        </is>
      </c>
      <c r="J218" s="51" t="inlineStr">
        <is>
          <t>No</t>
        </is>
      </c>
      <c r="K218" s="52" t="inlineStr"/>
    </row>
    <row r="219" ht="23.25" customHeight="1" s="42">
      <c r="A219" s="52" t="inlineStr">
        <is>
          <t>Ford</t>
        </is>
      </c>
      <c r="B219" s="52" t="inlineStr">
        <is>
          <t>p_generic_post</t>
        </is>
      </c>
      <c r="C219" s="52" t="inlineStr">
        <is>
          <t>Annual Pride posts (through 2024)</t>
        </is>
      </c>
      <c r="D219" s="51" t="inlineStr">
        <is>
          <t>Cosmetic</t>
        </is>
      </c>
      <c r="E219" s="51" t="inlineStr">
        <is>
          <t>Positive</t>
        </is>
      </c>
      <c r="F219" s="51" t="n">
        <v>2</v>
      </c>
      <c r="G219" s="51" t="n">
        <v>2024</v>
      </c>
      <c r="H219" s="52" t="inlineStr">
        <is>
          <t>https://web.archive.org/web/2024/https://corporate.ford.com/social-impact/diversity-equity-inclusion.html</t>
        </is>
      </c>
      <c r="I219" s="52" t="inlineStr">
        <is>
          <t>Archive</t>
        </is>
      </c>
      <c r="J219" s="51" t="inlineStr">
        <is>
          <t>No</t>
        </is>
      </c>
      <c r="K219" s="52" t="inlineStr"/>
    </row>
    <row r="220" ht="23.25" customHeight="1" s="42">
      <c r="A220" s="52" t="inlineStr">
        <is>
          <t>Ford</t>
        </is>
      </c>
      <c r="B220" s="52" t="inlineStr">
        <is>
          <t>p_parade_sponsor</t>
        </is>
      </c>
      <c r="C220" s="52" t="inlineStr">
        <is>
          <t>Motor City Pride sponsorship history</t>
        </is>
      </c>
      <c r="D220" s="51" t="inlineStr">
        <is>
          <t>Civic</t>
        </is>
      </c>
      <c r="E220" s="51" t="inlineStr">
        <is>
          <t>Positive</t>
        </is>
      </c>
      <c r="F220" s="51" t="n">
        <v>12</v>
      </c>
      <c r="G220" s="51" t="n">
        <v>2023</v>
      </c>
      <c r="H220" s="52" t="inlineStr">
        <is>
          <t>https://web.archive.org/web/2023/https://corporate.ford.com/social-impact/diversity-equity-inclusion.html</t>
        </is>
      </c>
      <c r="I220" s="52" t="inlineStr">
        <is>
          <t>Archive</t>
        </is>
      </c>
      <c r="J220" s="51" t="inlineStr">
        <is>
          <t>No</t>
        </is>
      </c>
      <c r="K220" s="52" t="inlineStr"/>
    </row>
    <row r="221" ht="23.25" customHeight="1" s="42">
      <c r="A221" s="52" t="inlineStr">
        <is>
          <t>Ford</t>
        </is>
      </c>
      <c r="B221" s="52" t="inlineStr">
        <is>
          <t>p_erg_support</t>
        </is>
      </c>
      <c r="C221" s="52" t="inlineStr">
        <is>
          <t>Funded Ford GLOBE LGBTQ+ ERG (continues)</t>
        </is>
      </c>
      <c r="D221" s="51" t="inlineStr">
        <is>
          <t>Civic</t>
        </is>
      </c>
      <c r="E221" s="51" t="inlineStr">
        <is>
          <t>Positive</t>
        </is>
      </c>
      <c r="F221" s="51" t="n">
        <v>15</v>
      </c>
      <c r="G221" s="51" t="n">
        <v>2024</v>
      </c>
      <c r="H221" s="52" t="inlineStr">
        <is>
          <t>https://web.archive.org/web/2024/https://corporate.ford.com/social-impact/diversity-equity-inclusion.html</t>
        </is>
      </c>
      <c r="I221" s="52" t="inlineStr">
        <is>
          <t>Archive</t>
        </is>
      </c>
      <c r="J221" s="51" t="inlineStr">
        <is>
          <t>No</t>
        </is>
      </c>
      <c r="K221" s="52" t="inlineStr"/>
    </row>
    <row r="222" ht="23.25" customHeight="1" s="42">
      <c r="A222" s="52" t="inlineStr">
        <is>
          <t>Ford</t>
        </is>
      </c>
      <c r="B222" s="52" t="inlineStr">
        <is>
          <t>n_dei_removal</t>
        </is>
      </c>
      <c r="C222" s="52" t="inlineStr">
        <is>
          <t>Quit HRC CEI after 20+ years and ended external culture-survey participation (CEO memo, Aug 2024)</t>
        </is>
      </c>
      <c r="D222" s="51" t="inlineStr">
        <is>
          <t>—</t>
        </is>
      </c>
      <c r="E222" s="51" t="inlineStr">
        <is>
          <t>Negative</t>
        </is>
      </c>
      <c r="F222" s="51" t="n">
        <v>-32</v>
      </c>
      <c r="G222" s="51" t="n">
        <v>2024</v>
      </c>
      <c r="H222" s="52" t="inlineStr">
        <is>
          <t>https://www.hrc.org/press-releases/hrc-foundation-announces-record-participation-in-upcoming-2025-corporate-equality-index-docks-scores-of-seven-companies-in-current-ranking-following-their-pullback-from-workplace-inclusion</t>
        </is>
      </c>
      <c r="I222" s="52" t="inlineStr">
        <is>
          <t>HRC</t>
        </is>
      </c>
      <c r="J222" s="51" t="inlineStr">
        <is>
          <t>No</t>
        </is>
      </c>
      <c r="K222" s="52" t="inlineStr">
        <is>
          <t>One of 7 companies HRC docked -25</t>
        </is>
      </c>
    </row>
    <row r="223" ht="23.25" customHeight="1" s="42">
      <c r="A223" s="52" t="inlineStr">
        <is>
          <t>Ford</t>
        </is>
      </c>
      <c r="B223" s="52" t="inlineStr">
        <is>
          <t>n_pride_retreat</t>
        </is>
      </c>
      <c r="C223" s="52" t="inlineStr">
        <is>
          <t>Publicly retreated from stated inclusion commitments under activist pressure (HRC-documented pullback)</t>
        </is>
      </c>
      <c r="D223" s="51" t="inlineStr">
        <is>
          <t>—</t>
        </is>
      </c>
      <c r="E223" s="51" t="inlineStr">
        <is>
          <t>Negative</t>
        </is>
      </c>
      <c r="F223" s="51" t="n">
        <v>-22</v>
      </c>
      <c r="G223" s="51" t="n">
        <v>2024</v>
      </c>
      <c r="H223" s="52" t="inlineStr">
        <is>
          <t>https://www.hrc.org/press-releases/hrc-foundation-announces-record-participation-in-upcoming-2025-corporate-equality-index-docks-scores-of-seven-companies-in-current-ranking-following-their-pullback-from-workplace-inclusion</t>
        </is>
      </c>
      <c r="I223" s="52" t="inlineStr">
        <is>
          <t>HRC</t>
        </is>
      </c>
      <c r="J223" s="51" t="inlineStr">
        <is>
          <t>No</t>
        </is>
      </c>
      <c r="K223" s="52" t="inlineStr"/>
    </row>
    <row r="224" ht="23.25" customHeight="1" s="42">
      <c r="A224" s="52" t="inlineStr">
        <is>
          <t>Tesla</t>
        </is>
      </c>
      <c r="B224" s="52" t="inlineStr">
        <is>
          <t>n_dei_removal</t>
        </is>
      </c>
      <c r="C224" s="52" t="inlineStr">
        <is>
          <t>Scrubbed DEI from 10-K — the first major filer to do so; only ever published one diversity report (2020)</t>
        </is>
      </c>
      <c r="D224" s="51" t="inlineStr">
        <is>
          <t>—</t>
        </is>
      </c>
      <c r="E224" s="51" t="inlineStr">
        <is>
          <t>Negative</t>
        </is>
      </c>
      <c r="F224" s="51" t="n">
        <v>-32</v>
      </c>
      <c r="G224" s="51" t="n">
        <v>2024</v>
      </c>
      <c r="H224" s="52" t="inlineStr">
        <is>
          <t>https://www.cnn.com/2024/02/01/business/tesla-dei-elon-musk/index.html</t>
        </is>
      </c>
      <c r="I224" s="52" t="inlineStr">
        <is>
          <t>News</t>
        </is>
      </c>
      <c r="J224" s="51" t="inlineStr">
        <is>
          <t>No</t>
        </is>
      </c>
      <c r="K224" s="52" t="inlineStr"/>
    </row>
    <row r="225" ht="23.25" customHeight="1" s="42">
      <c r="A225" s="52" t="inlineStr">
        <is>
          <t>Toyota USA</t>
        </is>
      </c>
      <c r="B225" s="52" t="inlineStr">
        <is>
          <t>p_logo_rainbow</t>
        </is>
      </c>
      <c r="C225" s="52" t="inlineStr">
        <is>
          <t>Pride branding (through 2024)</t>
        </is>
      </c>
      <c r="D225" s="51" t="inlineStr">
        <is>
          <t>Cosmetic</t>
        </is>
      </c>
      <c r="E225" s="51" t="inlineStr">
        <is>
          <t>Positive</t>
        </is>
      </c>
      <c r="F225" s="51" t="n">
        <v>3</v>
      </c>
      <c r="G225" s="51" t="n">
        <v>2024</v>
      </c>
      <c r="H225" s="52" t="inlineStr">
        <is>
          <t>https://web.archive.org/web/2024/https://www.toyota.com/usa/diversity/</t>
        </is>
      </c>
      <c r="I225" s="52" t="inlineStr">
        <is>
          <t>Archive</t>
        </is>
      </c>
      <c r="J225" s="51" t="inlineStr">
        <is>
          <t>No</t>
        </is>
      </c>
      <c r="K225" s="52" t="inlineStr"/>
    </row>
    <row r="226" ht="23.25" customHeight="1" s="42">
      <c r="A226" s="52" t="inlineStr">
        <is>
          <t>Toyota USA</t>
        </is>
      </c>
      <c r="B226" s="52" t="inlineStr">
        <is>
          <t>p_generic_post</t>
        </is>
      </c>
      <c r="C226" s="52" t="inlineStr">
        <is>
          <t>Annual Pride posts (through 2024)</t>
        </is>
      </c>
      <c r="D226" s="51" t="inlineStr">
        <is>
          <t>Cosmetic</t>
        </is>
      </c>
      <c r="E226" s="51" t="inlineStr">
        <is>
          <t>Positive</t>
        </is>
      </c>
      <c r="F226" s="51" t="n">
        <v>2</v>
      </c>
      <c r="G226" s="51" t="n">
        <v>2024</v>
      </c>
      <c r="H226" s="52" t="inlineStr">
        <is>
          <t>https://web.archive.org/web/2024/https://www.toyota.com/usa/diversity/</t>
        </is>
      </c>
      <c r="I226" s="52" t="inlineStr">
        <is>
          <t>Archive</t>
        </is>
      </c>
      <c r="J226" s="51" t="inlineStr">
        <is>
          <t>No</t>
        </is>
      </c>
      <c r="K226" s="52" t="inlineStr"/>
    </row>
    <row r="227" ht="23.25" customHeight="1" s="42">
      <c r="A227" s="52" t="inlineStr">
        <is>
          <t>Toyota USA</t>
        </is>
      </c>
      <c r="B227" s="52" t="inlineStr">
        <is>
          <t>p_parade_sponsor</t>
        </is>
      </c>
      <c r="C227" s="52" t="inlineStr">
        <is>
          <t>Pride event sponsorships in multiple US markets (ended Oct 2024)</t>
        </is>
      </c>
      <c r="D227" s="51" t="inlineStr">
        <is>
          <t>Civic</t>
        </is>
      </c>
      <c r="E227" s="51" t="inlineStr">
        <is>
          <t>Positive</t>
        </is>
      </c>
      <c r="F227" s="51" t="n">
        <v>12</v>
      </c>
      <c r="G227" s="51" t="n">
        <v>2024</v>
      </c>
      <c r="H227" s="52" t="inlineStr">
        <is>
          <t>https://www.techtarget.com/whatis/feature/What-companies-are-rolling-back-DEI-policies</t>
        </is>
      </c>
      <c r="I227" s="52" t="inlineStr">
        <is>
          <t>News</t>
        </is>
      </c>
      <c r="J227" s="51" t="inlineStr">
        <is>
          <t>No</t>
        </is>
      </c>
      <c r="K227" s="52" t="inlineStr"/>
    </row>
    <row r="228" ht="23.25" customHeight="1" s="42">
      <c r="A228" s="52" t="inlineStr">
        <is>
          <t>Toyota USA</t>
        </is>
      </c>
      <c r="B228" s="52" t="inlineStr">
        <is>
          <t>p_erg_support</t>
        </is>
      </c>
      <c r="C228" s="52" t="inlineStr">
        <is>
          <t>Funded LGBTQ+ ERG (refocused to 'professional development' in 2024 rollback)</t>
        </is>
      </c>
      <c r="D228" s="51" t="inlineStr">
        <is>
          <t>Civic</t>
        </is>
      </c>
      <c r="E228" s="51" t="inlineStr">
        <is>
          <t>Positive</t>
        </is>
      </c>
      <c r="F228" s="51" t="n">
        <v>15</v>
      </c>
      <c r="G228" s="51" t="n">
        <v>2024</v>
      </c>
      <c r="H228" s="52" t="inlineStr">
        <is>
          <t>https://web.archive.org/web/2024/https://www.toyota.com/usa/diversity/</t>
        </is>
      </c>
      <c r="I228" s="52" t="inlineStr">
        <is>
          <t>Archive</t>
        </is>
      </c>
      <c r="J228" s="51" t="inlineStr">
        <is>
          <t>No</t>
        </is>
      </c>
      <c r="K228" s="52" t="inlineStr"/>
    </row>
    <row r="229" ht="23.25" customHeight="1" s="42">
      <c r="A229" s="52" t="inlineStr">
        <is>
          <t>Toyota USA</t>
        </is>
      </c>
      <c r="B229" s="52" t="inlineStr">
        <is>
          <t>n_dei_removal</t>
        </is>
      </c>
      <c r="C229" s="52" t="inlineStr">
        <is>
          <t>Quit HRC CEI; narrowed DEI programs and ERG scope (Oct 2024 memo)</t>
        </is>
      </c>
      <c r="D229" s="51" t="inlineStr">
        <is>
          <t>—</t>
        </is>
      </c>
      <c r="E229" s="51" t="inlineStr">
        <is>
          <t>Negative</t>
        </is>
      </c>
      <c r="F229" s="51" t="n">
        <v>-32</v>
      </c>
      <c r="G229" s="51" t="n">
        <v>2024</v>
      </c>
      <c r="H229" s="52" t="inlineStr">
        <is>
          <t>https://www.techtarget.com/whatis/feature/What-companies-are-rolling-back-DEI-policies</t>
        </is>
      </c>
      <c r="I229" s="52" t="inlineStr">
        <is>
          <t>News</t>
        </is>
      </c>
      <c r="J229" s="51" t="inlineStr">
        <is>
          <t>No</t>
        </is>
      </c>
      <c r="K229" s="52" t="inlineStr">
        <is>
          <t>Robby Starbuck campaign; archived before-state: https://web.archive.org/web/2024/https://www.toyota.com/usa/diversity/</t>
        </is>
      </c>
    </row>
    <row r="230" ht="23.25" customHeight="1" s="42">
      <c r="A230" s="52" t="inlineStr">
        <is>
          <t>Toyota USA</t>
        </is>
      </c>
      <c r="B230" s="52" t="inlineStr">
        <is>
          <t>n_pride_retreat</t>
        </is>
      </c>
      <c r="C230" s="52" t="inlineStr">
        <is>
          <t>Ended sponsorship of LGBTQ+ community events including Pride</t>
        </is>
      </c>
      <c r="D230" s="51" t="inlineStr">
        <is>
          <t>—</t>
        </is>
      </c>
      <c r="E230" s="51" t="inlineStr">
        <is>
          <t>Negative</t>
        </is>
      </c>
      <c r="F230" s="51" t="n">
        <v>-22</v>
      </c>
      <c r="G230" s="51" t="n">
        <v>2024</v>
      </c>
      <c r="H230" s="52" t="inlineStr">
        <is>
          <t>https://www.techtarget.com/whatis/feature/What-companies-are-rolling-back-DEI-policies</t>
        </is>
      </c>
      <c r="I230" s="52" t="inlineStr">
        <is>
          <t>News</t>
        </is>
      </c>
      <c r="J230" s="51" t="inlineStr">
        <is>
          <t>No</t>
        </is>
      </c>
      <c r="K230" s="52" t="inlineStr"/>
    </row>
    <row r="231" ht="23.25" customHeight="1" s="42">
      <c r="A231" s="52" t="inlineStr">
        <is>
          <t>Honda USA</t>
        </is>
      </c>
      <c r="B231" s="52" t="inlineStr">
        <is>
          <t>p_generic_post</t>
        </is>
      </c>
      <c r="C231" s="52" t="inlineStr">
        <is>
          <t>Pride Month posts and engagement</t>
        </is>
      </c>
      <c r="D231" s="51" t="inlineStr">
        <is>
          <t>Cosmetic</t>
        </is>
      </c>
      <c r="E231" s="51" t="inlineStr">
        <is>
          <t>Positive</t>
        </is>
      </c>
      <c r="F231" s="51" t="n">
        <v>2</v>
      </c>
      <c r="G231" s="51" t="n">
        <v>2024</v>
      </c>
      <c r="H231" s="52" t="inlineStr">
        <is>
          <t>https://web.archive.org/web/2024/https://www.honda.com/diversity</t>
        </is>
      </c>
      <c r="I231" s="52" t="inlineStr">
        <is>
          <t>Archive</t>
        </is>
      </c>
      <c r="J231" s="51" t="inlineStr">
        <is>
          <t>No</t>
        </is>
      </c>
      <c r="K231" s="52" t="inlineStr"/>
    </row>
    <row r="232" ht="23.25" customHeight="1" s="42">
      <c r="A232" s="52" t="inlineStr">
        <is>
          <t>Honda USA</t>
        </is>
      </c>
      <c r="B232" s="52" t="inlineStr">
        <is>
          <t>p_erg_support</t>
        </is>
      </c>
      <c r="C232" s="52" t="inlineStr">
        <is>
          <t>Funded LGBTQ+ employee resource group</t>
        </is>
      </c>
      <c r="D232" s="51" t="inlineStr">
        <is>
          <t>Civic</t>
        </is>
      </c>
      <c r="E232" s="51" t="inlineStr">
        <is>
          <t>Positive</t>
        </is>
      </c>
      <c r="F232" s="51" t="n">
        <v>15</v>
      </c>
      <c r="G232" s="51" t="n">
        <v>2024</v>
      </c>
      <c r="H232" s="52" t="inlineStr">
        <is>
          <t>https://web.archive.org/web/2024/https://www.honda.com/diversity</t>
        </is>
      </c>
      <c r="I232" s="52" t="inlineStr">
        <is>
          <t>Archive</t>
        </is>
      </c>
      <c r="J232" s="51" t="inlineStr">
        <is>
          <t>No</t>
        </is>
      </c>
      <c r="K232" s="52" t="inlineStr"/>
    </row>
    <row r="233" ht="23.25" customHeight="1" s="42">
      <c r="A233" s="52" t="inlineStr">
        <is>
          <t>Stellantis</t>
        </is>
      </c>
      <c r="B233" s="52" t="inlineStr">
        <is>
          <t>p_generic_post</t>
        </is>
      </c>
      <c r="C233" s="52" t="inlineStr">
        <is>
          <t>Occasional brand Pride posts (Jeep et al.)</t>
        </is>
      </c>
      <c r="D233" s="51" t="inlineStr">
        <is>
          <t>Cosmetic</t>
        </is>
      </c>
      <c r="E233" s="51" t="inlineStr">
        <is>
          <t>Positive</t>
        </is>
      </c>
      <c r="F233" s="51" t="n">
        <v>2</v>
      </c>
      <c r="G233" s="51" t="n">
        <v>2024</v>
      </c>
      <c r="H233" s="52" t="inlineStr">
        <is>
          <t>https://web.archive.org/web/2024/https://www.stellantis.com/en/company/diversity-and-inclusion</t>
        </is>
      </c>
      <c r="I233" s="52" t="inlineStr">
        <is>
          <t>Archive</t>
        </is>
      </c>
      <c r="J233" s="51" t="inlineStr">
        <is>
          <t>No</t>
        </is>
      </c>
      <c r="K233" s="52" t="inlineStr"/>
    </row>
    <row r="234" ht="23.25" customHeight="1" s="42">
      <c r="A234" s="52" t="inlineStr">
        <is>
          <t>CVS Health</t>
        </is>
      </c>
      <c r="B234" s="52" t="inlineStr">
        <is>
          <t>p_generic_post</t>
        </is>
      </c>
      <c r="C234" s="52" t="inlineStr">
        <is>
          <t>Annual Pride Month posts and engagement</t>
        </is>
      </c>
      <c r="D234" s="51" t="inlineStr">
        <is>
          <t>Cosmetic</t>
        </is>
      </c>
      <c r="E234" s="51" t="inlineStr">
        <is>
          <t>Positive</t>
        </is>
      </c>
      <c r="F234" s="51" t="n">
        <v>2</v>
      </c>
      <c r="G234" s="51" t="n">
        <v>2024</v>
      </c>
      <c r="H234" s="52" t="inlineStr">
        <is>
          <t>https://web.archive.org/web/2024/https://www.cvshealth.com/about/diversity.html</t>
        </is>
      </c>
      <c r="I234" s="52" t="inlineStr">
        <is>
          <t>Archive</t>
        </is>
      </c>
      <c r="J234" s="51" t="inlineStr">
        <is>
          <t>No</t>
        </is>
      </c>
      <c r="K234" s="52" t="inlineStr"/>
    </row>
    <row r="235" ht="23.25" customHeight="1" s="42">
      <c r="A235" s="52" t="inlineStr">
        <is>
          <t>CVS Health</t>
        </is>
      </c>
      <c r="B235" s="52" t="inlineStr">
        <is>
          <t>p_benefits</t>
        </is>
      </c>
      <c r="C235" s="52" t="inlineStr">
        <is>
          <t>Inclusive partner and gender-affirming benefits (CEI-verified)</t>
        </is>
      </c>
      <c r="D235" s="51" t="inlineStr">
        <is>
          <t>Structural</t>
        </is>
      </c>
      <c r="E235" s="51" t="inlineStr">
        <is>
          <t>Positive</t>
        </is>
      </c>
      <c r="F235" s="51" t="n">
        <v>22</v>
      </c>
      <c r="G235" s="51" t="n">
        <v>2024</v>
      </c>
      <c r="H235" s="52" t="inlineStr">
        <is>
          <t>https://reports.hrc.org/corporate-equality-index-2025</t>
        </is>
      </c>
      <c r="I235" s="52" t="inlineStr">
        <is>
          <t>HRC</t>
        </is>
      </c>
      <c r="J235" s="51" t="inlineStr">
        <is>
          <t>No</t>
        </is>
      </c>
      <c r="K235" s="52" t="inlineStr"/>
    </row>
    <row r="236" ht="23.25" customHeight="1" s="42">
      <c r="A236" s="52" t="inlineStr">
        <is>
          <t>Walgreens</t>
        </is>
      </c>
      <c r="B236" s="52" t="inlineStr">
        <is>
          <t>p_generic_post</t>
        </is>
      </c>
      <c r="C236" s="52" t="inlineStr">
        <is>
          <t>Pride Month posts and engagement (prior years)</t>
        </is>
      </c>
      <c r="D236" s="51" t="inlineStr">
        <is>
          <t>Cosmetic</t>
        </is>
      </c>
      <c r="E236" s="51" t="inlineStr">
        <is>
          <t>Positive</t>
        </is>
      </c>
      <c r="F236" s="51" t="n">
        <v>2</v>
      </c>
      <c r="G236" s="51" t="n">
        <v>2024</v>
      </c>
      <c r="H236" s="52" t="inlineStr">
        <is>
          <t>https://web.archive.org/web/2024/https://www.walgreensbootsalliance.com/people-perspectives/diversity-equity-inclusion</t>
        </is>
      </c>
      <c r="I236" s="52" t="inlineStr">
        <is>
          <t>Archive</t>
        </is>
      </c>
      <c r="J236" s="51" t="inlineStr">
        <is>
          <t>No</t>
        </is>
      </c>
      <c r="K236" s="52" t="inlineStr"/>
    </row>
    <row r="237" ht="23.25" customHeight="1" s="42">
      <c r="A237" s="52" t="inlineStr">
        <is>
          <t>Walgreens</t>
        </is>
      </c>
      <c r="B237" s="52" t="inlineStr">
        <is>
          <t>p_benefits</t>
        </is>
      </c>
      <c r="C237" s="52" t="inlineStr">
        <is>
          <t>Inclusive partner and gender-affirming benefits (CEI-verified)</t>
        </is>
      </c>
      <c r="D237" s="51" t="inlineStr">
        <is>
          <t>Structural</t>
        </is>
      </c>
      <c r="E237" s="51" t="inlineStr">
        <is>
          <t>Positive</t>
        </is>
      </c>
      <c r="F237" s="51" t="n">
        <v>22</v>
      </c>
      <c r="G237" s="51" t="n">
        <v>2024</v>
      </c>
      <c r="H237" s="52" t="inlineStr">
        <is>
          <t>https://reports.hrc.org/corporate-equality-index-2025</t>
        </is>
      </c>
      <c r="I237" s="52" t="inlineStr">
        <is>
          <t>HRC</t>
        </is>
      </c>
      <c r="J237" s="51" t="inlineStr">
        <is>
          <t>No</t>
        </is>
      </c>
      <c r="K237" s="52" t="inlineStr"/>
    </row>
    <row r="238" ht="23.25" customHeight="1" s="42">
      <c r="A238" s="52" t="inlineStr">
        <is>
          <t>Johnson &amp; Johnson</t>
        </is>
      </c>
      <c r="B238" s="52" t="inlineStr">
        <is>
          <t>p_generic_post</t>
        </is>
      </c>
      <c r="C238" s="52" t="inlineStr">
        <is>
          <t>Annual Pride Month posts and engagement</t>
        </is>
      </c>
      <c r="D238" s="51" t="inlineStr">
        <is>
          <t>Cosmetic</t>
        </is>
      </c>
      <c r="E238" s="51" t="inlineStr">
        <is>
          <t>Positive</t>
        </is>
      </c>
      <c r="F238" s="51" t="n">
        <v>2</v>
      </c>
      <c r="G238" s="51" t="n">
        <v>2024</v>
      </c>
      <c r="H238" s="52" t="inlineStr">
        <is>
          <t>https://web.archive.org/web/2024/https://www.jnj.com/about-jnj/diversity-equity-and-inclusion</t>
        </is>
      </c>
      <c r="I238" s="52" t="inlineStr">
        <is>
          <t>Archive</t>
        </is>
      </c>
      <c r="J238" s="51" t="inlineStr">
        <is>
          <t>No</t>
        </is>
      </c>
      <c r="K238" s="52" t="inlineStr"/>
    </row>
    <row r="239" ht="23.25" customHeight="1" s="42">
      <c r="A239" s="52" t="inlineStr">
        <is>
          <t>Johnson &amp; Johnson</t>
        </is>
      </c>
      <c r="B239" s="52" t="inlineStr">
        <is>
          <t>p_benefits</t>
        </is>
      </c>
      <c r="C239" s="52" t="inlineStr">
        <is>
          <t>Inclusive partner and gender-affirming benefits (CEI-verified)</t>
        </is>
      </c>
      <c r="D239" s="51" t="inlineStr">
        <is>
          <t>Structural</t>
        </is>
      </c>
      <c r="E239" s="51" t="inlineStr">
        <is>
          <t>Positive</t>
        </is>
      </c>
      <c r="F239" s="51" t="n">
        <v>22</v>
      </c>
      <c r="G239" s="51" t="n">
        <v>2024</v>
      </c>
      <c r="H239" s="52" t="inlineStr">
        <is>
          <t>https://reports.hrc.org/corporate-equality-index-2025</t>
        </is>
      </c>
      <c r="I239" s="52" t="inlineStr">
        <is>
          <t>HRC</t>
        </is>
      </c>
      <c r="J239" s="51" t="inlineStr">
        <is>
          <t>No</t>
        </is>
      </c>
      <c r="K239" s="52" t="inlineStr"/>
    </row>
    <row r="240" ht="23.25" customHeight="1" s="42">
      <c r="A240" s="52" t="inlineStr">
        <is>
          <t>Pfizer</t>
        </is>
      </c>
      <c r="B240" s="52" t="inlineStr">
        <is>
          <t>p_generic_post</t>
        </is>
      </c>
      <c r="C240" s="52" t="inlineStr">
        <is>
          <t>Annual Pride Month posts and engagement</t>
        </is>
      </c>
      <c r="D240" s="51" t="inlineStr">
        <is>
          <t>Cosmetic</t>
        </is>
      </c>
      <c r="E240" s="51" t="inlineStr">
        <is>
          <t>Positive</t>
        </is>
      </c>
      <c r="F240" s="51" t="n">
        <v>2</v>
      </c>
      <c r="G240" s="51" t="n">
        <v>2024</v>
      </c>
      <c r="H240" s="52" t="inlineStr">
        <is>
          <t>https://web.archive.org/web/2024/https://www.pfizer.com/about/responsibility/diversity-equity-inclusion</t>
        </is>
      </c>
      <c r="I240" s="52" t="inlineStr">
        <is>
          <t>Archive</t>
        </is>
      </c>
      <c r="J240" s="51" t="inlineStr">
        <is>
          <t>No</t>
        </is>
      </c>
      <c r="K240" s="52" t="inlineStr"/>
    </row>
    <row r="241" ht="23.25" customHeight="1" s="42">
      <c r="A241" s="52" t="inlineStr">
        <is>
          <t>Pfizer</t>
        </is>
      </c>
      <c r="B241" s="52" t="inlineStr">
        <is>
          <t>p_erg_support</t>
        </is>
      </c>
      <c r="C241" s="52" t="inlineStr">
        <is>
          <t>Funded OPEN LGBTQ+ employee resource network</t>
        </is>
      </c>
      <c r="D241" s="51" t="inlineStr">
        <is>
          <t>Civic</t>
        </is>
      </c>
      <c r="E241" s="51" t="inlineStr">
        <is>
          <t>Positive</t>
        </is>
      </c>
      <c r="F241" s="51" t="n">
        <v>15</v>
      </c>
      <c r="G241" s="51" t="n">
        <v>2024</v>
      </c>
      <c r="H241" s="52" t="inlineStr">
        <is>
          <t>https://web.archive.org/web/2024/https://www.pfizer.com/about/responsibility/diversity-equity-inclusion</t>
        </is>
      </c>
      <c r="I241" s="52" t="inlineStr">
        <is>
          <t>Archive</t>
        </is>
      </c>
      <c r="J241" s="51" t="inlineStr">
        <is>
          <t>No</t>
        </is>
      </c>
      <c r="K241" s="52" t="inlineStr"/>
    </row>
    <row r="242" ht="23.25" customHeight="1" s="42">
      <c r="A242" s="52" t="inlineStr">
        <is>
          <t>Pfizer</t>
        </is>
      </c>
      <c r="B242" s="52" t="inlineStr">
        <is>
          <t>p_benefits</t>
        </is>
      </c>
      <c r="C242" s="52" t="inlineStr">
        <is>
          <t>Inclusive partner and gender-affirming benefits (CEI-verified)</t>
        </is>
      </c>
      <c r="D242" s="51" t="inlineStr">
        <is>
          <t>Structural</t>
        </is>
      </c>
      <c r="E242" s="51" t="inlineStr">
        <is>
          <t>Positive</t>
        </is>
      </c>
      <c r="F242" s="51" t="n">
        <v>22</v>
      </c>
      <c r="G242" s="51" t="n">
        <v>2024</v>
      </c>
      <c r="H242" s="52" t="inlineStr">
        <is>
          <t>https://reports.hrc.org/corporate-equality-index-2025</t>
        </is>
      </c>
      <c r="I242" s="52" t="inlineStr">
        <is>
          <t>HRC</t>
        </is>
      </c>
      <c r="J242" s="51" t="inlineStr">
        <is>
          <t>No</t>
        </is>
      </c>
      <c r="K242" s="52" t="inlineStr"/>
    </row>
    <row r="243" ht="23.25" customHeight="1" s="42">
      <c r="A243" s="52" t="inlineStr">
        <is>
          <t>UnitedHealth Group</t>
        </is>
      </c>
      <c r="B243" s="52" t="inlineStr">
        <is>
          <t>p_generic_post</t>
        </is>
      </c>
      <c r="C243" s="52" t="inlineStr">
        <is>
          <t>Prior Pride Month engagement and DEI reporting</t>
        </is>
      </c>
      <c r="D243" s="51" t="inlineStr">
        <is>
          <t>Cosmetic</t>
        </is>
      </c>
      <c r="E243" s="51" t="inlineStr">
        <is>
          <t>Positive</t>
        </is>
      </c>
      <c r="F243" s="51" t="n">
        <v>2</v>
      </c>
      <c r="G243" s="51" t="n">
        <v>2024</v>
      </c>
      <c r="H243" s="52" t="inlineStr">
        <is>
          <t>https://web.archive.org/web/2024/https://www.unitedhealthgroup.com/people-and-businesses/people-culture/diversity-equity-inclusion.html</t>
        </is>
      </c>
      <c r="I243" s="52" t="inlineStr">
        <is>
          <t>Archive</t>
        </is>
      </c>
      <c r="J243" s="51" t="inlineStr">
        <is>
          <t>No</t>
        </is>
      </c>
      <c r="K243" s="52" t="inlineStr"/>
    </row>
    <row r="244" ht="23.25" customHeight="1" s="42">
      <c r="A244" s="52" t="inlineStr">
        <is>
          <t>UnitedHealth Group</t>
        </is>
      </c>
      <c r="B244" s="52" t="inlineStr">
        <is>
          <t>p_benefits</t>
        </is>
      </c>
      <c r="C244" s="52" t="inlineStr">
        <is>
          <t>Inclusive partner and gender-affirming benefits (CEI-verified)</t>
        </is>
      </c>
      <c r="D244" s="51" t="inlineStr">
        <is>
          <t>Structural</t>
        </is>
      </c>
      <c r="E244" s="51" t="inlineStr">
        <is>
          <t>Positive</t>
        </is>
      </c>
      <c r="F244" s="51" t="n">
        <v>22</v>
      </c>
      <c r="G244" s="51" t="n">
        <v>2024</v>
      </c>
      <c r="H244" s="52" t="inlineStr">
        <is>
          <t>https://reports.hrc.org/corporate-equality-index-2025</t>
        </is>
      </c>
      <c r="I244" s="52" t="inlineStr">
        <is>
          <t>HRC</t>
        </is>
      </c>
      <c r="J244" s="51" t="inlineStr">
        <is>
          <t>No</t>
        </is>
      </c>
      <c r="K244" s="52" t="inlineStr"/>
    </row>
    <row r="245" ht="23.25" customHeight="1" s="42">
      <c r="A245" s="52" t="inlineStr">
        <is>
          <t>UnitedHealth Group</t>
        </is>
      </c>
      <c r="B245" s="52" t="inlineStr">
        <is>
          <t>n_dei_removal</t>
        </is>
      </c>
      <c r="C245" s="52" t="inlineStr">
        <is>
          <t>Removed DEI mentions from much of its website; dedicated pages no longer load; 2022 DEI blog post deleted</t>
        </is>
      </c>
      <c r="D245" s="51" t="inlineStr">
        <is>
          <t>—</t>
        </is>
      </c>
      <c r="E245" s="51" t="inlineStr">
        <is>
          <t>Negative</t>
        </is>
      </c>
      <c r="F245" s="51" t="n">
        <v>-32</v>
      </c>
      <c r="G245" s="51" t="n">
        <v>2025</v>
      </c>
      <c r="H245" s="52" t="inlineStr">
        <is>
          <t>https://techcrunch.com/2025/03/26/unitedhealth-removes-mentions-of-dei-from-its-website/</t>
        </is>
      </c>
      <c r="I245" s="52" t="inlineStr">
        <is>
          <t>News</t>
        </is>
      </c>
      <c r="J245" s="51" t="inlineStr">
        <is>
          <t>Yes</t>
        </is>
      </c>
      <c r="K245" s="52" t="inlineStr">
        <is>
          <t>Archived before-state: https://web.archive.org/web/2024/https://www.unitedhealthgroup.com/people-and-businesses/people-culture/diversity-equity-inclusion.html</t>
        </is>
      </c>
    </row>
    <row r="246" ht="23.25" customHeight="1" s="42">
      <c r="A246" s="52" t="inlineStr">
        <is>
          <t>Cigna</t>
        </is>
      </c>
      <c r="B246" s="52" t="inlineStr">
        <is>
          <t>p_generic_post</t>
        </is>
      </c>
      <c r="C246" s="52" t="inlineStr">
        <is>
          <t>Pride engagement and inclusion reporting (prior years)</t>
        </is>
      </c>
      <c r="D246" s="51" t="inlineStr">
        <is>
          <t>Cosmetic</t>
        </is>
      </c>
      <c r="E246" s="51" t="inlineStr">
        <is>
          <t>Positive</t>
        </is>
      </c>
      <c r="F246" s="51" t="n">
        <v>2</v>
      </c>
      <c r="G246" s="51" t="n">
        <v>2024</v>
      </c>
      <c r="H246" s="52" t="inlineStr">
        <is>
          <t>https://web.archive.org/web/2024/https://www.thecignagroup.com/about-us/diversity-equity-inclusion</t>
        </is>
      </c>
      <c r="I246" s="52" t="inlineStr">
        <is>
          <t>Archive</t>
        </is>
      </c>
      <c r="J246" s="51" t="inlineStr">
        <is>
          <t>No</t>
        </is>
      </c>
      <c r="K246" s="52" t="inlineStr"/>
    </row>
    <row r="247" ht="23.25" customHeight="1" s="42">
      <c r="A247" s="52" t="inlineStr">
        <is>
          <t>Cigna</t>
        </is>
      </c>
      <c r="B247" s="52" t="inlineStr">
        <is>
          <t>p_benefits</t>
        </is>
      </c>
      <c r="C247" s="52" t="inlineStr">
        <is>
          <t>Inclusive benefits; public transgender health and gender-affirmation resources maintained</t>
        </is>
      </c>
      <c r="D247" s="51" t="inlineStr">
        <is>
          <t>Structural</t>
        </is>
      </c>
      <c r="E247" s="51" t="inlineStr">
        <is>
          <t>Positive</t>
        </is>
      </c>
      <c r="F247" s="51" t="n">
        <v>22</v>
      </c>
      <c r="G247" s="51" t="n">
        <v>2025</v>
      </c>
      <c r="H247" s="52" t="inlineStr">
        <is>
          <t>https://www.cigna.com/knowledge-center/transgender-health-issues</t>
        </is>
      </c>
      <c r="I247" s="52" t="inlineStr">
        <is>
          <t>Company</t>
        </is>
      </c>
      <c r="J247" s="51" t="inlineStr">
        <is>
          <t>Yes</t>
        </is>
      </c>
      <c r="K247" s="52" t="inlineStr"/>
    </row>
    <row r="248" ht="23.25" customHeight="1" s="42">
      <c r="A248" s="52" t="inlineStr">
        <is>
          <t>Cigna</t>
        </is>
      </c>
      <c r="B248" s="52" t="inlineStr">
        <is>
          <t>n_dei_removal</t>
        </is>
      </c>
      <c r="C248" s="52" t="inlineStr">
        <is>
          <t>Revised/softened DEI strategy language in 2025 annual report (insurer retreat pattern)</t>
        </is>
      </c>
      <c r="D248" s="51" t="inlineStr">
        <is>
          <t>—</t>
        </is>
      </c>
      <c r="E248" s="51" t="inlineStr">
        <is>
          <t>Negative</t>
        </is>
      </c>
      <c r="F248" s="51" t="n">
        <v>-32</v>
      </c>
      <c r="G248" s="51" t="n">
        <v>2025</v>
      </c>
      <c r="H248" s="52" t="inlineStr">
        <is>
          <t>https://www.modernhealthcare.com/insurance/unitedhealth-cigna-humana-elevance-dei/</t>
        </is>
      </c>
      <c r="I248" s="52" t="inlineStr">
        <is>
          <t>News</t>
        </is>
      </c>
      <c r="J248" s="51" t="inlineStr">
        <is>
          <t>Yes</t>
        </is>
      </c>
      <c r="K248" s="52" t="inlineStr"/>
    </row>
    <row r="249" ht="23.25" customHeight="1" s="42">
      <c r="A249" s="52" t="inlineStr">
        <is>
          <t>Humana</t>
        </is>
      </c>
      <c r="B249" s="52" t="inlineStr">
        <is>
          <t>p_generic_post</t>
        </is>
      </c>
      <c r="C249" s="52" t="inlineStr">
        <is>
          <t>Pride engagement and inclusion reporting (prior years)</t>
        </is>
      </c>
      <c r="D249" s="51" t="inlineStr">
        <is>
          <t>Cosmetic</t>
        </is>
      </c>
      <c r="E249" s="51" t="inlineStr">
        <is>
          <t>Positive</t>
        </is>
      </c>
      <c r="F249" s="51" t="n">
        <v>2</v>
      </c>
      <c r="G249" s="51" t="n">
        <v>2024</v>
      </c>
      <c r="H249" s="52" t="inlineStr">
        <is>
          <t>https://web.archive.org/web/2024/https://www.humana.com/about/impact/diversity-equity-inclusion</t>
        </is>
      </c>
      <c r="I249" s="52" t="inlineStr">
        <is>
          <t>Archive</t>
        </is>
      </c>
      <c r="J249" s="51" t="inlineStr">
        <is>
          <t>No</t>
        </is>
      </c>
      <c r="K249" s="52" t="inlineStr"/>
    </row>
    <row r="250" ht="23.25" customHeight="1" s="42">
      <c r="A250" s="52" t="inlineStr">
        <is>
          <t>Humana</t>
        </is>
      </c>
      <c r="B250" s="52" t="inlineStr">
        <is>
          <t>p_benefits</t>
        </is>
      </c>
      <c r="C250" s="52" t="inlineStr">
        <is>
          <t>Inclusive partner and gender-affirming benefits (CEI-verified)</t>
        </is>
      </c>
      <c r="D250" s="51" t="inlineStr">
        <is>
          <t>Structural</t>
        </is>
      </c>
      <c r="E250" s="51" t="inlineStr">
        <is>
          <t>Positive</t>
        </is>
      </c>
      <c r="F250" s="51" t="n">
        <v>22</v>
      </c>
      <c r="G250" s="51" t="n">
        <v>2024</v>
      </c>
      <c r="H250" s="52" t="inlineStr">
        <is>
          <t>https://reports.hrc.org/corporate-equality-index-2025</t>
        </is>
      </c>
      <c r="I250" s="52" t="inlineStr">
        <is>
          <t>HRC</t>
        </is>
      </c>
      <c r="J250" s="51" t="inlineStr">
        <is>
          <t>No</t>
        </is>
      </c>
      <c r="K250" s="52" t="inlineStr"/>
    </row>
    <row r="251" ht="23.25" customHeight="1" s="42">
      <c r="A251" s="52" t="inlineStr">
        <is>
          <t>Humana</t>
        </is>
      </c>
      <c r="B251" s="52" t="inlineStr">
        <is>
          <t>n_dei_removal</t>
        </is>
      </c>
      <c r="C251" s="52" t="inlineStr">
        <is>
          <t>Revised/softened DEI strategy language in 2025 annual report (insurer retreat pattern)</t>
        </is>
      </c>
      <c r="D251" s="51" t="inlineStr">
        <is>
          <t>—</t>
        </is>
      </c>
      <c r="E251" s="51" t="inlineStr">
        <is>
          <t>Negative</t>
        </is>
      </c>
      <c r="F251" s="51" t="n">
        <v>-32</v>
      </c>
      <c r="G251" s="51" t="n">
        <v>2025</v>
      </c>
      <c r="H251" s="52" t="inlineStr">
        <is>
          <t>https://www.modernhealthcare.com/insurance/unitedhealth-cigna-humana-elevance-dei/</t>
        </is>
      </c>
      <c r="I251" s="52" t="inlineStr">
        <is>
          <t>News</t>
        </is>
      </c>
      <c r="J251" s="51" t="inlineStr">
        <is>
          <t>Yes</t>
        </is>
      </c>
      <c r="K251" s="52" t="inlineStr"/>
    </row>
    <row r="252" ht="23.25" customHeight="1" s="42">
      <c r="A252" s="52" t="inlineStr">
        <is>
          <t>ExxonMobil</t>
        </is>
      </c>
      <c r="B252" s="52" t="inlineStr">
        <is>
          <t>p_anti_discrim_policy</t>
        </is>
      </c>
      <c r="C252" s="52" t="inlineStr">
        <is>
          <t>Nondiscrimination policy covering orientation and gender identity (adopted 2015 under federal contractor EO mandate)</t>
        </is>
      </c>
      <c r="D252" s="51" t="inlineStr">
        <is>
          <t>Structural</t>
        </is>
      </c>
      <c r="E252" s="51" t="inlineStr">
        <is>
          <t>Positive</t>
        </is>
      </c>
      <c r="F252" s="51" t="n">
        <v>25</v>
      </c>
      <c r="G252" s="51" t="n">
        <v>2015</v>
      </c>
      <c r="H252" s="52" t="inlineStr">
        <is>
          <t>https://en.wikipedia.org/wiki/ExxonMobil#LGBT_employment_policies</t>
        </is>
      </c>
      <c r="I252" s="52" t="inlineStr">
        <is>
          <t>News</t>
        </is>
      </c>
      <c r="J252" s="51" t="inlineStr">
        <is>
          <t>No</t>
        </is>
      </c>
      <c r="K252" s="52" t="inlineStr">
        <is>
          <t>Adopted only after Obama-era EO 13672 required it of contractors</t>
        </is>
      </c>
    </row>
    <row r="253" ht="23.25" customHeight="1" s="42">
      <c r="A253" s="52" t="inlineStr">
        <is>
          <t>ExxonMobil</t>
        </is>
      </c>
      <c r="B253" s="52" t="inlineStr">
        <is>
          <t>n_benefits_rollback</t>
        </is>
      </c>
      <c r="C253" s="52" t="inlineStr">
        <is>
          <t>Rescinded Mobil's domestic-partner benefits following the 1999 Exxon-Mobil merger</t>
        </is>
      </c>
      <c r="D253" s="51" t="inlineStr">
        <is>
          <t>—</t>
        </is>
      </c>
      <c r="E253" s="51" t="inlineStr">
        <is>
          <t>Negative</t>
        </is>
      </c>
      <c r="F253" s="51" t="n">
        <v>-28</v>
      </c>
      <c r="G253" s="51" t="n">
        <v>1999</v>
      </c>
      <c r="H253" s="52" t="inlineStr">
        <is>
          <t>https://en.wikipedia.org/wiki/ExxonMobil#LGBT_employment_policies</t>
        </is>
      </c>
      <c r="I253" s="52" t="inlineStr">
        <is>
          <t>News</t>
        </is>
      </c>
      <c r="J253" s="51" t="inlineStr">
        <is>
          <t>No</t>
        </is>
      </c>
      <c r="K253" s="52" t="inlineStr">
        <is>
          <t>Only major US company to revoke existing DP benefits; HRC's only negative CEI score (-25) followed</t>
        </is>
      </c>
    </row>
    <row r="254" ht="23.25" customHeight="1" s="42">
      <c r="A254" s="52" t="inlineStr">
        <is>
          <t>ExxonMobil</t>
        </is>
      </c>
      <c r="B254" s="52" t="inlineStr">
        <is>
          <t>n_pride_retreat</t>
        </is>
      </c>
      <c r="C254" s="52" t="inlineStr">
        <is>
          <t>Banned Pride (and other 'external position') flags from company flagpoles; employee protests and ERG pushback followed</t>
        </is>
      </c>
      <c r="D254" s="51" t="inlineStr">
        <is>
          <t>—</t>
        </is>
      </c>
      <c r="E254" s="51" t="inlineStr">
        <is>
          <t>Negative</t>
        </is>
      </c>
      <c r="F254" s="51" t="n">
        <v>-22</v>
      </c>
      <c r="G254" s="51" t="n">
        <v>2022</v>
      </c>
      <c r="H254" s="52" t="inlineStr">
        <is>
          <t>https://www.bloomberg.com/news/articles/2022-04-21/exxon-bans-lgbtq-pride-black-lives-matter-flags-at-offices</t>
        </is>
      </c>
      <c r="I254" s="52" t="inlineStr">
        <is>
          <t>News</t>
        </is>
      </c>
      <c r="J254" s="51" t="inlineStr">
        <is>
          <t>No</t>
        </is>
      </c>
      <c r="K254" s="52" t="inlineStr"/>
    </row>
    <row r="255" ht="23.25" customHeight="1" s="42">
      <c r="A255" s="52" t="inlineStr">
        <is>
          <t>Chevron</t>
        </is>
      </c>
      <c r="B255" s="52" t="inlineStr">
        <is>
          <t>p_generic_post</t>
        </is>
      </c>
      <c r="C255" s="52" t="inlineStr">
        <is>
          <t>Pride Month posts and engagement</t>
        </is>
      </c>
      <c r="D255" s="51" t="inlineStr">
        <is>
          <t>Cosmetic</t>
        </is>
      </c>
      <c r="E255" s="51" t="inlineStr">
        <is>
          <t>Positive</t>
        </is>
      </c>
      <c r="F255" s="51" t="n">
        <v>2</v>
      </c>
      <c r="G255" s="51" t="n">
        <v>2024</v>
      </c>
      <c r="H255" s="52" t="inlineStr">
        <is>
          <t>https://web.archive.org/web/2024/https://www.chevron.com/sustainability/social/diversity-inclusion</t>
        </is>
      </c>
      <c r="I255" s="52" t="inlineStr">
        <is>
          <t>Archive</t>
        </is>
      </c>
      <c r="J255" s="51" t="inlineStr">
        <is>
          <t>No</t>
        </is>
      </c>
      <c r="K255" s="52" t="inlineStr"/>
    </row>
    <row r="256" ht="23.25" customHeight="1" s="42">
      <c r="A256" s="52" t="inlineStr">
        <is>
          <t>Chevron</t>
        </is>
      </c>
      <c r="B256" s="52" t="inlineStr">
        <is>
          <t>p_erg_support</t>
        </is>
      </c>
      <c r="C256" s="52" t="inlineStr">
        <is>
          <t>Funded PRIDE Chevron employee network</t>
        </is>
      </c>
      <c r="D256" s="51" t="inlineStr">
        <is>
          <t>Civic</t>
        </is>
      </c>
      <c r="E256" s="51" t="inlineStr">
        <is>
          <t>Positive</t>
        </is>
      </c>
      <c r="F256" s="51" t="n">
        <v>15</v>
      </c>
      <c r="G256" s="51" t="n">
        <v>2024</v>
      </c>
      <c r="H256" s="52" t="inlineStr">
        <is>
          <t>https://web.archive.org/web/2024/https://www.chevron.com/sustainability/social/diversity-inclusion</t>
        </is>
      </c>
      <c r="I256" s="52" t="inlineStr">
        <is>
          <t>Archive</t>
        </is>
      </c>
      <c r="J256" s="51" t="inlineStr">
        <is>
          <t>No</t>
        </is>
      </c>
      <c r="K256" s="52" t="inlineStr"/>
    </row>
    <row r="257" ht="23.25" customHeight="1" s="42">
      <c r="A257" s="52" t="inlineStr">
        <is>
          <t>Marriott</t>
        </is>
      </c>
      <c r="B257" s="52" t="inlineStr">
        <is>
          <t>p_logo_rainbow</t>
        </is>
      </c>
      <c r="C257" s="52" t="inlineStr">
        <is>
          <t>Pride campaign branding across brands</t>
        </is>
      </c>
      <c r="D257" s="51" t="inlineStr">
        <is>
          <t>Cosmetic</t>
        </is>
      </c>
      <c r="E257" s="51" t="inlineStr">
        <is>
          <t>Positive</t>
        </is>
      </c>
      <c r="F257" s="51" t="n">
        <v>3</v>
      </c>
      <c r="G257" s="51" t="n">
        <v>2025</v>
      </c>
      <c r="H257" s="52" t="inlineStr">
        <is>
          <t>https://web.archive.org/web/2025/https://www.marriott.com/diversity/corporate-diversity.mi</t>
        </is>
      </c>
      <c r="I257" s="52" t="inlineStr">
        <is>
          <t>Archive</t>
        </is>
      </c>
      <c r="J257" s="51" t="inlineStr">
        <is>
          <t>Yes</t>
        </is>
      </c>
      <c r="K257" s="52" t="inlineStr"/>
    </row>
    <row r="258" ht="23.25" customHeight="1" s="42">
      <c r="A258" s="52" t="inlineStr">
        <is>
          <t>Marriott</t>
        </is>
      </c>
      <c r="B258" s="52" t="inlineStr">
        <is>
          <t>p_collab</t>
        </is>
      </c>
      <c r="C258" s="52" t="inlineStr">
        <is>
          <t>#LoveTravels platform with LGBTQ+ talent and creators, running since 2014</t>
        </is>
      </c>
      <c r="D258" s="51" t="inlineStr">
        <is>
          <t>Commercial</t>
        </is>
      </c>
      <c r="E258" s="51" t="inlineStr">
        <is>
          <t>Positive</t>
        </is>
      </c>
      <c r="F258" s="51" t="n">
        <v>8</v>
      </c>
      <c r="G258" s="51" t="n">
        <v>2024</v>
      </c>
      <c r="H258" s="52" t="inlineStr">
        <is>
          <t>https://web.archive.org/web/2024/https://www.marriott.com/loveTravels/</t>
        </is>
      </c>
      <c r="I258" s="52" t="inlineStr">
        <is>
          <t>Archive</t>
        </is>
      </c>
      <c r="J258" s="51" t="inlineStr">
        <is>
          <t>No</t>
        </is>
      </c>
      <c r="K258" s="52" t="inlineStr"/>
    </row>
    <row r="259" ht="23.25" customHeight="1" s="42">
      <c r="A259" s="52" t="inlineStr">
        <is>
          <t>Marriott</t>
        </is>
      </c>
      <c r="B259" s="52" t="inlineStr">
        <is>
          <t>p_erg_support</t>
        </is>
      </c>
      <c r="C259" s="52" t="inlineStr">
        <is>
          <t>Funded LGBTQ+ employee resource group</t>
        </is>
      </c>
      <c r="D259" s="51" t="inlineStr">
        <is>
          <t>Civic</t>
        </is>
      </c>
      <c r="E259" s="51" t="inlineStr">
        <is>
          <t>Positive</t>
        </is>
      </c>
      <c r="F259" s="51" t="n">
        <v>15</v>
      </c>
      <c r="G259" s="51" t="n">
        <v>2024</v>
      </c>
      <c r="H259" s="52" t="inlineStr">
        <is>
          <t>https://web.archive.org/web/2024/https://www.marriott.com/diversity/corporate-diversity.mi</t>
        </is>
      </c>
      <c r="I259" s="52" t="inlineStr">
        <is>
          <t>Archive</t>
        </is>
      </c>
      <c r="J259" s="51" t="inlineStr">
        <is>
          <t>No</t>
        </is>
      </c>
      <c r="K259" s="52" t="inlineStr"/>
    </row>
    <row r="260" ht="23.25" customHeight="1" s="42">
      <c r="A260" s="52" t="inlineStr">
        <is>
          <t>Marriott</t>
        </is>
      </c>
      <c r="B260" s="52" t="inlineStr">
        <is>
          <t>p_benefits</t>
        </is>
      </c>
      <c r="C260" s="52" t="inlineStr">
        <is>
          <t>Inclusive partner and gender-affirming benefits (CEI-verified)</t>
        </is>
      </c>
      <c r="D260" s="51" t="inlineStr">
        <is>
          <t>Structural</t>
        </is>
      </c>
      <c r="E260" s="51" t="inlineStr">
        <is>
          <t>Positive</t>
        </is>
      </c>
      <c r="F260" s="51" t="n">
        <v>22</v>
      </c>
      <c r="G260" s="51" t="n">
        <v>2025</v>
      </c>
      <c r="H260" s="52" t="inlineStr">
        <is>
          <t>https://reports.hrc.org/corporate-equality-index-2025</t>
        </is>
      </c>
      <c r="I260" s="52" t="inlineStr">
        <is>
          <t>HRC</t>
        </is>
      </c>
      <c r="J260" s="51" t="inlineStr">
        <is>
          <t>No</t>
        </is>
      </c>
      <c r="K260" s="52" t="inlineStr"/>
    </row>
    <row r="261" ht="23.25" customHeight="1" s="42">
      <c r="A261" s="52" t="inlineStr">
        <is>
          <t>Marriott</t>
        </is>
      </c>
      <c r="B261" s="52" t="inlineStr">
        <is>
          <t>p_consistent_history</t>
        </is>
      </c>
      <c r="C261" s="52" t="inlineStr">
        <is>
          <t>10+ years of sustained programming (#LoveTravels since 2014) and CEI 100 streak with no retreat</t>
        </is>
      </c>
      <c r="D261" s="51" t="inlineStr">
        <is>
          <t>Structural</t>
        </is>
      </c>
      <c r="E261" s="51" t="inlineStr">
        <is>
          <t>Positive</t>
        </is>
      </c>
      <c r="F261" s="51" t="n">
        <v>28</v>
      </c>
      <c r="G261" s="51" t="n">
        <v>2025</v>
      </c>
      <c r="H261" s="52" t="inlineStr">
        <is>
          <t>https://reports.hrc.org/corporate-equality-index-2025</t>
        </is>
      </c>
      <c r="I261" s="52" t="inlineStr">
        <is>
          <t>HRC</t>
        </is>
      </c>
      <c r="J261" s="51" t="inlineStr">
        <is>
          <t>No</t>
        </is>
      </c>
      <c r="K261" s="52" t="inlineStr"/>
    </row>
    <row r="262" ht="23.25" customHeight="1" s="42">
      <c r="A262" s="52" t="inlineStr">
        <is>
          <t>Hilton</t>
        </is>
      </c>
      <c r="B262" s="52" t="inlineStr">
        <is>
          <t>p_generic_post</t>
        </is>
      </c>
      <c r="C262" s="52" t="inlineStr">
        <is>
          <t>Annual Pride posts and campaigns</t>
        </is>
      </c>
      <c r="D262" s="51" t="inlineStr">
        <is>
          <t>Cosmetic</t>
        </is>
      </c>
      <c r="E262" s="51" t="inlineStr">
        <is>
          <t>Positive</t>
        </is>
      </c>
      <c r="F262" s="51" t="n">
        <v>2</v>
      </c>
      <c r="G262" s="51" t="n">
        <v>2025</v>
      </c>
      <c r="H262" s="52" t="inlineStr">
        <is>
          <t>https://web.archive.org/web/2025/https://www.hilton.com/en/corporate/</t>
        </is>
      </c>
      <c r="I262" s="52" t="inlineStr">
        <is>
          <t>Archive</t>
        </is>
      </c>
      <c r="J262" s="51" t="inlineStr">
        <is>
          <t>Yes</t>
        </is>
      </c>
      <c r="K262" s="52" t="inlineStr"/>
    </row>
    <row r="263" ht="23.25" customHeight="1" s="42">
      <c r="A263" s="52" t="inlineStr">
        <is>
          <t>Hilton</t>
        </is>
      </c>
      <c r="B263" s="52" t="inlineStr">
        <is>
          <t>p_parade_sponsor</t>
        </is>
      </c>
      <c r="C263" s="52" t="inlineStr">
        <is>
          <t>WorldPride 2025 (Washington DC) supporter while many corporates withdrew</t>
        </is>
      </c>
      <c r="D263" s="51" t="inlineStr">
        <is>
          <t>Civic</t>
        </is>
      </c>
      <c r="E263" s="51" t="inlineStr">
        <is>
          <t>Positive</t>
        </is>
      </c>
      <c r="F263" s="51" t="n">
        <v>12</v>
      </c>
      <c r="G263" s="51" t="n">
        <v>2025</v>
      </c>
      <c r="H263" s="52" t="inlineStr">
        <is>
          <t>https://www.hrdive.com/news/employer-pride-2025/751092/</t>
        </is>
      </c>
      <c r="I263" s="52" t="inlineStr">
        <is>
          <t>News</t>
        </is>
      </c>
      <c r="J263" s="51" t="inlineStr">
        <is>
          <t>Yes</t>
        </is>
      </c>
      <c r="K263" s="52" t="inlineStr"/>
    </row>
    <row r="264" ht="23.25" customHeight="1" s="42">
      <c r="A264" s="52" t="inlineStr">
        <is>
          <t>Hilton</t>
        </is>
      </c>
      <c r="B264" s="52" t="inlineStr">
        <is>
          <t>p_erg_support</t>
        </is>
      </c>
      <c r="C264" s="52" t="inlineStr">
        <is>
          <t>Funded LGBTQ+ ERG (Pride at Hilton)</t>
        </is>
      </c>
      <c r="D264" s="51" t="inlineStr">
        <is>
          <t>Civic</t>
        </is>
      </c>
      <c r="E264" s="51" t="inlineStr">
        <is>
          <t>Positive</t>
        </is>
      </c>
      <c r="F264" s="51" t="n">
        <v>15</v>
      </c>
      <c r="G264" s="51" t="n">
        <v>2024</v>
      </c>
      <c r="H264" s="52" t="inlineStr">
        <is>
          <t>https://web.archive.org/web/2024/https://jobs.hilton.com/us/en/diversity</t>
        </is>
      </c>
      <c r="I264" s="52" t="inlineStr">
        <is>
          <t>Archive</t>
        </is>
      </c>
      <c r="J264" s="51" t="inlineStr">
        <is>
          <t>No</t>
        </is>
      </c>
      <c r="K264" s="52" t="inlineStr"/>
    </row>
    <row r="265" ht="23.25" customHeight="1" s="42">
      <c r="A265" s="52" t="inlineStr">
        <is>
          <t>Delta Air Lines</t>
        </is>
      </c>
      <c r="B265" s="52" t="inlineStr">
        <is>
          <t>p_logo_rainbow</t>
        </is>
      </c>
      <c r="C265" s="52" t="inlineStr">
        <is>
          <t>Annual Pride branding and campaign visuals</t>
        </is>
      </c>
      <c r="D265" s="51" t="inlineStr">
        <is>
          <t>Cosmetic</t>
        </is>
      </c>
      <c r="E265" s="51" t="inlineStr">
        <is>
          <t>Positive</t>
        </is>
      </c>
      <c r="F265" s="51" t="n">
        <v>3</v>
      </c>
      <c r="G265" s="51" t="n">
        <v>2025</v>
      </c>
      <c r="H265" s="52" t="inlineStr">
        <is>
          <t>https://news.delta.com/tags/pride</t>
        </is>
      </c>
      <c r="I265" s="52" t="inlineStr">
        <is>
          <t>Company</t>
        </is>
      </c>
      <c r="J265" s="51" t="inlineStr">
        <is>
          <t>Yes</t>
        </is>
      </c>
      <c r="K265" s="52" t="inlineStr"/>
    </row>
    <row r="266" ht="23.25" customHeight="1" s="42">
      <c r="A266" s="52" t="inlineStr">
        <is>
          <t>Delta Air Lines</t>
        </is>
      </c>
      <c r="B266" s="52" t="inlineStr">
        <is>
          <t>p_generic_post</t>
        </is>
      </c>
      <c r="C266" s="52" t="inlineStr">
        <is>
          <t>Continuing Pride Month coverage and statements on its own newsroom</t>
        </is>
      </c>
      <c r="D266" s="51" t="inlineStr">
        <is>
          <t>Cosmetic</t>
        </is>
      </c>
      <c r="E266" s="51" t="inlineStr">
        <is>
          <t>Positive</t>
        </is>
      </c>
      <c r="F266" s="51" t="n">
        <v>2</v>
      </c>
      <c r="G266" s="51" t="n">
        <v>2026</v>
      </c>
      <c r="H266" s="52" t="inlineStr">
        <is>
          <t>https://news.delta.com/tags/pride</t>
        </is>
      </c>
      <c r="I266" s="52" t="inlineStr">
        <is>
          <t>Company</t>
        </is>
      </c>
      <c r="J266" s="51" t="inlineStr">
        <is>
          <t>Yes</t>
        </is>
      </c>
      <c r="K266" s="52" t="inlineStr"/>
    </row>
    <row r="267" ht="23.25" customHeight="1" s="42">
      <c r="A267" s="52" t="inlineStr">
        <is>
          <t>Delta Air Lines</t>
        </is>
      </c>
      <c r="B267" s="52" t="inlineStr">
        <is>
          <t>p_parade_march</t>
        </is>
      </c>
      <c r="C267" s="52" t="inlineStr">
        <is>
          <t>Employee contingents marching at Pride events incl. Amsterdam and Brighton (2025-26) and US prides</t>
        </is>
      </c>
      <c r="D267" s="51" t="inlineStr">
        <is>
          <t>Civic</t>
        </is>
      </c>
      <c r="E267" s="51" t="inlineStr">
        <is>
          <t>Positive</t>
        </is>
      </c>
      <c r="F267" s="51" t="n">
        <v>10</v>
      </c>
      <c r="G267" s="51" t="n">
        <v>2026</v>
      </c>
      <c r="H267" s="52" t="inlineStr">
        <is>
          <t>https://news.delta.com/delta-celebrates-spirit-togetherness-resilience-and-joy-pride-events-amsterdam-and-brighton</t>
        </is>
      </c>
      <c r="I267" s="52" t="inlineStr">
        <is>
          <t>Company</t>
        </is>
      </c>
      <c r="J267" s="51" t="inlineStr">
        <is>
          <t>Yes</t>
        </is>
      </c>
      <c r="K267" s="52" t="inlineStr"/>
    </row>
    <row r="268" ht="23.25" customHeight="1" s="42">
      <c r="A268" s="52" t="inlineStr">
        <is>
          <t>Delta Air Lines</t>
        </is>
      </c>
      <c r="B268" s="52" t="inlineStr">
        <is>
          <t>p_erg_support</t>
        </is>
      </c>
      <c r="C268" s="52" t="inlineStr">
        <is>
          <t>Funded EQUAL LGBTQ+ employee resource group</t>
        </is>
      </c>
      <c r="D268" s="51" t="inlineStr">
        <is>
          <t>Civic</t>
        </is>
      </c>
      <c r="E268" s="51" t="inlineStr">
        <is>
          <t>Positive</t>
        </is>
      </c>
      <c r="F268" s="51" t="n">
        <v>15</v>
      </c>
      <c r="G268" s="51" t="n">
        <v>2025</v>
      </c>
      <c r="H268" s="52" t="inlineStr">
        <is>
          <t>https://www.delta.com/us/en/about-delta/diversity</t>
        </is>
      </c>
      <c r="I268" s="52" t="inlineStr">
        <is>
          <t>Company</t>
        </is>
      </c>
      <c r="J268" s="51" t="inlineStr">
        <is>
          <t>Yes</t>
        </is>
      </c>
      <c r="K268" s="52" t="inlineStr"/>
    </row>
    <row r="269" ht="23.25" customHeight="1" s="42">
      <c r="A269" s="52" t="inlineStr">
        <is>
          <t>Delta Air Lines</t>
        </is>
      </c>
      <c r="B269" s="52" t="inlineStr">
        <is>
          <t>p_benefits</t>
        </is>
      </c>
      <c r="C269" s="52" t="inlineStr">
        <is>
          <t>Inclusive partner and gender-affirming benefits (CEI-verified)</t>
        </is>
      </c>
      <c r="D269" s="51" t="inlineStr">
        <is>
          <t>Structural</t>
        </is>
      </c>
      <c r="E269" s="51" t="inlineStr">
        <is>
          <t>Positive</t>
        </is>
      </c>
      <c r="F269" s="51" t="n">
        <v>22</v>
      </c>
      <c r="G269" s="51" t="n">
        <v>2025</v>
      </c>
      <c r="H269" s="52" t="inlineStr">
        <is>
          <t>https://reports.hrc.org/corporate-equality-index-2025</t>
        </is>
      </c>
      <c r="I269" s="52" t="inlineStr">
        <is>
          <t>HRC</t>
        </is>
      </c>
      <c r="J269" s="51" t="inlineStr">
        <is>
          <t>No</t>
        </is>
      </c>
      <c r="K269" s="52" t="inlineStr"/>
    </row>
    <row r="270" ht="23.25" customHeight="1" s="42">
      <c r="A270" s="52" t="inlineStr">
        <is>
          <t>Delta Air Lines</t>
        </is>
      </c>
      <c r="B270" s="52" t="inlineStr">
        <is>
          <t>p_dei_explicit</t>
        </is>
      </c>
      <c r="C270" s="52" t="inlineStr">
        <is>
          <t>Publicly affirmed continuing DEI commitments in Jan 2025 amid the corporate retreat</t>
        </is>
      </c>
      <c r="D270" s="51" t="inlineStr">
        <is>
          <t>Structural</t>
        </is>
      </c>
      <c r="E270" s="51" t="inlineStr">
        <is>
          <t>Positive</t>
        </is>
      </c>
      <c r="F270" s="51" t="n">
        <v>20</v>
      </c>
      <c r="G270" s="51" t="n">
        <v>2025</v>
      </c>
      <c r="H270" s="52" t="inlineStr">
        <is>
          <t>https://www.nbcnews.com/news/nbcblk/delta-air-lines-costco-companies-say-ll-stick-dei-rcna189669</t>
        </is>
      </c>
      <c r="I270" s="52" t="inlineStr">
        <is>
          <t>News</t>
        </is>
      </c>
      <c r="J270" s="51" t="inlineStr">
        <is>
          <t>Yes</t>
        </is>
      </c>
      <c r="K270" s="52" t="inlineStr"/>
    </row>
    <row r="271" ht="23.25" customHeight="1" s="42">
      <c r="A271" s="52" t="inlineStr">
        <is>
          <t>American Airlines</t>
        </is>
      </c>
      <c r="B271" s="52" t="inlineStr">
        <is>
          <t>p_generic_post</t>
        </is>
      </c>
      <c r="C271" s="52" t="inlineStr">
        <is>
          <t>Annual Pride posts and campaigns</t>
        </is>
      </c>
      <c r="D271" s="51" t="inlineStr">
        <is>
          <t>Cosmetic</t>
        </is>
      </c>
      <c r="E271" s="51" t="inlineStr">
        <is>
          <t>Positive</t>
        </is>
      </c>
      <c r="F271" s="51" t="n">
        <v>2</v>
      </c>
      <c r="G271" s="51" t="n">
        <v>2024</v>
      </c>
      <c r="H271" s="52" t="inlineStr">
        <is>
          <t>https://web.archive.org/web/2024/https://www.aa.com/i18n/customer-service/about-us/diversity-equity-and-inclusion.jsp</t>
        </is>
      </c>
      <c r="I271" s="52" t="inlineStr">
        <is>
          <t>Archive</t>
        </is>
      </c>
      <c r="J271" s="51" t="inlineStr">
        <is>
          <t>No</t>
        </is>
      </c>
      <c r="K271" s="52" t="inlineStr"/>
    </row>
    <row r="272" ht="23.25" customHeight="1" s="42">
      <c r="A272" s="52" t="inlineStr">
        <is>
          <t>American Airlines</t>
        </is>
      </c>
      <c r="B272" s="52" t="inlineStr">
        <is>
          <t>p_erg_support</t>
        </is>
      </c>
      <c r="C272" s="52" t="inlineStr">
        <is>
          <t>Funded PRIDE ERG, established 1994 — among the oldest in aviation</t>
        </is>
      </c>
      <c r="D272" s="51" t="inlineStr">
        <is>
          <t>Civic</t>
        </is>
      </c>
      <c r="E272" s="51" t="inlineStr">
        <is>
          <t>Positive</t>
        </is>
      </c>
      <c r="F272" s="51" t="n">
        <v>15</v>
      </c>
      <c r="G272" s="51" t="n">
        <v>2024</v>
      </c>
      <c r="H272" s="52" t="inlineStr">
        <is>
          <t>https://web.archive.org/web/2024/https://www.aa.com/i18n/customer-service/about-us/diversity-equity-and-inclusion.jsp</t>
        </is>
      </c>
      <c r="I272" s="52" t="inlineStr">
        <is>
          <t>Archive</t>
        </is>
      </c>
      <c r="J272" s="51" t="inlineStr">
        <is>
          <t>No</t>
        </is>
      </c>
      <c r="K272" s="52" t="inlineStr"/>
    </row>
    <row r="273" ht="23.25" customHeight="1" s="42">
      <c r="A273" s="52" t="inlineStr">
        <is>
          <t>American Airlines</t>
        </is>
      </c>
      <c r="B273" s="52" t="inlineStr">
        <is>
          <t>p_benefits</t>
        </is>
      </c>
      <c r="C273" s="52" t="inlineStr">
        <is>
          <t>Inclusive partner and gender-affirming benefits (CEI-verified)</t>
        </is>
      </c>
      <c r="D273" s="51" t="inlineStr">
        <is>
          <t>Structural</t>
        </is>
      </c>
      <c r="E273" s="51" t="inlineStr">
        <is>
          <t>Positive</t>
        </is>
      </c>
      <c r="F273" s="51" t="n">
        <v>22</v>
      </c>
      <c r="G273" s="51" t="n">
        <v>2024</v>
      </c>
      <c r="H273" s="52" t="inlineStr">
        <is>
          <t>https://reports.hrc.org/corporate-equality-index-2025</t>
        </is>
      </c>
      <c r="I273" s="52" t="inlineStr">
        <is>
          <t>HRC</t>
        </is>
      </c>
      <c r="J273" s="51" t="inlineStr">
        <is>
          <t>No</t>
        </is>
      </c>
      <c r="K273" s="52" t="inlineStr"/>
    </row>
    <row r="274" ht="23.25" customHeight="1" s="42">
      <c r="A274" s="52" t="inlineStr">
        <is>
          <t>United Airlines</t>
        </is>
      </c>
      <c r="B274" s="52" t="inlineStr">
        <is>
          <t>p_generic_post</t>
        </is>
      </c>
      <c r="C274" s="52" t="inlineStr">
        <is>
          <t>Annual Pride posts and campaigns</t>
        </is>
      </c>
      <c r="D274" s="51" t="inlineStr">
        <is>
          <t>Cosmetic</t>
        </is>
      </c>
      <c r="E274" s="51" t="inlineStr">
        <is>
          <t>Positive</t>
        </is>
      </c>
      <c r="F274" s="51" t="n">
        <v>2</v>
      </c>
      <c r="G274" s="51" t="n">
        <v>2025</v>
      </c>
      <c r="H274" s="52" t="inlineStr">
        <is>
          <t>https://web.archive.org/web/2025/https://www.united.com/en/us/fly/company/global-citizenship/diversity-equity-and-inclusion.html</t>
        </is>
      </c>
      <c r="I274" s="52" t="inlineStr">
        <is>
          <t>Archive</t>
        </is>
      </c>
      <c r="J274" s="51" t="inlineStr">
        <is>
          <t>Yes</t>
        </is>
      </c>
      <c r="K274" s="52" t="inlineStr"/>
    </row>
    <row r="275" ht="23.25" customHeight="1" s="42">
      <c r="A275" s="52" t="inlineStr">
        <is>
          <t>United Airlines</t>
        </is>
      </c>
      <c r="B275" s="52" t="inlineStr">
        <is>
          <t>p_parade_sponsor</t>
        </is>
      </c>
      <c r="C275" s="52" t="inlineStr">
        <is>
          <t>WorldPride 2025 (Washington DC) supporter</t>
        </is>
      </c>
      <c r="D275" s="51" t="inlineStr">
        <is>
          <t>Civic</t>
        </is>
      </c>
      <c r="E275" s="51" t="inlineStr">
        <is>
          <t>Positive</t>
        </is>
      </c>
      <c r="F275" s="51" t="n">
        <v>12</v>
      </c>
      <c r="G275" s="51" t="n">
        <v>2025</v>
      </c>
      <c r="H275" s="52" t="inlineStr">
        <is>
          <t>https://www.hrdive.com/news/employer-pride-2025/751092/</t>
        </is>
      </c>
      <c r="I275" s="52" t="inlineStr">
        <is>
          <t>News</t>
        </is>
      </c>
      <c r="J275" s="51" t="inlineStr">
        <is>
          <t>Yes</t>
        </is>
      </c>
      <c r="K275" s="52" t="inlineStr"/>
    </row>
    <row r="276" ht="23.25" customHeight="1" s="42">
      <c r="A276" s="52" t="inlineStr">
        <is>
          <t>United Airlines</t>
        </is>
      </c>
      <c r="B276" s="52" t="inlineStr">
        <is>
          <t>p_erg_support</t>
        </is>
      </c>
      <c r="C276" s="52" t="inlineStr">
        <is>
          <t>Funded LGBTQ+ employee resource group</t>
        </is>
      </c>
      <c r="D276" s="51" t="inlineStr">
        <is>
          <t>Civic</t>
        </is>
      </c>
      <c r="E276" s="51" t="inlineStr">
        <is>
          <t>Positive</t>
        </is>
      </c>
      <c r="F276" s="51" t="n">
        <v>15</v>
      </c>
      <c r="G276" s="51" t="n">
        <v>2024</v>
      </c>
      <c r="H276" s="52" t="inlineStr">
        <is>
          <t>https://web.archive.org/web/2024/https://www.united.com/en/us/fly/company/global-citizenship/diversity-equity-and-inclusion.html</t>
        </is>
      </c>
      <c r="I276" s="52" t="inlineStr">
        <is>
          <t>Archive</t>
        </is>
      </c>
      <c r="J276" s="51" t="inlineStr">
        <is>
          <t>No</t>
        </is>
      </c>
      <c r="K276" s="52" t="inlineStr"/>
    </row>
    <row r="277" ht="23.25" customHeight="1" s="42">
      <c r="A277" s="52" t="inlineStr">
        <is>
          <t>Airbnb</t>
        </is>
      </c>
      <c r="B277" s="52" t="inlineStr">
        <is>
          <t>p_generic_post</t>
        </is>
      </c>
      <c r="C277" s="52" t="inlineStr">
        <is>
          <t>Pride Month posts and campaigns</t>
        </is>
      </c>
      <c r="D277" s="51" t="inlineStr">
        <is>
          <t>Cosmetic</t>
        </is>
      </c>
      <c r="E277" s="51" t="inlineStr">
        <is>
          <t>Positive</t>
        </is>
      </c>
      <c r="F277" s="51" t="n">
        <v>2</v>
      </c>
      <c r="G277" s="51" t="n">
        <v>2025</v>
      </c>
      <c r="H277" s="52" t="inlineStr">
        <is>
          <t>https://web.archive.org/web/2025/https://news.airbnb.com/</t>
        </is>
      </c>
      <c r="I277" s="52" t="inlineStr">
        <is>
          <t>Archive</t>
        </is>
      </c>
      <c r="J277" s="51" t="inlineStr">
        <is>
          <t>Yes</t>
        </is>
      </c>
      <c r="K277" s="52" t="inlineStr"/>
    </row>
    <row r="278" ht="23.25" customHeight="1" s="42">
      <c r="A278" s="52" t="inlineStr">
        <is>
          <t>Airbnb</t>
        </is>
      </c>
      <c r="B278" s="52" t="inlineStr">
        <is>
          <t>p_community_events</t>
        </is>
      </c>
      <c r="C278" s="52" t="inlineStr">
        <is>
          <t>LGBTQ+ travel-safety features and community programs for hosts/guests incl. protections in hostile regions</t>
        </is>
      </c>
      <c r="D278" s="51" t="inlineStr">
        <is>
          <t>Civic</t>
        </is>
      </c>
      <c r="E278" s="51" t="inlineStr">
        <is>
          <t>Positive</t>
        </is>
      </c>
      <c r="F278" s="51" t="n">
        <v>12</v>
      </c>
      <c r="G278" s="51" t="n">
        <v>2024</v>
      </c>
      <c r="H278" s="52" t="inlineStr">
        <is>
          <t>https://web.archive.org/web/2024/https://www.airbnb.com/against-discrimination</t>
        </is>
      </c>
      <c r="I278" s="52" t="inlineStr">
        <is>
          <t>Archive</t>
        </is>
      </c>
      <c r="J278" s="51" t="inlineStr">
        <is>
          <t>No</t>
        </is>
      </c>
      <c r="K278" s="52" t="inlineStr"/>
    </row>
    <row r="279" ht="23.25" customHeight="1" s="42">
      <c r="A279" s="52" t="inlineStr">
        <is>
          <t>Airbnb</t>
        </is>
      </c>
      <c r="B279" s="52" t="inlineStr">
        <is>
          <t>p_anti_discrim_policy</t>
        </is>
      </c>
      <c r="C279" s="52" t="inlineStr">
        <is>
          <t>Community Commitment: platform-wide nondiscrimination covering sexual orientation and gender identity, binding on all users since 2016</t>
        </is>
      </c>
      <c r="D279" s="51" t="inlineStr">
        <is>
          <t>Structural</t>
        </is>
      </c>
      <c r="E279" s="51" t="inlineStr">
        <is>
          <t>Positive</t>
        </is>
      </c>
      <c r="F279" s="51" t="n">
        <v>25</v>
      </c>
      <c r="G279" s="51" t="n">
        <v>2016</v>
      </c>
      <c r="H279" s="52" t="inlineStr">
        <is>
          <t>https://www.airbnb.com/against-discrimination</t>
        </is>
      </c>
      <c r="I279" s="52" t="inlineStr">
        <is>
          <t>Company</t>
        </is>
      </c>
      <c r="J279" s="51" t="inlineStr">
        <is>
          <t>No</t>
        </is>
      </c>
      <c r="K279" s="52" t="inlineStr"/>
    </row>
    <row r="280" ht="23.25" customHeight="1" s="42">
      <c r="A280" s="52" t="inlineStr">
        <is>
          <t>Expedia</t>
        </is>
      </c>
      <c r="B280" s="52" t="inlineStr">
        <is>
          <t>p_generic_post</t>
        </is>
      </c>
      <c r="C280" s="52" t="inlineStr">
        <is>
          <t>Pride posts and LGBTQ+ travel content (Orbitz/Expedia brands)</t>
        </is>
      </c>
      <c r="D280" s="51" t="inlineStr">
        <is>
          <t>Cosmetic</t>
        </is>
      </c>
      <c r="E280" s="51" t="inlineStr">
        <is>
          <t>Positive</t>
        </is>
      </c>
      <c r="F280" s="51" t="n">
        <v>2</v>
      </c>
      <c r="G280" s="51" t="n">
        <v>2024</v>
      </c>
      <c r="H280" s="52" t="inlineStr">
        <is>
          <t>https://web.archive.org/web/2024/https://www.expediagroup.com/who-we-are/our-commitments/inclusion-diversity</t>
        </is>
      </c>
      <c r="I280" s="52" t="inlineStr">
        <is>
          <t>Archive</t>
        </is>
      </c>
      <c r="J280" s="51" t="inlineStr">
        <is>
          <t>No</t>
        </is>
      </c>
      <c r="K280" s="52" t="inlineStr"/>
    </row>
    <row r="281" ht="23.25" customHeight="1" s="42">
      <c r="A281" s="52" t="inlineStr">
        <is>
          <t>Expedia</t>
        </is>
      </c>
      <c r="B281" s="52" t="inlineStr">
        <is>
          <t>p_collab</t>
        </is>
      </c>
      <c r="C281" s="52" t="inlineStr">
        <is>
          <t>Orbitz legacy of dedicated LGBTQ+ travel marketing and partnerships</t>
        </is>
      </c>
      <c r="D281" s="51" t="inlineStr">
        <is>
          <t>Commercial</t>
        </is>
      </c>
      <c r="E281" s="51" t="inlineStr">
        <is>
          <t>Positive</t>
        </is>
      </c>
      <c r="F281" s="51" t="n">
        <v>8</v>
      </c>
      <c r="G281" s="51" t="n">
        <v>2023</v>
      </c>
      <c r="H281" s="52" t="inlineStr">
        <is>
          <t>https://web.archive.org/web/2023/https://www.orbitz.com/lgbt-travel/</t>
        </is>
      </c>
      <c r="I281" s="52" t="inlineStr">
        <is>
          <t>Archive</t>
        </is>
      </c>
      <c r="J281" s="51" t="inlineStr">
        <is>
          <t>No</t>
        </is>
      </c>
      <c r="K281" s="52" t="inlineStr"/>
    </row>
    <row r="282" ht="23.25" customHeight="1" s="42">
      <c r="A282" s="52" t="inlineStr">
        <is>
          <t>Procter &amp; Gamble</t>
        </is>
      </c>
      <c r="B282" s="52" t="inlineStr">
        <is>
          <t>p_generic_post</t>
        </is>
      </c>
      <c r="C282" s="52" t="inlineStr">
        <is>
          <t>Annual Pride Month posts and brand campaigns</t>
        </is>
      </c>
      <c r="D282" s="51" t="inlineStr">
        <is>
          <t>Cosmetic</t>
        </is>
      </c>
      <c r="E282" s="51" t="inlineStr">
        <is>
          <t>Positive</t>
        </is>
      </c>
      <c r="F282" s="51" t="n">
        <v>2</v>
      </c>
      <c r="G282" s="51" t="n">
        <v>2025</v>
      </c>
      <c r="H282" s="52" t="inlineStr">
        <is>
          <t>https://us.pg.com/blogs/dei-matters-a-sons-perspective/</t>
        </is>
      </c>
      <c r="I282" s="52" t="inlineStr">
        <is>
          <t>Company</t>
        </is>
      </c>
      <c r="J282" s="51" t="inlineStr">
        <is>
          <t>Yes</t>
        </is>
      </c>
      <c r="K282" s="52" t="inlineStr"/>
    </row>
    <row r="283" ht="23.25" customHeight="1" s="42">
      <c r="A283" s="52" t="inlineStr">
        <is>
          <t>Procter &amp; Gamble</t>
        </is>
      </c>
      <c r="B283" s="52" t="inlineStr">
        <is>
          <t>p_collab</t>
        </is>
      </c>
      <c r="C283" s="52" t="inlineStr">
        <is>
          <t>Queer-inclusive brand campaigns (Pantene, Gillette's first trans shaving ad) and GLAAD advertising-visibility research partnership</t>
        </is>
      </c>
      <c r="D283" s="51" t="inlineStr">
        <is>
          <t>Commercial</t>
        </is>
      </c>
      <c r="E283" s="51" t="inlineStr">
        <is>
          <t>Positive</t>
        </is>
      </c>
      <c r="F283" s="51" t="n">
        <v>8</v>
      </c>
      <c r="G283" s="51" t="n">
        <v>2024</v>
      </c>
      <c r="H283" s="52" t="inlineStr">
        <is>
          <t>https://adage.com/article/marketing-news-strategy/pg-and-unilever-extend-lgbtq-efforts-well-beyond-pride-month/2417571/</t>
        </is>
      </c>
      <c r="I283" s="52" t="inlineStr">
        <is>
          <t>News</t>
        </is>
      </c>
      <c r="J283" s="51" t="inlineStr">
        <is>
          <t>No</t>
        </is>
      </c>
      <c r="K283" s="52" t="inlineStr"/>
    </row>
    <row r="284" ht="23.25" customHeight="1" s="42">
      <c r="A284" s="52" t="inlineStr">
        <is>
          <t>Procter &amp; Gamble</t>
        </is>
      </c>
      <c r="B284" s="52" t="inlineStr">
        <is>
          <t>p_dei_explicit</t>
        </is>
      </c>
      <c r="C284" s="52" t="inlineStr">
        <is>
          <t>Reaffirmed workforce inclusion commitments in annual report and public statements ('This cannot change')</t>
        </is>
      </c>
      <c r="D284" s="51" t="inlineStr">
        <is>
          <t>Structural</t>
        </is>
      </c>
      <c r="E284" s="51" t="inlineStr">
        <is>
          <t>Positive</t>
        </is>
      </c>
      <c r="F284" s="51" t="n">
        <v>20</v>
      </c>
      <c r="G284" s="51" t="n">
        <v>2025</v>
      </c>
      <c r="H284" s="52" t="inlineStr">
        <is>
          <t>https://buildremote.co/dei/procter-and-gamble/</t>
        </is>
      </c>
      <c r="I284" s="52" t="inlineStr">
        <is>
          <t>News</t>
        </is>
      </c>
      <c r="J284" s="51" t="inlineStr">
        <is>
          <t>Yes</t>
        </is>
      </c>
      <c r="K284" s="52" t="inlineStr"/>
    </row>
    <row r="285" ht="23.25" customHeight="1" s="42">
      <c r="A285" s="52" t="inlineStr">
        <is>
          <t>Procter &amp; Gamble</t>
        </is>
      </c>
      <c r="B285" s="52" t="inlineStr">
        <is>
          <t>p_benefits</t>
        </is>
      </c>
      <c r="C285" s="52" t="inlineStr">
        <is>
          <t>Inclusive partner and gender-affirming benefits; CEI 100 in 2025</t>
        </is>
      </c>
      <c r="D285" s="51" t="inlineStr">
        <is>
          <t>Structural</t>
        </is>
      </c>
      <c r="E285" s="51" t="inlineStr">
        <is>
          <t>Positive</t>
        </is>
      </c>
      <c r="F285" s="51" t="n">
        <v>22</v>
      </c>
      <c r="G285" s="51" t="n">
        <v>2025</v>
      </c>
      <c r="H285" s="52" t="inlineStr">
        <is>
          <t>https://www.hrc.org/resources/corporations/procter-gamble-co.</t>
        </is>
      </c>
      <c r="I285" s="52" t="inlineStr">
        <is>
          <t>HRC</t>
        </is>
      </c>
      <c r="J285" s="51" t="inlineStr">
        <is>
          <t>No</t>
        </is>
      </c>
      <c r="K285" s="52" t="inlineStr"/>
    </row>
    <row r="286" ht="23.25" customHeight="1" s="42">
      <c r="A286" s="52" t="inlineStr">
        <is>
          <t>Unilever</t>
        </is>
      </c>
      <c r="B286" s="52" t="inlineStr">
        <is>
          <t>p_generic_post</t>
        </is>
      </c>
      <c r="C286" s="52" t="inlineStr">
        <is>
          <t>Pride campaigns across brands (Dove, Ben &amp; Jerry's, Closeup)</t>
        </is>
      </c>
      <c r="D286" s="51" t="inlineStr">
        <is>
          <t>Cosmetic</t>
        </is>
      </c>
      <c r="E286" s="51" t="inlineStr">
        <is>
          <t>Positive</t>
        </is>
      </c>
      <c r="F286" s="51" t="n">
        <v>2</v>
      </c>
      <c r="G286" s="51" t="n">
        <v>2024</v>
      </c>
      <c r="H286" s="52" t="inlineStr">
        <is>
          <t>https://adage.com/article/marketing-news-strategy/pg-and-unilever-extend-lgbtq-efforts-well-beyond-pride-month/2417571/</t>
        </is>
      </c>
      <c r="I286" s="52" t="inlineStr">
        <is>
          <t>News</t>
        </is>
      </c>
      <c r="J286" s="51" t="inlineStr">
        <is>
          <t>No</t>
        </is>
      </c>
      <c r="K286" s="52" t="inlineStr"/>
    </row>
    <row r="287" ht="23.25" customHeight="1" s="42">
      <c r="A287" s="52" t="inlineStr">
        <is>
          <t>Unilever</t>
        </is>
      </c>
      <c r="B287" s="52" t="inlineStr">
        <is>
          <t>p_collab</t>
        </is>
      </c>
      <c r="C287" s="52" t="inlineStr">
        <is>
          <t>Ben &amp; Jerry's sustained LGBTQ+ activism and campaign partnerships; Dove inclusive campaigns</t>
        </is>
      </c>
      <c r="D287" s="51" t="inlineStr">
        <is>
          <t>Commercial</t>
        </is>
      </c>
      <c r="E287" s="51" t="inlineStr">
        <is>
          <t>Positive</t>
        </is>
      </c>
      <c r="F287" s="51" t="n">
        <v>8</v>
      </c>
      <c r="G287" s="51" t="n">
        <v>2024</v>
      </c>
      <c r="H287" s="52" t="inlineStr">
        <is>
          <t>https://adage.com/article/marketing-news-strategy/pg-and-unilever-extend-lgbtq-efforts-well-beyond-pride-month/2417571/</t>
        </is>
      </c>
      <c r="I287" s="52" t="inlineStr">
        <is>
          <t>News</t>
        </is>
      </c>
      <c r="J287" s="51" t="inlineStr">
        <is>
          <t>No</t>
        </is>
      </c>
      <c r="K287" s="52" t="inlineStr"/>
    </row>
    <row r="288" ht="23.25" customHeight="1" s="42">
      <c r="A288" s="52" t="inlineStr">
        <is>
          <t>Unilever</t>
        </is>
      </c>
      <c r="B288" s="52" t="inlineStr">
        <is>
          <t>p_benefits</t>
        </is>
      </c>
      <c r="C288" s="52" t="inlineStr">
        <is>
          <t>Inclusive partner and gender-affirming benefits (CEI-verified)</t>
        </is>
      </c>
      <c r="D288" s="51" t="inlineStr">
        <is>
          <t>Structural</t>
        </is>
      </c>
      <c r="E288" s="51" t="inlineStr">
        <is>
          <t>Positive</t>
        </is>
      </c>
      <c r="F288" s="51" t="n">
        <v>22</v>
      </c>
      <c r="G288" s="51" t="n">
        <v>2024</v>
      </c>
      <c r="H288" s="52" t="inlineStr">
        <is>
          <t>https://reports.hrc.org/corporate-equality-index-2025</t>
        </is>
      </c>
      <c r="I288" s="52" t="inlineStr">
        <is>
          <t>HRC</t>
        </is>
      </c>
      <c r="J288" s="51" t="inlineStr">
        <is>
          <t>No</t>
        </is>
      </c>
      <c r="K288" s="52" t="inlineStr"/>
    </row>
    <row r="289" ht="23.25" customHeight="1" s="42">
      <c r="A289" s="52" t="inlineStr">
        <is>
          <t>Kellanova</t>
        </is>
      </c>
      <c r="B289" s="52" t="inlineStr">
        <is>
          <t>p_generic_post</t>
        </is>
      </c>
      <c r="C289" s="52" t="inlineStr">
        <is>
          <t>Pride Month posts and engagement</t>
        </is>
      </c>
      <c r="D289" s="51" t="inlineStr">
        <is>
          <t>Cosmetic</t>
        </is>
      </c>
      <c r="E289" s="51" t="inlineStr">
        <is>
          <t>Positive</t>
        </is>
      </c>
      <c r="F289" s="51" t="n">
        <v>2</v>
      </c>
      <c r="G289" s="51" t="n">
        <v>2024</v>
      </c>
      <c r="H289" s="52" t="inlineStr">
        <is>
          <t>https://web.archive.org/web/2024/https://www.kellanova.com/us/en/our-difference/diversity-equity-inclusion.html</t>
        </is>
      </c>
      <c r="I289" s="52" t="inlineStr">
        <is>
          <t>Archive</t>
        </is>
      </c>
      <c r="J289" s="51" t="inlineStr">
        <is>
          <t>No</t>
        </is>
      </c>
      <c r="K289" s="52" t="inlineStr"/>
    </row>
    <row r="290" ht="23.25" customHeight="1" s="42">
      <c r="A290" s="52" t="inlineStr">
        <is>
          <t>Kellanova</t>
        </is>
      </c>
      <c r="B290" s="52" t="inlineStr">
        <is>
          <t>p_merch_proceeds</t>
        </is>
      </c>
      <c r="C290" s="52" t="inlineStr">
        <is>
          <t>'Together With Pride' cereal benefiting GLAAD ($3 donation per box upload), as Kellogg's</t>
        </is>
      </c>
      <c r="D290" s="51" t="inlineStr">
        <is>
          <t>Commercial</t>
        </is>
      </c>
      <c r="E290" s="51" t="inlineStr">
        <is>
          <t>Positive</t>
        </is>
      </c>
      <c r="F290" s="51" t="n">
        <v>10</v>
      </c>
      <c r="G290" s="51" t="n">
        <v>2021</v>
      </c>
      <c r="H290" s="52" t="inlineStr">
        <is>
          <t>https://web.archive.org/web/2021/https://newsroom.kelloggcompany.com/2021-05-17-Kelloggs-R-and-GLAAD-Together-With-Pride</t>
        </is>
      </c>
      <c r="I290" s="52" t="inlineStr">
        <is>
          <t>Archive</t>
        </is>
      </c>
      <c r="J290" s="51" t="inlineStr">
        <is>
          <t>No</t>
        </is>
      </c>
      <c r="K290" s="52" t="inlineStr"/>
    </row>
    <row r="291" ht="23.25" customHeight="1" s="42">
      <c r="A291" s="52" t="inlineStr">
        <is>
          <t>General Mills</t>
        </is>
      </c>
      <c r="B291" s="52" t="inlineStr">
        <is>
          <t>p_generic_post</t>
        </is>
      </c>
      <c r="C291" s="52" t="inlineStr">
        <is>
          <t>Pride Month posts and inclusive brand campaigns (Lucky Charms, Cheerios)</t>
        </is>
      </c>
      <c r="D291" s="51" t="inlineStr">
        <is>
          <t>Cosmetic</t>
        </is>
      </c>
      <c r="E291" s="51" t="inlineStr">
        <is>
          <t>Positive</t>
        </is>
      </c>
      <c r="F291" s="51" t="n">
        <v>2</v>
      </c>
      <c r="G291" s="51" t="n">
        <v>2024</v>
      </c>
      <c r="H291" s="52" t="inlineStr">
        <is>
          <t>https://web.archive.org/web/2024/https://www.generalmills.com/how-we-make-it/healthier-planet/global-impact/diversity-equity-inclusion</t>
        </is>
      </c>
      <c r="I291" s="52" t="inlineStr">
        <is>
          <t>Archive</t>
        </is>
      </c>
      <c r="J291" s="51" t="inlineStr">
        <is>
          <t>No</t>
        </is>
      </c>
      <c r="K291" s="52" t="inlineStr"/>
    </row>
    <row r="292" ht="23.25" customHeight="1" s="42">
      <c r="A292" s="52" t="inlineStr">
        <is>
          <t>General Mills</t>
        </is>
      </c>
      <c r="B292" s="52" t="inlineStr">
        <is>
          <t>p_benefits</t>
        </is>
      </c>
      <c r="C292" s="52" t="inlineStr">
        <is>
          <t>Inclusive partner and gender-affirming benefits (CEI-verified)</t>
        </is>
      </c>
      <c r="D292" s="51" t="inlineStr">
        <is>
          <t>Structural</t>
        </is>
      </c>
      <c r="E292" s="51" t="inlineStr">
        <is>
          <t>Positive</t>
        </is>
      </c>
      <c r="F292" s="51" t="n">
        <v>22</v>
      </c>
      <c r="G292" s="51" t="n">
        <v>2024</v>
      </c>
      <c r="H292" s="52" t="inlineStr">
        <is>
          <t>https://reports.hrc.org/corporate-equality-index-2025</t>
        </is>
      </c>
      <c r="I292" s="52" t="inlineStr">
        <is>
          <t>HRC</t>
        </is>
      </c>
      <c r="J292" s="51" t="inlineStr">
        <is>
          <t>No</t>
        </is>
      </c>
      <c r="K292" s="52" t="inlineStr"/>
    </row>
    <row r="293" ht="23.25" customHeight="1" s="42">
      <c r="A293" s="52" t="inlineStr">
        <is>
          <t>Colgate-Palmolive</t>
        </is>
      </c>
      <c r="B293" s="52" t="inlineStr">
        <is>
          <t>p_generic_post</t>
        </is>
      </c>
      <c r="C293" s="52" t="inlineStr">
        <is>
          <t>Pride Month posts and engagement</t>
        </is>
      </c>
      <c r="D293" s="51" t="inlineStr">
        <is>
          <t>Cosmetic</t>
        </is>
      </c>
      <c r="E293" s="51" t="inlineStr">
        <is>
          <t>Positive</t>
        </is>
      </c>
      <c r="F293" s="51" t="n">
        <v>2</v>
      </c>
      <c r="G293" s="51" t="n">
        <v>2024</v>
      </c>
      <c r="H293" s="52" t="inlineStr">
        <is>
          <t>https://web.archive.org/web/2024/https://www.colgatepalmolive.com/en-us/who-we-are/diversity-equity-inclusion</t>
        </is>
      </c>
      <c r="I293" s="52" t="inlineStr">
        <is>
          <t>Archive</t>
        </is>
      </c>
      <c r="J293" s="51" t="inlineStr">
        <is>
          <t>No</t>
        </is>
      </c>
      <c r="K293" s="52" t="inlineStr"/>
    </row>
    <row r="294" ht="23.25" customHeight="1" s="42">
      <c r="A294" s="52" t="inlineStr">
        <is>
          <t>Colgate-Palmolive</t>
        </is>
      </c>
      <c r="B294" s="52" t="inlineStr">
        <is>
          <t>p_benefits</t>
        </is>
      </c>
      <c r="C294" s="52" t="inlineStr">
        <is>
          <t>Inclusive partner and gender-affirming benefits (CEI-verified)</t>
        </is>
      </c>
      <c r="D294" s="51" t="inlineStr">
        <is>
          <t>Structural</t>
        </is>
      </c>
      <c r="E294" s="51" t="inlineStr">
        <is>
          <t>Positive</t>
        </is>
      </c>
      <c r="F294" s="51" t="n">
        <v>22</v>
      </c>
      <c r="G294" s="51" t="n">
        <v>2024</v>
      </c>
      <c r="H294" s="52" t="inlineStr">
        <is>
          <t>https://reports.hrc.org/corporate-equality-index-2025</t>
        </is>
      </c>
      <c r="I294" s="52" t="inlineStr">
        <is>
          <t>HRC</t>
        </is>
      </c>
      <c r="J294" s="51" t="inlineStr">
        <is>
          <t>No</t>
        </is>
      </c>
      <c r="K294" s="52" t="inlineStr"/>
    </row>
    <row r="295" ht="23.25" customHeight="1" s="42">
      <c r="A295" s="52" t="inlineStr">
        <is>
          <t>Lockheed Martin</t>
        </is>
      </c>
      <c r="B295" s="52" t="inlineStr">
        <is>
          <t>p_generic_post</t>
        </is>
      </c>
      <c r="C295" s="52" t="inlineStr">
        <is>
          <t>Pride Month posts and engagement (through 2024)</t>
        </is>
      </c>
      <c r="D295" s="51" t="inlineStr">
        <is>
          <t>Cosmetic</t>
        </is>
      </c>
      <c r="E295" s="51" t="inlineStr">
        <is>
          <t>Positive</t>
        </is>
      </c>
      <c r="F295" s="51" t="n">
        <v>2</v>
      </c>
      <c r="G295" s="51" t="n">
        <v>2024</v>
      </c>
      <c r="H295" s="52" t="inlineStr">
        <is>
          <t>https://web.archive.org/web/2024/https://www.lockheedmartin.com/en-us/who-we-are/global-diversity-inclusion.html</t>
        </is>
      </c>
      <c r="I295" s="52" t="inlineStr">
        <is>
          <t>Archive</t>
        </is>
      </c>
      <c r="J295" s="51" t="inlineStr">
        <is>
          <t>No</t>
        </is>
      </c>
      <c r="K295" s="52" t="inlineStr"/>
    </row>
    <row r="296" ht="23.25" customHeight="1" s="42">
      <c r="A296" s="52" t="inlineStr">
        <is>
          <t>Lockheed Martin</t>
        </is>
      </c>
      <c r="B296" s="52" t="inlineStr">
        <is>
          <t>p_erg_support</t>
        </is>
      </c>
      <c r="C296" s="52" t="inlineStr">
        <is>
          <t>Funded LGBTQ+ employee resource group (PRIDE)</t>
        </is>
      </c>
      <c r="D296" s="51" t="inlineStr">
        <is>
          <t>Civic</t>
        </is>
      </c>
      <c r="E296" s="51" t="inlineStr">
        <is>
          <t>Positive</t>
        </is>
      </c>
      <c r="F296" s="51" t="n">
        <v>15</v>
      </c>
      <c r="G296" s="51" t="n">
        <v>2024</v>
      </c>
      <c r="H296" s="52" t="inlineStr">
        <is>
          <t>https://web.archive.org/web/2024/https://www.lockheedmartin.com/en-us/who-we-are/global-diversity-inclusion.html</t>
        </is>
      </c>
      <c r="I296" s="52" t="inlineStr">
        <is>
          <t>Archive</t>
        </is>
      </c>
      <c r="J296" s="51" t="inlineStr">
        <is>
          <t>No</t>
        </is>
      </c>
      <c r="K296" s="52" t="inlineStr"/>
    </row>
    <row r="297" ht="23.25" customHeight="1" s="42">
      <c r="A297" s="52" t="inlineStr">
        <is>
          <t>Lockheed Martin</t>
        </is>
      </c>
      <c r="B297" s="52" t="inlineStr">
        <is>
          <t>n_dei_removal</t>
        </is>
      </c>
      <c r="C297" s="52" t="inlineStr">
        <is>
          <t>Publicly announced compliance with anti-DEI executive order; DEI webpages removed (dead links)</t>
        </is>
      </c>
      <c r="D297" s="51" t="inlineStr">
        <is>
          <t>—</t>
        </is>
      </c>
      <c r="E297" s="51" t="inlineStr">
        <is>
          <t>Negative</t>
        </is>
      </c>
      <c r="F297" s="51" t="n">
        <v>-32</v>
      </c>
      <c r="G297" s="51" t="n">
        <v>2025</v>
      </c>
      <c r="H297" s="52" t="inlineStr">
        <is>
          <t>https://www.defensedaily.com/as-some-top-defense-companies-stay-mum-lockheed-martin-says-it-will-abide-by-trump-executive-order-on-dei/pentagon/</t>
        </is>
      </c>
      <c r="I297" s="52" t="inlineStr">
        <is>
          <t>News</t>
        </is>
      </c>
      <c r="J297" s="51" t="inlineStr">
        <is>
          <t>Yes</t>
        </is>
      </c>
      <c r="K297" s="52" t="inlineStr">
        <is>
          <t>Sector page-removal pattern: https://breakingdefense.com/2025/02/dei-doa-how-the-defense-industry-is-racing-to-bury-its-diversity-efforts/ ; archived before-state: https://web.archive.org/web/2024/https://www.lockheedmartin.com/en-us/who-we-are/global-diversity-inclusion.html</t>
        </is>
      </c>
    </row>
    <row r="298" ht="23.25" customHeight="1" s="42">
      <c r="A298" s="52" t="inlineStr">
        <is>
          <t>RTX (Raytheon)</t>
        </is>
      </c>
      <c r="B298" s="52" t="inlineStr">
        <is>
          <t>p_generic_post</t>
        </is>
      </c>
      <c r="C298" s="52" t="inlineStr">
        <is>
          <t>Pride Month posts and engagement (through 2024)</t>
        </is>
      </c>
      <c r="D298" s="51" t="inlineStr">
        <is>
          <t>Cosmetic</t>
        </is>
      </c>
      <c r="E298" s="51" t="inlineStr">
        <is>
          <t>Positive</t>
        </is>
      </c>
      <c r="F298" s="51" t="n">
        <v>2</v>
      </c>
      <c r="G298" s="51" t="n">
        <v>2024</v>
      </c>
      <c r="H298" s="52" t="inlineStr">
        <is>
          <t>https://web.archive.org/web/2024/https://www.rtx.com/who-we-are/we-are-rtx/diversity-equity-and-inclusion</t>
        </is>
      </c>
      <c r="I298" s="52" t="inlineStr">
        <is>
          <t>Archive</t>
        </is>
      </c>
      <c r="J298" s="51" t="inlineStr">
        <is>
          <t>No</t>
        </is>
      </c>
      <c r="K298" s="52" t="inlineStr"/>
    </row>
    <row r="299" ht="23.25" customHeight="1" s="42">
      <c r="A299" s="52" t="inlineStr">
        <is>
          <t>RTX (Raytheon)</t>
        </is>
      </c>
      <c r="B299" s="52" t="inlineStr">
        <is>
          <t>p_erg_support</t>
        </is>
      </c>
      <c r="C299" s="52" t="inlineStr">
        <is>
          <t>Funded LGBTQ+ employee resource group</t>
        </is>
      </c>
      <c r="D299" s="51" t="inlineStr">
        <is>
          <t>Civic</t>
        </is>
      </c>
      <c r="E299" s="51" t="inlineStr">
        <is>
          <t>Positive</t>
        </is>
      </c>
      <c r="F299" s="51" t="n">
        <v>15</v>
      </c>
      <c r="G299" s="51" t="n">
        <v>2024</v>
      </c>
      <c r="H299" s="52" t="inlineStr">
        <is>
          <t>https://web.archive.org/web/2024/https://www.rtx.com/who-we-are/we-are-rtx/diversity-equity-and-inclusion</t>
        </is>
      </c>
      <c r="I299" s="52" t="inlineStr">
        <is>
          <t>Archive</t>
        </is>
      </c>
      <c r="J299" s="51" t="inlineStr">
        <is>
          <t>No</t>
        </is>
      </c>
      <c r="K299" s="52" t="inlineStr"/>
    </row>
    <row r="300" ht="23.25" customHeight="1" s="42">
      <c r="A300" s="52" t="inlineStr">
        <is>
          <t>RTX (Raytheon)</t>
        </is>
      </c>
      <c r="B300" s="52" t="inlineStr">
        <is>
          <t>n_dei_removal</t>
        </is>
      </c>
      <c r="C300" s="52" t="inlineStr">
        <is>
          <t>Removed DEI webpages (now dead links) without announcement in early-2025 defense retreat</t>
        </is>
      </c>
      <c r="D300" s="51" t="inlineStr">
        <is>
          <t>—</t>
        </is>
      </c>
      <c r="E300" s="51" t="inlineStr">
        <is>
          <t>Negative</t>
        </is>
      </c>
      <c r="F300" s="51" t="n">
        <v>-32</v>
      </c>
      <c r="G300" s="51" t="n">
        <v>2025</v>
      </c>
      <c r="H300" s="52" t="inlineStr">
        <is>
          <t>https://breakingdefense.com/2025/02/dei-doa-how-the-defense-industry-is-racing-to-bury-its-diversity-efforts/</t>
        </is>
      </c>
      <c r="I300" s="52" t="inlineStr">
        <is>
          <t>News</t>
        </is>
      </c>
      <c r="J300" s="51" t="inlineStr">
        <is>
          <t>Yes</t>
        </is>
      </c>
      <c r="K300" s="52" t="inlineStr">
        <is>
          <t>Archived before-state: https://web.archive.org/web/2024/https://www.rtx.com/who-we-are/we-are-rtx/diversity-equity-and-inclusion</t>
        </is>
      </c>
    </row>
    <row r="301" ht="23.25" customHeight="1" s="42">
      <c r="A301" s="52" t="inlineStr">
        <is>
          <t>Boeing</t>
        </is>
      </c>
      <c r="B301" s="52" t="inlineStr">
        <is>
          <t>p_generic_post</t>
        </is>
      </c>
      <c r="C301" s="52" t="inlineStr">
        <is>
          <t>Pride Month posts and engagement (through 2024)</t>
        </is>
      </c>
      <c r="D301" s="51" t="inlineStr">
        <is>
          <t>Cosmetic</t>
        </is>
      </c>
      <c r="E301" s="51" t="inlineStr">
        <is>
          <t>Positive</t>
        </is>
      </c>
      <c r="F301" s="51" t="n">
        <v>2</v>
      </c>
      <c r="G301" s="51" t="n">
        <v>2024</v>
      </c>
      <c r="H301" s="52" t="inlineStr">
        <is>
          <t>https://web.archive.org/web/2024/https://www.boeing.com/principles/diversity-and-inclusion</t>
        </is>
      </c>
      <c r="I301" s="52" t="inlineStr">
        <is>
          <t>Archive</t>
        </is>
      </c>
      <c r="J301" s="51" t="inlineStr">
        <is>
          <t>No</t>
        </is>
      </c>
      <c r="K301" s="52" t="inlineStr"/>
    </row>
    <row r="302" ht="23.25" customHeight="1" s="42">
      <c r="A302" s="52" t="inlineStr">
        <is>
          <t>Boeing</t>
        </is>
      </c>
      <c r="B302" s="52" t="inlineStr">
        <is>
          <t>p_erg_support</t>
        </is>
      </c>
      <c r="C302" s="52" t="inlineStr">
        <is>
          <t>Funded Boeing Pride employee resource group</t>
        </is>
      </c>
      <c r="D302" s="51" t="inlineStr">
        <is>
          <t>Civic</t>
        </is>
      </c>
      <c r="E302" s="51" t="inlineStr">
        <is>
          <t>Positive</t>
        </is>
      </c>
      <c r="F302" s="51" t="n">
        <v>15</v>
      </c>
      <c r="G302" s="51" t="n">
        <v>2024</v>
      </c>
      <c r="H302" s="52" t="inlineStr">
        <is>
          <t>https://web.archive.org/web/2024/https://www.boeing.com/principles/diversity-and-inclusion</t>
        </is>
      </c>
      <c r="I302" s="52" t="inlineStr">
        <is>
          <t>Archive</t>
        </is>
      </c>
      <c r="J302" s="51" t="inlineStr">
        <is>
          <t>No</t>
        </is>
      </c>
      <c r="K302" s="52" t="inlineStr"/>
    </row>
    <row r="303" ht="23.25" customHeight="1" s="42">
      <c r="A303" s="52" t="inlineStr">
        <is>
          <t>Boeing</t>
        </is>
      </c>
      <c r="B303" s="52" t="inlineStr">
        <is>
          <t>n_dei_removal</t>
        </is>
      </c>
      <c r="C303" s="52" t="inlineStr">
        <is>
          <t>Dismantled global DEI department (Nov 2024); DEI web presence later reduced in sector-wide scrub</t>
        </is>
      </c>
      <c r="D303" s="51" t="inlineStr">
        <is>
          <t>—</t>
        </is>
      </c>
      <c r="E303" s="51" t="inlineStr">
        <is>
          <t>Negative</t>
        </is>
      </c>
      <c r="F303" s="51" t="n">
        <v>-32</v>
      </c>
      <c r="G303" s="51" t="n">
        <v>2024</v>
      </c>
      <c r="H303" s="52" t="inlineStr">
        <is>
          <t>https://www.techtarget.com/whatis/feature/What-companies-are-rolling-back-DEI-policies</t>
        </is>
      </c>
      <c r="I303" s="52" t="inlineStr">
        <is>
          <t>News</t>
        </is>
      </c>
      <c r="J303" s="51" t="inlineStr">
        <is>
          <t>No</t>
        </is>
      </c>
      <c r="K303" s="52" t="inlineStr">
        <is>
          <t>Archived before-state: https://web.archive.org/web/2024/https://www.boeing.com/principles/diversity-and-inclusion</t>
        </is>
      </c>
    </row>
    <row r="304" ht="23.25" customHeight="1" s="42">
      <c r="A304" s="52" t="inlineStr">
        <is>
          <t>Adobe</t>
        </is>
      </c>
      <c r="B304" s="52" t="inlineStr">
        <is>
          <t>p_generic_post</t>
        </is>
      </c>
      <c r="C304" s="52" t="inlineStr">
        <is>
          <t>Annual Pride Month posts and engagement</t>
        </is>
      </c>
      <c r="D304" s="51" t="inlineStr">
        <is>
          <t>Cosmetic</t>
        </is>
      </c>
      <c r="E304" s="51" t="inlineStr">
        <is>
          <t>Positive</t>
        </is>
      </c>
      <c r="F304" s="51" t="n">
        <v>2</v>
      </c>
      <c r="G304" s="51" t="n">
        <v>2024</v>
      </c>
      <c r="H304" s="52" t="inlineStr">
        <is>
          <t>https://web.archive.org/web/2024/https://www.adobe.com/diversity.html</t>
        </is>
      </c>
      <c r="I304" s="52" t="inlineStr">
        <is>
          <t>Archive</t>
        </is>
      </c>
      <c r="J304" s="51" t="inlineStr">
        <is>
          <t>No</t>
        </is>
      </c>
      <c r="K304" s="52" t="inlineStr"/>
    </row>
    <row r="305" ht="23.25" customHeight="1" s="42">
      <c r="A305" s="52" t="inlineStr">
        <is>
          <t>Adobe</t>
        </is>
      </c>
      <c r="B305" s="52" t="inlineStr">
        <is>
          <t>p_benefits</t>
        </is>
      </c>
      <c r="C305" s="52" t="inlineStr">
        <is>
          <t>Inclusive partner and gender-affirming benefits (CEI-verified)</t>
        </is>
      </c>
      <c r="D305" s="51" t="inlineStr">
        <is>
          <t>Structural</t>
        </is>
      </c>
      <c r="E305" s="51" t="inlineStr">
        <is>
          <t>Positive</t>
        </is>
      </c>
      <c r="F305" s="51" t="n">
        <v>22</v>
      </c>
      <c r="G305" s="51" t="n">
        <v>2024</v>
      </c>
      <c r="H305" s="52" t="inlineStr">
        <is>
          <t>https://reports.hrc.org/corporate-equality-index-2025</t>
        </is>
      </c>
      <c r="I305" s="52" t="inlineStr">
        <is>
          <t>HRC</t>
        </is>
      </c>
      <c r="J305" s="51" t="inlineStr">
        <is>
          <t>No</t>
        </is>
      </c>
      <c r="K305" s="52" t="inlineStr"/>
    </row>
    <row r="306" ht="23.25" customHeight="1" s="42">
      <c r="A306" s="52" t="inlineStr">
        <is>
          <t>Intel</t>
        </is>
      </c>
      <c r="B306" s="52" t="inlineStr">
        <is>
          <t>p_generic_post</t>
        </is>
      </c>
      <c r="C306" s="52" t="inlineStr">
        <is>
          <t>Annual Pride posts and engagement</t>
        </is>
      </c>
      <c r="D306" s="51" t="inlineStr">
        <is>
          <t>Cosmetic</t>
        </is>
      </c>
      <c r="E306" s="51" t="inlineStr">
        <is>
          <t>Positive</t>
        </is>
      </c>
      <c r="F306" s="51" t="n">
        <v>2</v>
      </c>
      <c r="G306" s="51" t="n">
        <v>2024</v>
      </c>
      <c r="H306" s="52" t="inlineStr">
        <is>
          <t>https://web.archive.org/web/2024/https://www.intel.com/content/www/us/en/diversity/diversity-at-intel.html</t>
        </is>
      </c>
      <c r="I306" s="52" t="inlineStr">
        <is>
          <t>Archive</t>
        </is>
      </c>
      <c r="J306" s="51" t="inlineStr">
        <is>
          <t>No</t>
        </is>
      </c>
      <c r="K306" s="52" t="inlineStr"/>
    </row>
    <row r="307" ht="23.25" customHeight="1" s="42">
      <c r="A307" s="52" t="inlineStr">
        <is>
          <t>Intel</t>
        </is>
      </c>
      <c r="B307" s="52" t="inlineStr">
        <is>
          <t>p_erg_support</t>
        </is>
      </c>
      <c r="C307" s="52" t="inlineStr">
        <is>
          <t>Funded IGLOBE LGBTQ+ employee resource group</t>
        </is>
      </c>
      <c r="D307" s="51" t="inlineStr">
        <is>
          <t>Civic</t>
        </is>
      </c>
      <c r="E307" s="51" t="inlineStr">
        <is>
          <t>Positive</t>
        </is>
      </c>
      <c r="F307" s="51" t="n">
        <v>15</v>
      </c>
      <c r="G307" s="51" t="n">
        <v>2024</v>
      </c>
      <c r="H307" s="52" t="inlineStr">
        <is>
          <t>https://web.archive.org/web/2024/https://www.intel.com/content/www/us/en/diversity/diversity-at-intel.html</t>
        </is>
      </c>
      <c r="I307" s="52" t="inlineStr">
        <is>
          <t>Archive</t>
        </is>
      </c>
      <c r="J307" s="51" t="inlineStr">
        <is>
          <t>No</t>
        </is>
      </c>
      <c r="K307" s="52" t="inlineStr"/>
    </row>
    <row r="308" ht="23.25" customHeight="1" s="42">
      <c r="A308" s="52" t="inlineStr">
        <is>
          <t>Intel</t>
        </is>
      </c>
      <c r="B308" s="52" t="inlineStr">
        <is>
          <t>p_benefits</t>
        </is>
      </c>
      <c r="C308" s="52" t="inlineStr">
        <is>
          <t>Inclusive partner and gender-affirming benefits (CEI-verified)</t>
        </is>
      </c>
      <c r="D308" s="51" t="inlineStr">
        <is>
          <t>Structural</t>
        </is>
      </c>
      <c r="E308" s="51" t="inlineStr">
        <is>
          <t>Positive</t>
        </is>
      </c>
      <c r="F308" s="51" t="n">
        <v>22</v>
      </c>
      <c r="G308" s="51" t="n">
        <v>2024</v>
      </c>
      <c r="H308" s="52" t="inlineStr">
        <is>
          <t>https://reports.hrc.org/corporate-equality-index-2025</t>
        </is>
      </c>
      <c r="I308" s="52" t="inlineStr">
        <is>
          <t>HRC</t>
        </is>
      </c>
      <c r="J308" s="51" t="inlineStr">
        <is>
          <t>No</t>
        </is>
      </c>
      <c r="K308" s="52" t="inlineStr"/>
    </row>
    <row r="309" ht="23.25" customHeight="1" s="42">
      <c r="A309" s="52" t="inlineStr">
        <is>
          <t>Intel</t>
        </is>
      </c>
      <c r="B309" s="52" t="inlineStr">
        <is>
          <t>n_dei_removal</t>
        </is>
      </c>
      <c r="C309" s="52" t="inlineStr">
        <is>
          <t>Cut DEI language and removed some diversity targets from 2025 10-K</t>
        </is>
      </c>
      <c r="D309" s="51" t="inlineStr">
        <is>
          <t>—</t>
        </is>
      </c>
      <c r="E309" s="51" t="inlineStr">
        <is>
          <t>Negative</t>
        </is>
      </c>
      <c r="F309" s="51" t="n">
        <v>-32</v>
      </c>
      <c r="G309" s="51" t="n">
        <v>2025</v>
      </c>
      <c r="H309" s="52" t="inlineStr">
        <is>
          <t>https://techcrunch.com/2025/04/17/here-are-all-the-tech-companies-rolling-back-dei-or-still-committed-to-it-so-far/</t>
        </is>
      </c>
      <c r="I309" s="52" t="inlineStr">
        <is>
          <t>News</t>
        </is>
      </c>
      <c r="J309" s="51" t="inlineStr">
        <is>
          <t>Yes</t>
        </is>
      </c>
      <c r="K309" s="52" t="inlineStr"/>
    </row>
    <row r="310" ht="23.25" customHeight="1" s="42">
      <c r="A310" s="52" t="inlineStr">
        <is>
          <t>Cisco Systems</t>
        </is>
      </c>
      <c r="B310" s="52" t="inlineStr">
        <is>
          <t>p_generic_post</t>
        </is>
      </c>
      <c r="C310" s="52" t="inlineStr">
        <is>
          <t>Annual Pride posts and campaigns</t>
        </is>
      </c>
      <c r="D310" s="51" t="inlineStr">
        <is>
          <t>Cosmetic</t>
        </is>
      </c>
      <c r="E310" s="51" t="inlineStr">
        <is>
          <t>Positive</t>
        </is>
      </c>
      <c r="F310" s="51" t="n">
        <v>2</v>
      </c>
      <c r="G310" s="51" t="n">
        <v>2025</v>
      </c>
      <c r="H310" s="52" t="inlineStr">
        <is>
          <t>https://web.archive.org/web/2025/https://www.cisco.com/c/en/us/about/inclusive-future.html</t>
        </is>
      </c>
      <c r="I310" s="52" t="inlineStr">
        <is>
          <t>Archive</t>
        </is>
      </c>
      <c r="J310" s="51" t="inlineStr">
        <is>
          <t>Yes</t>
        </is>
      </c>
      <c r="K310" s="52" t="inlineStr"/>
    </row>
    <row r="311" ht="23.25" customHeight="1" s="42">
      <c r="A311" s="52" t="inlineStr">
        <is>
          <t>Cisco Systems</t>
        </is>
      </c>
      <c r="B311" s="52" t="inlineStr">
        <is>
          <t>p_benefits</t>
        </is>
      </c>
      <c r="C311" s="52" t="inlineStr">
        <is>
          <t>Inclusive partner and gender-affirming benefits (CEI-verified)</t>
        </is>
      </c>
      <c r="D311" s="51" t="inlineStr">
        <is>
          <t>Structural</t>
        </is>
      </c>
      <c r="E311" s="51" t="inlineStr">
        <is>
          <t>Positive</t>
        </is>
      </c>
      <c r="F311" s="51" t="n">
        <v>22</v>
      </c>
      <c r="G311" s="51" t="n">
        <v>2025</v>
      </c>
      <c r="H311" s="52" t="inlineStr">
        <is>
          <t>https://reports.hrc.org/corporate-equality-index-2025</t>
        </is>
      </c>
      <c r="I311" s="52" t="inlineStr">
        <is>
          <t>HRC</t>
        </is>
      </c>
      <c r="J311" s="51" t="inlineStr">
        <is>
          <t>No</t>
        </is>
      </c>
      <c r="K311" s="52" t="inlineStr"/>
    </row>
    <row r="312" ht="23.25" customHeight="1" s="42">
      <c r="A312" s="52" t="inlineStr">
        <is>
          <t>Cisco Systems</t>
        </is>
      </c>
      <c r="B312" s="52" t="inlineStr">
        <is>
          <t>p_leadership_vocal</t>
        </is>
      </c>
      <c r="C312" s="52" t="inlineStr">
        <is>
          <t>CEO Chuck Robbins publicly defended DEI commitments post-EO: 'too much business value'</t>
        </is>
      </c>
      <c r="D312" s="51" t="inlineStr">
        <is>
          <t>Structural</t>
        </is>
      </c>
      <c r="E312" s="51" t="inlineStr">
        <is>
          <t>Positive</t>
        </is>
      </c>
      <c r="F312" s="51" t="n">
        <v>18</v>
      </c>
      <c r="G312" s="51" t="n">
        <v>2025</v>
      </c>
      <c r="H312" s="52" t="inlineStr">
        <is>
          <t>https://fortune.com/2025/04/04/how-companies-like-delta-and-cisco-are-sticking-up-for-their-dei-policies/</t>
        </is>
      </c>
      <c r="I312" s="52" t="inlineStr">
        <is>
          <t>News</t>
        </is>
      </c>
      <c r="J312" s="51" t="inlineStr">
        <is>
          <t>Yes</t>
        </is>
      </c>
      <c r="K312" s="52" t="inlineStr"/>
    </row>
    <row r="313" ht="23.25" customHeight="1" s="42">
      <c r="A313" s="52" t="inlineStr">
        <is>
          <t>NVIDIA</t>
        </is>
      </c>
      <c r="B313" s="52" t="inlineStr">
        <is>
          <t>p_generic_post</t>
        </is>
      </c>
      <c r="C313" s="52" t="inlineStr">
        <is>
          <t>Pride posts; diversity &amp; belonging page maintained</t>
        </is>
      </c>
      <c r="D313" s="51" t="inlineStr">
        <is>
          <t>Cosmetic</t>
        </is>
      </c>
      <c r="E313" s="51" t="inlineStr">
        <is>
          <t>Positive</t>
        </is>
      </c>
      <c r="F313" s="51" t="n">
        <v>2</v>
      </c>
      <c r="G313" s="51" t="n">
        <v>2025</v>
      </c>
      <c r="H313" s="52" t="inlineStr">
        <is>
          <t>https://www.nvidia.com/en-us/about-nvidia/careers/diversity-and-inclusion/</t>
        </is>
      </c>
      <c r="I313" s="52" t="inlineStr">
        <is>
          <t>Company</t>
        </is>
      </c>
      <c r="J313" s="51" t="inlineStr">
        <is>
          <t>Yes</t>
        </is>
      </c>
      <c r="K313" s="52" t="inlineStr"/>
    </row>
    <row r="314" ht="23.25" customHeight="1" s="42">
      <c r="A314" s="52" t="inlineStr">
        <is>
          <t>NVIDIA</t>
        </is>
      </c>
      <c r="B314" s="52" t="inlineStr">
        <is>
          <t>p_benefits</t>
        </is>
      </c>
      <c r="C314" s="52" t="inlineStr">
        <is>
          <t>Inclusive partner and gender-affirming benefits (CEI-verified)</t>
        </is>
      </c>
      <c r="D314" s="51" t="inlineStr">
        <is>
          <t>Structural</t>
        </is>
      </c>
      <c r="E314" s="51" t="inlineStr">
        <is>
          <t>Positive</t>
        </is>
      </c>
      <c r="F314" s="51" t="n">
        <v>22</v>
      </c>
      <c r="G314" s="51" t="n">
        <v>2024</v>
      </c>
      <c r="H314" s="52" t="inlineStr">
        <is>
          <t>https://reports.hrc.org/corporate-equality-index-2025</t>
        </is>
      </c>
      <c r="I314" s="52" t="inlineStr">
        <is>
          <t>HRC</t>
        </is>
      </c>
      <c r="J314" s="51" t="inlineStr">
        <is>
          <t>No</t>
        </is>
      </c>
      <c r="K314" s="52" t="inlineStr"/>
    </row>
    <row r="315" ht="23.25" customHeight="1" s="42">
      <c r="A315" s="52" t="inlineStr">
        <is>
          <t>Qualcomm</t>
        </is>
      </c>
      <c r="B315" s="52" t="inlineStr">
        <is>
          <t>p_generic_post</t>
        </is>
      </c>
      <c r="C315" s="52" t="inlineStr">
        <is>
          <t>Pride posts and engagement</t>
        </is>
      </c>
      <c r="D315" s="51" t="inlineStr">
        <is>
          <t>Cosmetic</t>
        </is>
      </c>
      <c r="E315" s="51" t="inlineStr">
        <is>
          <t>Positive</t>
        </is>
      </c>
      <c r="F315" s="51" t="n">
        <v>2</v>
      </c>
      <c r="G315" s="51" t="n">
        <v>2024</v>
      </c>
      <c r="H315" s="52" t="inlineStr">
        <is>
          <t>https://web.archive.org/web/2024/https://www.qualcomm.com/company/corporate-responsibility/diversity-and-inclusion</t>
        </is>
      </c>
      <c r="I315" s="52" t="inlineStr">
        <is>
          <t>Archive</t>
        </is>
      </c>
      <c r="J315" s="51" t="inlineStr">
        <is>
          <t>No</t>
        </is>
      </c>
      <c r="K315" s="52" t="inlineStr"/>
    </row>
    <row r="316" ht="23.25" customHeight="1" s="42">
      <c r="A316" s="52" t="inlineStr">
        <is>
          <t>Qualcomm</t>
        </is>
      </c>
      <c r="B316" s="52" t="inlineStr">
        <is>
          <t>p_erg_support</t>
        </is>
      </c>
      <c r="C316" s="52" t="inlineStr">
        <is>
          <t>Funded eQuality LGBTQ+ employee network</t>
        </is>
      </c>
      <c r="D316" s="51" t="inlineStr">
        <is>
          <t>Civic</t>
        </is>
      </c>
      <c r="E316" s="51" t="inlineStr">
        <is>
          <t>Positive</t>
        </is>
      </c>
      <c r="F316" s="51" t="n">
        <v>15</v>
      </c>
      <c r="G316" s="51" t="n">
        <v>2024</v>
      </c>
      <c r="H316" s="52" t="inlineStr">
        <is>
          <t>https://web.archive.org/web/2024/https://www.qualcomm.com/company/corporate-responsibility/diversity-and-inclusion</t>
        </is>
      </c>
      <c r="I316" s="52" t="inlineStr">
        <is>
          <t>Archive</t>
        </is>
      </c>
      <c r="J316" s="51" t="inlineStr">
        <is>
          <t>No</t>
        </is>
      </c>
      <c r="K316" s="52" t="inlineStr"/>
    </row>
    <row r="317" ht="23.25" customHeight="1" s="42">
      <c r="A317" s="52" t="inlineStr">
        <is>
          <t>Texas Instruments</t>
        </is>
      </c>
      <c r="B317" s="52" t="inlineStr">
        <is>
          <t>p_generic_post</t>
        </is>
      </c>
      <c r="C317" s="52" t="inlineStr">
        <is>
          <t>Occasional Pride posts and engagement</t>
        </is>
      </c>
      <c r="D317" s="51" t="inlineStr">
        <is>
          <t>Cosmetic</t>
        </is>
      </c>
      <c r="E317" s="51" t="inlineStr">
        <is>
          <t>Positive</t>
        </is>
      </c>
      <c r="F317" s="51" t="n">
        <v>2</v>
      </c>
      <c r="G317" s="51" t="n">
        <v>2024</v>
      </c>
      <c r="H317" s="52" t="inlineStr">
        <is>
          <t>https://web.archive.org/web/2024/https://careers.ti.com/diversity-inclusion/</t>
        </is>
      </c>
      <c r="I317" s="52" t="inlineStr">
        <is>
          <t>Archive</t>
        </is>
      </c>
      <c r="J317" s="51" t="inlineStr">
        <is>
          <t>No</t>
        </is>
      </c>
      <c r="K317" s="52" t="inlineStr"/>
    </row>
    <row r="318" ht="23.25" customHeight="1" s="42">
      <c r="A318" s="52" t="inlineStr">
        <is>
          <t>PayPal</t>
        </is>
      </c>
      <c r="B318" s="52" t="inlineStr">
        <is>
          <t>p_generic_post</t>
        </is>
      </c>
      <c r="C318" s="52" t="inlineStr">
        <is>
          <t>Annual Pride posts and engagement</t>
        </is>
      </c>
      <c r="D318" s="51" t="inlineStr">
        <is>
          <t>Cosmetic</t>
        </is>
      </c>
      <c r="E318" s="51" t="inlineStr">
        <is>
          <t>Positive</t>
        </is>
      </c>
      <c r="F318" s="51" t="n">
        <v>2</v>
      </c>
      <c r="G318" s="51" t="n">
        <v>2024</v>
      </c>
      <c r="H318" s="52" t="inlineStr">
        <is>
          <t>https://web.archive.org/web/2024/https://about.pypl.com/who-we-are/diversity-inclusion-equity-and-belonging</t>
        </is>
      </c>
      <c r="I318" s="52" t="inlineStr">
        <is>
          <t>Archive</t>
        </is>
      </c>
      <c r="J318" s="51" t="inlineStr">
        <is>
          <t>No</t>
        </is>
      </c>
      <c r="K318" s="52" t="inlineStr"/>
    </row>
    <row r="319" ht="23.25" customHeight="1" s="42">
      <c r="A319" s="52" t="inlineStr">
        <is>
          <t>PayPal</t>
        </is>
      </c>
      <c r="B319" s="52" t="inlineStr">
        <is>
          <t>p_erg_support</t>
        </is>
      </c>
      <c r="C319" s="52" t="inlineStr">
        <is>
          <t>Funded Pride LGBTQ+ employee resource group</t>
        </is>
      </c>
      <c r="D319" s="51" t="inlineStr">
        <is>
          <t>Civic</t>
        </is>
      </c>
      <c r="E319" s="51" t="inlineStr">
        <is>
          <t>Positive</t>
        </is>
      </c>
      <c r="F319" s="51" t="n">
        <v>15</v>
      </c>
      <c r="G319" s="51" t="n">
        <v>2024</v>
      </c>
      <c r="H319" s="52" t="inlineStr">
        <is>
          <t>https://web.archive.org/web/2024/https://about.pypl.com/who-we-are/diversity-inclusion-equity-and-belonging</t>
        </is>
      </c>
      <c r="I319" s="52" t="inlineStr">
        <is>
          <t>Archive</t>
        </is>
      </c>
      <c r="J319" s="51" t="inlineStr">
        <is>
          <t>No</t>
        </is>
      </c>
      <c r="K319" s="52" t="inlineStr"/>
    </row>
    <row r="320" ht="23.25" customHeight="1" s="42">
      <c r="A320" s="52" t="inlineStr">
        <is>
          <t>PayPal</t>
        </is>
      </c>
      <c r="B320" s="52" t="inlineStr">
        <is>
          <t>p_leadership_vocal</t>
        </is>
      </c>
      <c r="C320" s="52" t="inlineStr">
        <is>
          <t>CEO Dan Schulman canceled PayPal's 400-job Charlotte expansion over NC's anti-trans HB2 law</t>
        </is>
      </c>
      <c r="D320" s="51" t="inlineStr">
        <is>
          <t>Structural</t>
        </is>
      </c>
      <c r="E320" s="51" t="inlineStr">
        <is>
          <t>Positive</t>
        </is>
      </c>
      <c r="F320" s="51" t="n">
        <v>18</v>
      </c>
      <c r="G320" s="51" t="n">
        <v>2016</v>
      </c>
      <c r="H320" s="52" t="inlineStr">
        <is>
          <t>https://en.wikipedia.org/wiki/Public_Facilities_Privacy_%26_Security_Act</t>
        </is>
      </c>
      <c r="I320" s="52" t="inlineStr">
        <is>
          <t>News</t>
        </is>
      </c>
      <c r="J320" s="51" t="inlineStr">
        <is>
          <t>No</t>
        </is>
      </c>
      <c r="K320" s="52" t="inlineStr"/>
    </row>
    <row r="321" ht="23.25" customHeight="1" s="42">
      <c r="A321" s="52" t="inlineStr">
        <is>
          <t>Uber</t>
        </is>
      </c>
      <c r="B321" s="52" t="inlineStr">
        <is>
          <t>p_logo_rainbow</t>
        </is>
      </c>
      <c r="C321" s="52" t="inlineStr">
        <is>
          <t>Pride branding and in-app Pride features (through 2024)</t>
        </is>
      </c>
      <c r="D321" s="51" t="inlineStr">
        <is>
          <t>Cosmetic</t>
        </is>
      </c>
      <c r="E321" s="51" t="inlineStr">
        <is>
          <t>Positive</t>
        </is>
      </c>
      <c r="F321" s="51" t="n">
        <v>3</v>
      </c>
      <c r="G321" s="51" t="n">
        <v>2024</v>
      </c>
      <c r="H321" s="52" t="inlineStr">
        <is>
          <t>https://web.archive.org/web/2024/https://www.uber.com/us/en/about/diversity/</t>
        </is>
      </c>
      <c r="I321" s="52" t="inlineStr">
        <is>
          <t>Archive</t>
        </is>
      </c>
      <c r="J321" s="51" t="inlineStr">
        <is>
          <t>No</t>
        </is>
      </c>
      <c r="K321" s="52" t="inlineStr"/>
    </row>
    <row r="322" ht="23.25" customHeight="1" s="42">
      <c r="A322" s="52" t="inlineStr">
        <is>
          <t>Uber</t>
        </is>
      </c>
      <c r="B322" s="52" t="inlineStr">
        <is>
          <t>p_generic_post</t>
        </is>
      </c>
      <c r="C322" s="52" t="inlineStr">
        <is>
          <t>Annual Pride posts</t>
        </is>
      </c>
      <c r="D322" s="51" t="inlineStr">
        <is>
          <t>Cosmetic</t>
        </is>
      </c>
      <c r="E322" s="51" t="inlineStr">
        <is>
          <t>Positive</t>
        </is>
      </c>
      <c r="F322" s="51" t="n">
        <v>2</v>
      </c>
      <c r="G322" s="51" t="n">
        <v>2024</v>
      </c>
      <c r="H322" s="52" t="inlineStr">
        <is>
          <t>https://web.archive.org/web/2024/https://www.uber.com/us/en/about/diversity/</t>
        </is>
      </c>
      <c r="I322" s="52" t="inlineStr">
        <is>
          <t>Archive</t>
        </is>
      </c>
      <c r="J322" s="51" t="inlineStr">
        <is>
          <t>No</t>
        </is>
      </c>
      <c r="K322" s="52" t="inlineStr"/>
    </row>
    <row r="323" ht="23.25" customHeight="1" s="42">
      <c r="A323" s="52" t="inlineStr">
        <is>
          <t>Uber</t>
        </is>
      </c>
      <c r="B323" s="52" t="inlineStr">
        <is>
          <t>p_erg_support</t>
        </is>
      </c>
      <c r="C323" s="52" t="inlineStr">
        <is>
          <t>Funded Pride at Uber employee resource group</t>
        </is>
      </c>
      <c r="D323" s="51" t="inlineStr">
        <is>
          <t>Civic</t>
        </is>
      </c>
      <c r="E323" s="51" t="inlineStr">
        <is>
          <t>Positive</t>
        </is>
      </c>
      <c r="F323" s="51" t="n">
        <v>15</v>
      </c>
      <c r="G323" s="51" t="n">
        <v>2024</v>
      </c>
      <c r="H323" s="52" t="inlineStr">
        <is>
          <t>https://web.archive.org/web/2024/https://www.uber.com/us/en/about/diversity/</t>
        </is>
      </c>
      <c r="I323" s="52" t="inlineStr">
        <is>
          <t>Archive</t>
        </is>
      </c>
      <c r="J323" s="51" t="inlineStr">
        <is>
          <t>No</t>
        </is>
      </c>
      <c r="K323" s="52" t="inlineStr"/>
    </row>
    <row r="324" ht="23.25" customHeight="1" s="42">
      <c r="A324" s="52" t="inlineStr">
        <is>
          <t>Uber</t>
        </is>
      </c>
      <c r="B324" s="52" t="inlineStr">
        <is>
          <t>n_dei_removal</t>
        </is>
      </c>
      <c r="C324" s="52" t="inlineStr">
        <is>
          <t>Removed DEI exec-pay incentive, diverse-board pledge, and entire 10-K diversity section</t>
        </is>
      </c>
      <c r="D324" s="51" t="inlineStr">
        <is>
          <t>—</t>
        </is>
      </c>
      <c r="E324" s="51" t="inlineStr">
        <is>
          <t>Negative</t>
        </is>
      </c>
      <c r="F324" s="51" t="n">
        <v>-32</v>
      </c>
      <c r="G324" s="51" t="n">
        <v>2025</v>
      </c>
      <c r="H324" s="52" t="inlineStr">
        <is>
          <t>https://techcrunch.com/2025/04/17/here-are-all-the-tech-companies-rolling-back-dei-or-still-committed-to-it-so-far/</t>
        </is>
      </c>
      <c r="I324" s="52" t="inlineStr">
        <is>
          <t>News</t>
        </is>
      </c>
      <c r="J324" s="51" t="inlineStr">
        <is>
          <t>Yes</t>
        </is>
      </c>
      <c r="K324" s="52" t="inlineStr">
        <is>
          <t>Archived before-state: https://web.archive.org/web/2024/https://www.uber.com/us/en/about/diversity/</t>
        </is>
      </c>
    </row>
    <row r="325" ht="23.25" customHeight="1" s="42">
      <c r="A325" s="52" t="inlineStr">
        <is>
          <t>Lyft</t>
        </is>
      </c>
      <c r="B325" s="52" t="inlineStr">
        <is>
          <t>p_generic_post</t>
        </is>
      </c>
      <c r="C325" s="52" t="inlineStr">
        <is>
          <t>Pride posts and campaigns</t>
        </is>
      </c>
      <c r="D325" s="51" t="inlineStr">
        <is>
          <t>Cosmetic</t>
        </is>
      </c>
      <c r="E325" s="51" t="inlineStr">
        <is>
          <t>Positive</t>
        </is>
      </c>
      <c r="F325" s="51" t="n">
        <v>2</v>
      </c>
      <c r="G325" s="51" t="n">
        <v>2024</v>
      </c>
      <c r="H325" s="52" t="inlineStr">
        <is>
          <t>https://web.archive.org/web/2024/https://www.lyft.com/blog</t>
        </is>
      </c>
      <c r="I325" s="52" t="inlineStr">
        <is>
          <t>Archive</t>
        </is>
      </c>
      <c r="J325" s="51" t="inlineStr">
        <is>
          <t>No</t>
        </is>
      </c>
      <c r="K325" s="52" t="inlineStr"/>
    </row>
    <row r="326" ht="23.25" customHeight="1" s="42">
      <c r="A326" s="52" t="inlineStr">
        <is>
          <t>Lyft</t>
        </is>
      </c>
      <c r="B326" s="52" t="inlineStr">
        <is>
          <t>p_erg_support</t>
        </is>
      </c>
      <c r="C326" s="52" t="inlineStr">
        <is>
          <t>Funded LGBTQ+ employee resource group</t>
        </is>
      </c>
      <c r="D326" s="51" t="inlineStr">
        <is>
          <t>Civic</t>
        </is>
      </c>
      <c r="E326" s="51" t="inlineStr">
        <is>
          <t>Positive</t>
        </is>
      </c>
      <c r="F326" s="51" t="n">
        <v>15</v>
      </c>
      <c r="G326" s="51" t="n">
        <v>2024</v>
      </c>
      <c r="H326" s="52" t="inlineStr">
        <is>
          <t>https://web.archive.org/web/2024/https://www.lyft.com/careers</t>
        </is>
      </c>
      <c r="I326" s="52" t="inlineStr">
        <is>
          <t>Archive</t>
        </is>
      </c>
      <c r="J326" s="51" t="inlineStr">
        <is>
          <t>No</t>
        </is>
      </c>
      <c r="K326" s="52" t="inlineStr"/>
    </row>
    <row r="327" ht="23.25" customHeight="1" s="42">
      <c r="A327" s="52" t="inlineStr">
        <is>
          <t>eBay</t>
        </is>
      </c>
      <c r="B327" s="52" t="inlineStr">
        <is>
          <t>p_generic_post</t>
        </is>
      </c>
      <c r="C327" s="52" t="inlineStr">
        <is>
          <t>Annual Pride posts and engagement</t>
        </is>
      </c>
      <c r="D327" s="51" t="inlineStr">
        <is>
          <t>Cosmetic</t>
        </is>
      </c>
      <c r="E327" s="51" t="inlineStr">
        <is>
          <t>Positive</t>
        </is>
      </c>
      <c r="F327" s="51" t="n">
        <v>2</v>
      </c>
      <c r="G327" s="51" t="n">
        <v>2024</v>
      </c>
      <c r="H327" s="52" t="inlineStr">
        <is>
          <t>https://web.archive.org/web/2024/https://www.ebayinc.com/company/diversity-inclusion/</t>
        </is>
      </c>
      <c r="I327" s="52" t="inlineStr">
        <is>
          <t>Archive</t>
        </is>
      </c>
      <c r="J327" s="51" t="inlineStr">
        <is>
          <t>No</t>
        </is>
      </c>
      <c r="K327" s="52" t="inlineStr"/>
    </row>
    <row r="328" ht="23.25" customHeight="1" s="42">
      <c r="A328" s="52" t="inlineStr">
        <is>
          <t>eBay</t>
        </is>
      </c>
      <c r="B328" s="52" t="inlineStr">
        <is>
          <t>p_benefits</t>
        </is>
      </c>
      <c r="C328" s="52" t="inlineStr">
        <is>
          <t>Inclusive partner and gender-affirming benefits (CEI-verified)</t>
        </is>
      </c>
      <c r="D328" s="51" t="inlineStr">
        <is>
          <t>Structural</t>
        </is>
      </c>
      <c r="E328" s="51" t="inlineStr">
        <is>
          <t>Positive</t>
        </is>
      </c>
      <c r="F328" s="51" t="n">
        <v>22</v>
      </c>
      <c r="G328" s="51" t="n">
        <v>2024</v>
      </c>
      <c r="H328" s="52" t="inlineStr">
        <is>
          <t>https://reports.hrc.org/corporate-equality-index-2025</t>
        </is>
      </c>
      <c r="I328" s="52" t="inlineStr">
        <is>
          <t>HRC</t>
        </is>
      </c>
      <c r="J328" s="51" t="inlineStr">
        <is>
          <t>No</t>
        </is>
      </c>
      <c r="K328" s="52" t="inlineStr"/>
    </row>
    <row r="329" ht="23.25" customHeight="1" s="42">
      <c r="A329" s="52" t="inlineStr">
        <is>
          <t>Intuit</t>
        </is>
      </c>
      <c r="B329" s="52" t="inlineStr">
        <is>
          <t>p_generic_post</t>
        </is>
      </c>
      <c r="C329" s="52" t="inlineStr">
        <is>
          <t>Annual Pride posts and engagement</t>
        </is>
      </c>
      <c r="D329" s="51" t="inlineStr">
        <is>
          <t>Cosmetic</t>
        </is>
      </c>
      <c r="E329" s="51" t="inlineStr">
        <is>
          <t>Positive</t>
        </is>
      </c>
      <c r="F329" s="51" t="n">
        <v>2</v>
      </c>
      <c r="G329" s="51" t="n">
        <v>2024</v>
      </c>
      <c r="H329" s="52" t="inlineStr">
        <is>
          <t>https://web.archive.org/web/2024/https://www.intuit.com/careers/diversity-equity-inclusion/</t>
        </is>
      </c>
      <c r="I329" s="52" t="inlineStr">
        <is>
          <t>Archive</t>
        </is>
      </c>
      <c r="J329" s="51" t="inlineStr">
        <is>
          <t>No</t>
        </is>
      </c>
      <c r="K329" s="52" t="inlineStr"/>
    </row>
    <row r="330" ht="23.25" customHeight="1" s="42">
      <c r="A330" s="52" t="inlineStr">
        <is>
          <t>Intuit</t>
        </is>
      </c>
      <c r="B330" s="52" t="inlineStr">
        <is>
          <t>p_benefits</t>
        </is>
      </c>
      <c r="C330" s="52" t="inlineStr">
        <is>
          <t>Inclusive partner and gender-affirming benefits (CEI-verified)</t>
        </is>
      </c>
      <c r="D330" s="51" t="inlineStr">
        <is>
          <t>Structural</t>
        </is>
      </c>
      <c r="E330" s="51" t="inlineStr">
        <is>
          <t>Positive</t>
        </is>
      </c>
      <c r="F330" s="51" t="n">
        <v>22</v>
      </c>
      <c r="G330" s="51" t="n">
        <v>2024</v>
      </c>
      <c r="H330" s="52" t="inlineStr">
        <is>
          <t>https://reports.hrc.org/corporate-equality-index-2025</t>
        </is>
      </c>
      <c r="I330" s="52" t="inlineStr">
        <is>
          <t>HRC</t>
        </is>
      </c>
      <c r="J330" s="51" t="inlineStr">
        <is>
          <t>No</t>
        </is>
      </c>
      <c r="K330" s="52" t="inlineStr"/>
    </row>
    <row r="331" ht="23.25" customHeight="1" s="42">
      <c r="A331" s="52" t="inlineStr">
        <is>
          <t>ServiceNow</t>
        </is>
      </c>
      <c r="B331" s="52" t="inlineStr">
        <is>
          <t>p_generic_post</t>
        </is>
      </c>
      <c r="C331" s="52" t="inlineStr">
        <is>
          <t>Pride posts and engagement</t>
        </is>
      </c>
      <c r="D331" s="51" t="inlineStr">
        <is>
          <t>Cosmetic</t>
        </is>
      </c>
      <c r="E331" s="51" t="inlineStr">
        <is>
          <t>Positive</t>
        </is>
      </c>
      <c r="F331" s="51" t="n">
        <v>2</v>
      </c>
      <c r="G331" s="51" t="n">
        <v>2024</v>
      </c>
      <c r="H331" s="52" t="inlineStr">
        <is>
          <t>https://web.archive.org/web/2024/https://www.servicenow.com/company/diversity-inclusion-belonging.html</t>
        </is>
      </c>
      <c r="I331" s="52" t="inlineStr">
        <is>
          <t>Archive</t>
        </is>
      </c>
      <c r="J331" s="51" t="inlineStr">
        <is>
          <t>No</t>
        </is>
      </c>
      <c r="K331" s="52" t="inlineStr"/>
    </row>
    <row r="332" ht="23.25" customHeight="1" s="42">
      <c r="A332" s="52" t="inlineStr">
        <is>
          <t>ServiceNow</t>
        </is>
      </c>
      <c r="B332" s="52" t="inlineStr">
        <is>
          <t>p_erg_support</t>
        </is>
      </c>
      <c r="C332" s="52" t="inlineStr">
        <is>
          <t>Funded Pride at Now employee resource group</t>
        </is>
      </c>
      <c r="D332" s="51" t="inlineStr">
        <is>
          <t>Civic</t>
        </is>
      </c>
      <c r="E332" s="51" t="inlineStr">
        <is>
          <t>Positive</t>
        </is>
      </c>
      <c r="F332" s="51" t="n">
        <v>15</v>
      </c>
      <c r="G332" s="51" t="n">
        <v>2024</v>
      </c>
      <c r="H332" s="52" t="inlineStr">
        <is>
          <t>https://web.archive.org/web/2024/https://www.servicenow.com/company/diversity-inclusion-belonging.html</t>
        </is>
      </c>
      <c r="I332" s="52" t="inlineStr">
        <is>
          <t>Archive</t>
        </is>
      </c>
      <c r="J332" s="51" t="inlineStr">
        <is>
          <t>No</t>
        </is>
      </c>
      <c r="K332" s="52" t="inlineStr"/>
    </row>
    <row r="333" ht="23.25" customHeight="1" s="42">
      <c r="A333" s="52" t="inlineStr">
        <is>
          <t>Snap Inc.</t>
        </is>
      </c>
      <c r="B333" s="52" t="inlineStr">
        <is>
          <t>p_logo_rainbow</t>
        </is>
      </c>
      <c r="C333" s="52" t="inlineStr">
        <is>
          <t>Annual Pride AR lenses, filters and stickers across Snapchat</t>
        </is>
      </c>
      <c r="D333" s="51" t="inlineStr">
        <is>
          <t>Cosmetic</t>
        </is>
      </c>
      <c r="E333" s="51" t="inlineStr">
        <is>
          <t>Positive</t>
        </is>
      </c>
      <c r="F333" s="51" t="n">
        <v>3</v>
      </c>
      <c r="G333" s="51" t="n">
        <v>2024</v>
      </c>
      <c r="H333" s="52" t="inlineStr">
        <is>
          <t>https://web.archive.org/web/2024/https://newsroom.snap.com/</t>
        </is>
      </c>
      <c r="I333" s="52" t="inlineStr">
        <is>
          <t>Archive</t>
        </is>
      </c>
      <c r="J333" s="51" t="inlineStr">
        <is>
          <t>No</t>
        </is>
      </c>
      <c r="K333" s="52" t="inlineStr"/>
    </row>
    <row r="334" ht="23.25" customHeight="1" s="42">
      <c r="A334" s="52" t="inlineStr">
        <is>
          <t>Pinterest</t>
        </is>
      </c>
      <c r="B334" s="52" t="inlineStr">
        <is>
          <t>p_generic_post</t>
        </is>
      </c>
      <c r="C334" s="52" t="inlineStr">
        <is>
          <t>Pride content hubs and posts</t>
        </is>
      </c>
      <c r="D334" s="51" t="inlineStr">
        <is>
          <t>Cosmetic</t>
        </is>
      </c>
      <c r="E334" s="51" t="inlineStr">
        <is>
          <t>Positive</t>
        </is>
      </c>
      <c r="F334" s="51" t="n">
        <v>2</v>
      </c>
      <c r="G334" s="51" t="n">
        <v>2025</v>
      </c>
      <c r="H334" s="52" t="inlineStr">
        <is>
          <t>https://web.archive.org/web/2025/https://newsroom.pinterest.com/</t>
        </is>
      </c>
      <c r="I334" s="52" t="inlineStr">
        <is>
          <t>Archive</t>
        </is>
      </c>
      <c r="J334" s="51" t="inlineStr">
        <is>
          <t>Yes</t>
        </is>
      </c>
      <c r="K334" s="52" t="inlineStr"/>
    </row>
    <row r="335" ht="23.25" customHeight="1" s="42">
      <c r="A335" s="52" t="inlineStr">
        <is>
          <t>Pinterest</t>
        </is>
      </c>
      <c r="B335" s="52" t="inlineStr">
        <is>
          <t>p_dei_explicit</t>
        </is>
      </c>
      <c r="C335" s="52" t="inlineStr">
        <is>
          <t>Maintained DEI commitments; flagged anti-DEI attacks as a business risk in SEC filings</t>
        </is>
      </c>
      <c r="D335" s="51" t="inlineStr">
        <is>
          <t>Structural</t>
        </is>
      </c>
      <c r="E335" s="51" t="inlineStr">
        <is>
          <t>Positive</t>
        </is>
      </c>
      <c r="F335" s="51" t="n">
        <v>20</v>
      </c>
      <c r="G335" s="51" t="n">
        <v>2025</v>
      </c>
      <c r="H335" s="52" t="inlineStr">
        <is>
          <t>https://techcrunch.com/2025/02/07/pinterest-lists-dei-attacks-as-possible-business-risk-latest-filing/</t>
        </is>
      </c>
      <c r="I335" s="52" t="inlineStr">
        <is>
          <t>News</t>
        </is>
      </c>
      <c r="J335" s="51" t="inlineStr">
        <is>
          <t>Yes</t>
        </is>
      </c>
      <c r="K335" s="52" t="inlineStr"/>
    </row>
    <row r="336" ht="23.25" customHeight="1" s="42">
      <c r="A336" s="52" t="inlineStr">
        <is>
          <t>Kroger</t>
        </is>
      </c>
      <c r="B336" s="52" t="inlineStr">
        <is>
          <t>p_generic_post</t>
        </is>
      </c>
      <c r="C336" s="52" t="inlineStr">
        <is>
          <t>Pride posts and local Pride participation</t>
        </is>
      </c>
      <c r="D336" s="51" t="inlineStr">
        <is>
          <t>Cosmetic</t>
        </is>
      </c>
      <c r="E336" s="51" t="inlineStr">
        <is>
          <t>Positive</t>
        </is>
      </c>
      <c r="F336" s="51" t="n">
        <v>2</v>
      </c>
      <c r="G336" s="51" t="n">
        <v>2024</v>
      </c>
      <c r="H336" s="52" t="inlineStr">
        <is>
          <t>https://web.archive.org/web/2024/https://www.thekrogerco.com/our-promise/diversity/</t>
        </is>
      </c>
      <c r="I336" s="52" t="inlineStr">
        <is>
          <t>Archive</t>
        </is>
      </c>
      <c r="J336" s="51" t="inlineStr">
        <is>
          <t>No</t>
        </is>
      </c>
      <c r="K336" s="52" t="inlineStr"/>
    </row>
    <row r="337" ht="23.25" customHeight="1" s="42">
      <c r="A337" s="52" t="inlineStr">
        <is>
          <t>Kroger</t>
        </is>
      </c>
      <c r="B337" s="52" t="inlineStr">
        <is>
          <t>p_erg_support</t>
        </is>
      </c>
      <c r="C337" s="52" t="inlineStr">
        <is>
          <t>Funded LGBTQ+ associate resource group</t>
        </is>
      </c>
      <c r="D337" s="51" t="inlineStr">
        <is>
          <t>Civic</t>
        </is>
      </c>
      <c r="E337" s="51" t="inlineStr">
        <is>
          <t>Positive</t>
        </is>
      </c>
      <c r="F337" s="51" t="n">
        <v>15</v>
      </c>
      <c r="G337" s="51" t="n">
        <v>2024</v>
      </c>
      <c r="H337" s="52" t="inlineStr">
        <is>
          <t>https://web.archive.org/web/2024/https://www.thekrogerco.com/our-promise/diversity/</t>
        </is>
      </c>
      <c r="I337" s="52" t="inlineStr">
        <is>
          <t>Archive</t>
        </is>
      </c>
      <c r="J337" s="51" t="inlineStr">
        <is>
          <t>No</t>
        </is>
      </c>
      <c r="K337" s="52" t="inlineStr"/>
    </row>
    <row r="338" ht="23.25" customHeight="1" s="42">
      <c r="A338" s="52" t="inlineStr">
        <is>
          <t>Albertsons</t>
        </is>
      </c>
      <c r="B338" s="52" t="inlineStr">
        <is>
          <t>p_generic_post</t>
        </is>
      </c>
      <c r="C338" s="52" t="inlineStr">
        <is>
          <t>Occasional Pride posts and local engagement</t>
        </is>
      </c>
      <c r="D338" s="51" t="inlineStr">
        <is>
          <t>Cosmetic</t>
        </is>
      </c>
      <c r="E338" s="51" t="inlineStr">
        <is>
          <t>Positive</t>
        </is>
      </c>
      <c r="F338" s="51" t="n">
        <v>2</v>
      </c>
      <c r="G338" s="51" t="n">
        <v>2024</v>
      </c>
      <c r="H338" s="52" t="inlineStr">
        <is>
          <t>https://web.archive.org/web/2024/https://www.albertsonscompanies.com/about-us/diversity-equity-inclusion.html</t>
        </is>
      </c>
      <c r="I338" s="52" t="inlineStr">
        <is>
          <t>Archive</t>
        </is>
      </c>
      <c r="J338" s="51" t="inlineStr">
        <is>
          <t>No</t>
        </is>
      </c>
      <c r="K338" s="52" t="inlineStr"/>
    </row>
    <row r="339" ht="23.25" customHeight="1" s="42">
      <c r="A339" s="52" t="inlineStr">
        <is>
          <t>TJX Companies</t>
        </is>
      </c>
      <c r="B339" s="52" t="inlineStr">
        <is>
          <t>p_generic_post</t>
        </is>
      </c>
      <c r="C339" s="52" t="inlineStr">
        <is>
          <t>Inclusion statements and engagement</t>
        </is>
      </c>
      <c r="D339" s="51" t="inlineStr">
        <is>
          <t>Cosmetic</t>
        </is>
      </c>
      <c r="E339" s="51" t="inlineStr">
        <is>
          <t>Positive</t>
        </is>
      </c>
      <c r="F339" s="51" t="n">
        <v>2</v>
      </c>
      <c r="G339" s="51" t="n">
        <v>2025</v>
      </c>
      <c r="H339" s="52" t="inlineStr">
        <is>
          <t>https://web.archive.org/web/2025/https://www.tjx.com/responsibility/workplace/inclusion-and-diversity</t>
        </is>
      </c>
      <c r="I339" s="52" t="inlineStr">
        <is>
          <t>Archive</t>
        </is>
      </c>
      <c r="J339" s="51" t="inlineStr">
        <is>
          <t>Yes</t>
        </is>
      </c>
      <c r="K339" s="52" t="inlineStr"/>
    </row>
    <row r="340" ht="23.25" customHeight="1" s="42">
      <c r="A340" s="52" t="inlineStr">
        <is>
          <t>TJX Companies</t>
        </is>
      </c>
      <c r="B340" s="52" t="inlineStr">
        <is>
          <t>p_dei_explicit</t>
        </is>
      </c>
      <c r="C340" s="52" t="inlineStr">
        <is>
          <t>Publicly reaffirmed inclusion and diversity commitments during the 2025 corporate retreat</t>
        </is>
      </c>
      <c r="D340" s="51" t="inlineStr">
        <is>
          <t>Structural</t>
        </is>
      </c>
      <c r="E340" s="51" t="inlineStr">
        <is>
          <t>Positive</t>
        </is>
      </c>
      <c r="F340" s="51" t="n">
        <v>20</v>
      </c>
      <c r="G340" s="51" t="n">
        <v>2025</v>
      </c>
      <c r="H340" s="52" t="inlineStr">
        <is>
          <t>https://www.livenowfox.com/news/companies-roll-back-dei-policies</t>
        </is>
      </c>
      <c r="I340" s="52" t="inlineStr">
        <is>
          <t>News</t>
        </is>
      </c>
      <c r="J340" s="51" t="inlineStr">
        <is>
          <t>Yes</t>
        </is>
      </c>
      <c r="K340" s="52" t="inlineStr"/>
    </row>
    <row r="341" ht="23.25" customHeight="1" s="42">
      <c r="A341" s="52" t="inlineStr">
        <is>
          <t>Macy's</t>
        </is>
      </c>
      <c r="B341" s="52" t="inlineStr">
        <is>
          <t>p_generic_post</t>
        </is>
      </c>
      <c r="C341" s="52" t="inlineStr">
        <is>
          <t>Annual Pride posts and campaigns</t>
        </is>
      </c>
      <c r="D341" s="51" t="inlineStr">
        <is>
          <t>Cosmetic</t>
        </is>
      </c>
      <c r="E341" s="51" t="inlineStr">
        <is>
          <t>Positive</t>
        </is>
      </c>
      <c r="F341" s="51" t="n">
        <v>2</v>
      </c>
      <c r="G341" s="51" t="n">
        <v>2024</v>
      </c>
      <c r="H341" s="52" t="inlineStr">
        <is>
          <t>https://web.archive.org/web/2024/https://www.macysinc.com/purpose/diversity-equity-inclusion</t>
        </is>
      </c>
      <c r="I341" s="52" t="inlineStr">
        <is>
          <t>Archive</t>
        </is>
      </c>
      <c r="J341" s="51" t="inlineStr">
        <is>
          <t>No</t>
        </is>
      </c>
      <c r="K341" s="52" t="inlineStr"/>
    </row>
    <row r="342" ht="23.25" customHeight="1" s="42">
      <c r="A342" s="52" t="inlineStr">
        <is>
          <t>Macy's</t>
        </is>
      </c>
      <c r="B342" s="52" t="inlineStr">
        <is>
          <t>p_merch_collection</t>
        </is>
      </c>
      <c r="C342" s="52" t="inlineStr">
        <is>
          <t>Pride merchandise collections in stores and online</t>
        </is>
      </c>
      <c r="D342" s="51" t="inlineStr">
        <is>
          <t>Commercial</t>
        </is>
      </c>
      <c r="E342" s="51" t="inlineStr">
        <is>
          <t>Positive</t>
        </is>
      </c>
      <c r="F342" s="51" t="n">
        <v>6</v>
      </c>
      <c r="G342" s="51" t="n">
        <v>2024</v>
      </c>
      <c r="H342" s="52" t="inlineStr">
        <is>
          <t>https://web.archive.org/web/2024/https://www.macys.com/shop/featured/pride</t>
        </is>
      </c>
      <c r="I342" s="52" t="inlineStr">
        <is>
          <t>Archive</t>
        </is>
      </c>
      <c r="J342" s="51" t="inlineStr">
        <is>
          <t>No</t>
        </is>
      </c>
      <c r="K342" s="52" t="inlineStr"/>
    </row>
    <row r="343" ht="23.25" customHeight="1" s="42">
      <c r="A343" s="52" t="inlineStr">
        <is>
          <t>Macy's</t>
        </is>
      </c>
      <c r="B343" s="52" t="inlineStr">
        <is>
          <t>p_parade_sponsor</t>
        </is>
      </c>
      <c r="C343" s="52" t="inlineStr">
        <is>
          <t>NYC Pride participation/sponsorship history</t>
        </is>
      </c>
      <c r="D343" s="51" t="inlineStr">
        <is>
          <t>Civic</t>
        </is>
      </c>
      <c r="E343" s="51" t="inlineStr">
        <is>
          <t>Positive</t>
        </is>
      </c>
      <c r="F343" s="51" t="n">
        <v>12</v>
      </c>
      <c r="G343" s="51" t="n">
        <v>2024</v>
      </c>
      <c r="H343" s="52" t="inlineStr">
        <is>
          <t>https://web.archive.org/web/2024/https://www.macysinc.com/purpose/diversity-equity-inclusion</t>
        </is>
      </c>
      <c r="I343" s="52" t="inlineStr">
        <is>
          <t>Archive</t>
        </is>
      </c>
      <c r="J343" s="51" t="inlineStr">
        <is>
          <t>No</t>
        </is>
      </c>
      <c r="K343" s="52" t="inlineStr"/>
    </row>
    <row r="344" ht="23.25" customHeight="1" s="42">
      <c r="A344" s="52" t="inlineStr">
        <is>
          <t>Nordstrom</t>
        </is>
      </c>
      <c r="B344" s="52" t="inlineStr">
        <is>
          <t>p_generic_post</t>
        </is>
      </c>
      <c r="C344" s="52" t="inlineStr">
        <is>
          <t>Annual Pride posts</t>
        </is>
      </c>
      <c r="D344" s="51" t="inlineStr">
        <is>
          <t>Cosmetic</t>
        </is>
      </c>
      <c r="E344" s="51" t="inlineStr">
        <is>
          <t>Positive</t>
        </is>
      </c>
      <c r="F344" s="51" t="n">
        <v>2</v>
      </c>
      <c r="G344" s="51" t="n">
        <v>2024</v>
      </c>
      <c r="H344" s="52" t="inlineStr">
        <is>
          <t>https://web.archive.org/web/2024/https://www.nordstrom.com/</t>
        </is>
      </c>
      <c r="I344" s="52" t="inlineStr">
        <is>
          <t>Archive</t>
        </is>
      </c>
      <c r="J344" s="51" t="inlineStr">
        <is>
          <t>No</t>
        </is>
      </c>
      <c r="K344" s="52" t="inlineStr"/>
    </row>
    <row r="345" ht="23.25" customHeight="1" s="42">
      <c r="A345" s="52" t="inlineStr">
        <is>
          <t>Nordstrom</t>
        </is>
      </c>
      <c r="B345" s="52" t="inlineStr">
        <is>
          <t>p_merch_collection</t>
        </is>
      </c>
      <c r="C345" s="52" t="inlineStr">
        <is>
          <t>Annual Pride merchandise assortment</t>
        </is>
      </c>
      <c r="D345" s="51" t="inlineStr">
        <is>
          <t>Commercial</t>
        </is>
      </c>
      <c r="E345" s="51" t="inlineStr">
        <is>
          <t>Positive</t>
        </is>
      </c>
      <c r="F345" s="51" t="n">
        <v>6</v>
      </c>
      <c r="G345" s="51" t="n">
        <v>2024</v>
      </c>
      <c r="H345" s="52" t="inlineStr">
        <is>
          <t>https://web.archive.org/web/2024/https://www.nordstrom.com/browse/pride</t>
        </is>
      </c>
      <c r="I345" s="52" t="inlineStr">
        <is>
          <t>Archive</t>
        </is>
      </c>
      <c r="J345" s="51" t="inlineStr">
        <is>
          <t>No</t>
        </is>
      </c>
      <c r="K345" s="52" t="inlineStr"/>
    </row>
    <row r="346" ht="23.25" customHeight="1" s="42">
      <c r="A346" s="52" t="inlineStr">
        <is>
          <t>Kohl's</t>
        </is>
      </c>
      <c r="B346" s="52" t="inlineStr">
        <is>
          <t>p_generic_post</t>
        </is>
      </c>
      <c r="C346" s="52" t="inlineStr">
        <is>
          <t>Annual Pride posts</t>
        </is>
      </c>
      <c r="D346" s="51" t="inlineStr">
        <is>
          <t>Cosmetic</t>
        </is>
      </c>
      <c r="E346" s="51" t="inlineStr">
        <is>
          <t>Positive</t>
        </is>
      </c>
      <c r="F346" s="51" t="n">
        <v>2</v>
      </c>
      <c r="G346" s="51" t="n">
        <v>2024</v>
      </c>
      <c r="H346" s="52" t="inlineStr">
        <is>
          <t>https://web.archive.org/web/2024/https://corporate.kohls.com/company/diversity-equity-inclusion</t>
        </is>
      </c>
      <c r="I346" s="52" t="inlineStr">
        <is>
          <t>Archive</t>
        </is>
      </c>
      <c r="J346" s="51" t="inlineStr">
        <is>
          <t>No</t>
        </is>
      </c>
      <c r="K346" s="52" t="inlineStr"/>
    </row>
    <row r="347" ht="23.25" customHeight="1" s="42">
      <c r="A347" s="52" t="inlineStr">
        <is>
          <t>Kohl's</t>
        </is>
      </c>
      <c r="B347" s="52" t="inlineStr">
        <is>
          <t>p_merch_collection</t>
        </is>
      </c>
      <c r="C347" s="52" t="inlineStr">
        <is>
          <t>Pride merchandise incl. family items, maintained through the 2023 boycott attempt</t>
        </is>
      </c>
      <c r="D347" s="51" t="inlineStr">
        <is>
          <t>Commercial</t>
        </is>
      </c>
      <c r="E347" s="51" t="inlineStr">
        <is>
          <t>Positive</t>
        </is>
      </c>
      <c r="F347" s="51" t="n">
        <v>6</v>
      </c>
      <c r="G347" s="51" t="n">
        <v>2023</v>
      </c>
      <c r="H347" s="52" t="inlineStr">
        <is>
          <t>https://en.wikipedia.org/wiki/Kohl%27s</t>
        </is>
      </c>
      <c r="I347" s="52" t="inlineStr">
        <is>
          <t>News</t>
        </is>
      </c>
      <c r="J347" s="51" t="inlineStr">
        <is>
          <t>No</t>
        </is>
      </c>
      <c r="K347" s="52" t="inlineStr"/>
    </row>
    <row r="348" ht="23.25" customHeight="1" s="42">
      <c r="A348" s="52" t="inlineStr">
        <is>
          <t>Yum! Brands</t>
        </is>
      </c>
      <c r="B348" s="52" t="inlineStr">
        <is>
          <t>p_generic_post</t>
        </is>
      </c>
      <c r="C348" s="52" t="inlineStr">
        <is>
          <t>Pride posts across brands</t>
        </is>
      </c>
      <c r="D348" s="51" t="inlineStr">
        <is>
          <t>Cosmetic</t>
        </is>
      </c>
      <c r="E348" s="51" t="inlineStr">
        <is>
          <t>Positive</t>
        </is>
      </c>
      <c r="F348" s="51" t="n">
        <v>2</v>
      </c>
      <c r="G348" s="51" t="n">
        <v>2024</v>
      </c>
      <c r="H348" s="52" t="inlineStr">
        <is>
          <t>https://web.archive.org/web/2024/https://www.yum.com/wps/portal/yumbrands/Yumbrands/company/diversity-equity-inclusion</t>
        </is>
      </c>
      <c r="I348" s="52" t="inlineStr">
        <is>
          <t>Archive</t>
        </is>
      </c>
      <c r="J348" s="51" t="inlineStr">
        <is>
          <t>No</t>
        </is>
      </c>
      <c r="K348" s="52" t="inlineStr"/>
    </row>
    <row r="349" ht="23.25" customHeight="1" s="42">
      <c r="A349" s="52" t="inlineStr">
        <is>
          <t>Yum! Brands</t>
        </is>
      </c>
      <c r="B349" s="52" t="inlineStr">
        <is>
          <t>p_collab</t>
        </is>
      </c>
      <c r="C349" s="52" t="inlineStr">
        <is>
          <t>Taco Bell Drag Brunch tour with drag performers at locations nationwide</t>
        </is>
      </c>
      <c r="D349" s="51" t="inlineStr">
        <is>
          <t>Commercial</t>
        </is>
      </c>
      <c r="E349" s="51" t="inlineStr">
        <is>
          <t>Positive</t>
        </is>
      </c>
      <c r="F349" s="51" t="n">
        <v>8</v>
      </c>
      <c r="G349" s="51" t="n">
        <v>2022</v>
      </c>
      <c r="H349" s="52" t="inlineStr">
        <is>
          <t>https://web.archive.org/web/2022/https://www.tacobell.com/dragbrunch</t>
        </is>
      </c>
      <c r="I349" s="52" t="inlineStr">
        <is>
          <t>Archive</t>
        </is>
      </c>
      <c r="J349" s="51" t="inlineStr">
        <is>
          <t>No</t>
        </is>
      </c>
      <c r="K349" s="52" t="inlineStr"/>
    </row>
    <row r="350" ht="23.25" customHeight="1" s="42">
      <c r="A350" s="52" t="inlineStr">
        <is>
          <t>Chipotle</t>
        </is>
      </c>
      <c r="B350" s="52" t="inlineStr">
        <is>
          <t>p_generic_post</t>
        </is>
      </c>
      <c r="C350" s="52" t="inlineStr">
        <is>
          <t>Occasional Pride posts and engagement</t>
        </is>
      </c>
      <c r="D350" s="51" t="inlineStr">
        <is>
          <t>Cosmetic</t>
        </is>
      </c>
      <c r="E350" s="51" t="inlineStr">
        <is>
          <t>Positive</t>
        </is>
      </c>
      <c r="F350" s="51" t="n">
        <v>2</v>
      </c>
      <c r="G350" s="51" t="n">
        <v>2024</v>
      </c>
      <c r="H350" s="52" t="inlineStr">
        <is>
          <t>https://web.archive.org/web/2024/https://www.chipotle.com/</t>
        </is>
      </c>
      <c r="I350" s="52" t="inlineStr">
        <is>
          <t>Archive</t>
        </is>
      </c>
      <c r="J350" s="51" t="inlineStr">
        <is>
          <t>No</t>
        </is>
      </c>
      <c r="K350" s="52" t="inlineStr"/>
    </row>
    <row r="351" ht="23.25" customHeight="1" s="42">
      <c r="A351" s="52" t="inlineStr">
        <is>
          <t>Darden Restaurants</t>
        </is>
      </c>
      <c r="B351" s="52" t="inlineStr">
        <is>
          <t>p_generic_post</t>
        </is>
      </c>
      <c r="C351" s="52" t="inlineStr">
        <is>
          <t>Occasional inclusion posts</t>
        </is>
      </c>
      <c r="D351" s="51" t="inlineStr">
        <is>
          <t>Cosmetic</t>
        </is>
      </c>
      <c r="E351" s="51" t="inlineStr">
        <is>
          <t>Positive</t>
        </is>
      </c>
      <c r="F351" s="51" t="n">
        <v>2</v>
      </c>
      <c r="G351" s="51" t="n">
        <v>2024</v>
      </c>
      <c r="H351" s="52" t="inlineStr">
        <is>
          <t>https://web.archive.org/web/2024/https://www.darden.com/our-people/diversity-equity-inclusion</t>
        </is>
      </c>
      <c r="I351" s="52" t="inlineStr">
        <is>
          <t>Archive</t>
        </is>
      </c>
      <c r="J351" s="51" t="inlineStr">
        <is>
          <t>No</t>
        </is>
      </c>
      <c r="K351" s="52" t="inlineStr"/>
    </row>
    <row r="352" ht="23.25" customHeight="1" s="42">
      <c r="A352" s="52" t="inlineStr">
        <is>
          <t>Molson Coors</t>
        </is>
      </c>
      <c r="B352" s="52" t="inlineStr">
        <is>
          <t>p_logo_rainbow</t>
        </is>
      </c>
      <c r="C352" s="52" t="inlineStr">
        <is>
          <t>Pride branding and packaging (through 2024)</t>
        </is>
      </c>
      <c r="D352" s="51" t="inlineStr">
        <is>
          <t>Cosmetic</t>
        </is>
      </c>
      <c r="E352" s="51" t="inlineStr">
        <is>
          <t>Positive</t>
        </is>
      </c>
      <c r="F352" s="51" t="n">
        <v>3</v>
      </c>
      <c r="G352" s="51" t="n">
        <v>2024</v>
      </c>
      <c r="H352" s="52" t="inlineStr">
        <is>
          <t>https://web.archive.org/web/2024/https://www.molsoncoors.com/sustainability/diversity-equity-inclusion</t>
        </is>
      </c>
      <c r="I352" s="52" t="inlineStr">
        <is>
          <t>Archive</t>
        </is>
      </c>
      <c r="J352" s="51" t="inlineStr">
        <is>
          <t>No</t>
        </is>
      </c>
      <c r="K352" s="52" t="inlineStr"/>
    </row>
    <row r="353" ht="23.25" customHeight="1" s="42">
      <c r="A353" s="52" t="inlineStr">
        <is>
          <t>Molson Coors</t>
        </is>
      </c>
      <c r="B353" s="52" t="inlineStr">
        <is>
          <t>p_generic_post</t>
        </is>
      </c>
      <c r="C353" s="52" t="inlineStr">
        <is>
          <t>Annual Pride posts (through 2024)</t>
        </is>
      </c>
      <c r="D353" s="51" t="inlineStr">
        <is>
          <t>Cosmetic</t>
        </is>
      </c>
      <c r="E353" s="51" t="inlineStr">
        <is>
          <t>Positive</t>
        </is>
      </c>
      <c r="F353" s="51" t="n">
        <v>2</v>
      </c>
      <c r="G353" s="51" t="n">
        <v>2024</v>
      </c>
      <c r="H353" s="52" t="inlineStr">
        <is>
          <t>https://web.archive.org/web/2024/https://www.molsoncoors.com/sustainability/diversity-equity-inclusion</t>
        </is>
      </c>
      <c r="I353" s="52" t="inlineStr">
        <is>
          <t>Archive</t>
        </is>
      </c>
      <c r="J353" s="51" t="inlineStr">
        <is>
          <t>No</t>
        </is>
      </c>
      <c r="K353" s="52" t="inlineStr"/>
    </row>
    <row r="354" ht="23.25" customHeight="1" s="42">
      <c r="A354" s="52" t="inlineStr">
        <is>
          <t>Molson Coors</t>
        </is>
      </c>
      <c r="B354" s="52" t="inlineStr">
        <is>
          <t>p_merch_collection</t>
        </is>
      </c>
      <c r="C354" s="52" t="inlineStr">
        <is>
          <t>Pride-themed packaging/merchandise (Coors Light LGBTQ+ marketing legacy)</t>
        </is>
      </c>
      <c r="D354" s="51" t="inlineStr">
        <is>
          <t>Commercial</t>
        </is>
      </c>
      <c r="E354" s="51" t="inlineStr">
        <is>
          <t>Positive</t>
        </is>
      </c>
      <c r="F354" s="51" t="n">
        <v>6</v>
      </c>
      <c r="G354" s="51" t="n">
        <v>2023</v>
      </c>
      <c r="H354" s="52" t="inlineStr">
        <is>
          <t>https://web.archive.org/web/2023/https://www.molsoncoors.com/</t>
        </is>
      </c>
      <c r="I354" s="52" t="inlineStr">
        <is>
          <t>Archive</t>
        </is>
      </c>
      <c r="J354" s="51" t="inlineStr">
        <is>
          <t>No</t>
        </is>
      </c>
      <c r="K354" s="52" t="inlineStr"/>
    </row>
    <row r="355" ht="23.25" customHeight="1" s="42">
      <c r="A355" s="52" t="inlineStr">
        <is>
          <t>Molson Coors</t>
        </is>
      </c>
      <c r="B355" s="52" t="inlineStr">
        <is>
          <t>p_parade_sponsor</t>
        </is>
      </c>
      <c r="C355" s="52" t="inlineStr">
        <is>
          <t>Pride event sponsorships in multiple markets (ended in rollback)</t>
        </is>
      </c>
      <c r="D355" s="51" t="inlineStr">
        <is>
          <t>Civic</t>
        </is>
      </c>
      <c r="E355" s="51" t="inlineStr">
        <is>
          <t>Positive</t>
        </is>
      </c>
      <c r="F355" s="51" t="n">
        <v>12</v>
      </c>
      <c r="G355" s="51" t="n">
        <v>2024</v>
      </c>
      <c r="H355" s="52" t="inlineStr">
        <is>
          <t>https://www.hrc.org/press-releases/hrc-foundation-announces-record-participation-in-upcoming-2025-corporate-equality-index-docks-scores-of-seven-companies-in-current-ranking-following-their-pullback-from-workplace-inclusion</t>
        </is>
      </c>
      <c r="I355" s="52" t="inlineStr">
        <is>
          <t>HRC</t>
        </is>
      </c>
      <c r="J355" s="51" t="inlineStr">
        <is>
          <t>No</t>
        </is>
      </c>
      <c r="K355" s="52" t="inlineStr"/>
    </row>
    <row r="356" ht="23.25" customHeight="1" s="42">
      <c r="A356" s="52" t="inlineStr">
        <is>
          <t>Molson Coors</t>
        </is>
      </c>
      <c r="B356" s="52" t="inlineStr">
        <is>
          <t>p_erg_support</t>
        </is>
      </c>
      <c r="C356" s="52" t="inlineStr">
        <is>
          <t>Funded LGBTQ+ employee resource group</t>
        </is>
      </c>
      <c r="D356" s="51" t="inlineStr">
        <is>
          <t>Civic</t>
        </is>
      </c>
      <c r="E356" s="51" t="inlineStr">
        <is>
          <t>Positive</t>
        </is>
      </c>
      <c r="F356" s="51" t="n">
        <v>15</v>
      </c>
      <c r="G356" s="51" t="n">
        <v>2024</v>
      </c>
      <c r="H356" s="52" t="inlineStr">
        <is>
          <t>https://web.archive.org/web/2024/https://www.molsoncoors.com/sustainability/diversity-equity-inclusion</t>
        </is>
      </c>
      <c r="I356" s="52" t="inlineStr">
        <is>
          <t>Archive</t>
        </is>
      </c>
      <c r="J356" s="51" t="inlineStr">
        <is>
          <t>No</t>
        </is>
      </c>
      <c r="K356" s="52" t="inlineStr"/>
    </row>
    <row r="357" ht="23.25" customHeight="1" s="42">
      <c r="A357" s="52" t="inlineStr">
        <is>
          <t>Molson Coors</t>
        </is>
      </c>
      <c r="B357" s="52" t="inlineStr">
        <is>
          <t>n_dei_removal</t>
        </is>
      </c>
      <c r="C357" s="52" t="inlineStr">
        <is>
          <t>Ended DEI training, supplier diversity goals and CEI participation; HRC docked score -25</t>
        </is>
      </c>
      <c r="D357" s="51" t="inlineStr">
        <is>
          <t>—</t>
        </is>
      </c>
      <c r="E357" s="51" t="inlineStr">
        <is>
          <t>Negative</t>
        </is>
      </c>
      <c r="F357" s="51" t="n">
        <v>-32</v>
      </c>
      <c r="G357" s="51" t="n">
        <v>2024</v>
      </c>
      <c r="H357" s="52" t="inlineStr">
        <is>
          <t>https://www.hrc.org/press-releases/hrc-foundation-announces-record-participation-in-upcoming-2025-corporate-equality-index-docks-scores-of-seven-companies-in-current-ranking-following-their-pullback-from-workplace-inclusion</t>
        </is>
      </c>
      <c r="I357" s="52" t="inlineStr">
        <is>
          <t>HRC</t>
        </is>
      </c>
      <c r="J357" s="51" t="inlineStr">
        <is>
          <t>No</t>
        </is>
      </c>
      <c r="K357" s="52" t="inlineStr">
        <is>
          <t>One of 7 docked companies</t>
        </is>
      </c>
    </row>
    <row r="358" ht="23.25" customHeight="1" s="42">
      <c r="A358" s="52" t="inlineStr">
        <is>
          <t>Molson Coors</t>
        </is>
      </c>
      <c r="B358" s="52" t="inlineStr">
        <is>
          <t>n_pride_retreat</t>
        </is>
      </c>
      <c r="C358" s="52" t="inlineStr">
        <is>
          <t>Publicly retreated from inclusion commitments and Pride sponsorship posture under activist pressure</t>
        </is>
      </c>
      <c r="D358" s="51" t="inlineStr">
        <is>
          <t>—</t>
        </is>
      </c>
      <c r="E358" s="51" t="inlineStr">
        <is>
          <t>Negative</t>
        </is>
      </c>
      <c r="F358" s="51" t="n">
        <v>-22</v>
      </c>
      <c r="G358" s="51" t="n">
        <v>2024</v>
      </c>
      <c r="H358" s="52" t="inlineStr">
        <is>
          <t>https://www.hrc.org/press-releases/hrc-foundation-announces-record-participation-in-upcoming-2025-corporate-equality-index-docks-scores-of-seven-companies-in-current-ranking-following-their-pullback-from-workplace-inclusion</t>
        </is>
      </c>
      <c r="I358" s="52" t="inlineStr">
        <is>
          <t>HRC</t>
        </is>
      </c>
      <c r="J358" s="51" t="inlineStr">
        <is>
          <t>No</t>
        </is>
      </c>
      <c r="K358" s="52" t="inlineStr"/>
    </row>
    <row r="359" ht="23.25" customHeight="1" s="42">
      <c r="A359" s="52" t="inlineStr">
        <is>
          <t>Constellation Brands</t>
        </is>
      </c>
      <c r="B359" s="52" t="inlineStr">
        <is>
          <t>p_generic_post</t>
        </is>
      </c>
      <c r="C359" s="52" t="inlineStr">
        <is>
          <t>Occasional Pride posts via brands</t>
        </is>
      </c>
      <c r="D359" s="51" t="inlineStr">
        <is>
          <t>Cosmetic</t>
        </is>
      </c>
      <c r="E359" s="51" t="inlineStr">
        <is>
          <t>Positive</t>
        </is>
      </c>
      <c r="F359" s="51" t="n">
        <v>2</v>
      </c>
      <c r="G359" s="51" t="n">
        <v>2024</v>
      </c>
      <c r="H359" s="52" t="inlineStr">
        <is>
          <t>https://web.archive.org/web/2024/https://www.cbrands.com/</t>
        </is>
      </c>
      <c r="I359" s="52" t="inlineStr">
        <is>
          <t>Archive</t>
        </is>
      </c>
      <c r="J359" s="51" t="inlineStr">
        <is>
          <t>No</t>
        </is>
      </c>
      <c r="K359" s="52" t="inlineStr"/>
    </row>
    <row r="360" ht="23.25" customHeight="1" s="42">
      <c r="A360" s="52" t="inlineStr">
        <is>
          <t>Mondelez International</t>
        </is>
      </c>
      <c r="B360" s="52" t="inlineStr">
        <is>
          <t>p_generic_post</t>
        </is>
      </c>
      <c r="C360" s="52" t="inlineStr">
        <is>
          <t>Pride posts across brands</t>
        </is>
      </c>
      <c r="D360" s="51" t="inlineStr">
        <is>
          <t>Cosmetic</t>
        </is>
      </c>
      <c r="E360" s="51" t="inlineStr">
        <is>
          <t>Positive</t>
        </is>
      </c>
      <c r="F360" s="51" t="n">
        <v>2</v>
      </c>
      <c r="G360" s="51" t="n">
        <v>2024</v>
      </c>
      <c r="H360" s="52" t="inlineStr">
        <is>
          <t>https://web.archive.org/web/2024/https://www.mondelezinternational.com/</t>
        </is>
      </c>
      <c r="I360" s="52" t="inlineStr">
        <is>
          <t>Archive</t>
        </is>
      </c>
      <c r="J360" s="51" t="inlineStr">
        <is>
          <t>No</t>
        </is>
      </c>
      <c r="K360" s="52" t="inlineStr"/>
    </row>
    <row r="361" ht="23.25" customHeight="1" s="42">
      <c r="A361" s="52" t="inlineStr">
        <is>
          <t>Mondelez International</t>
        </is>
      </c>
      <c r="B361" s="52" t="inlineStr">
        <is>
          <t>p_collab</t>
        </is>
      </c>
      <c r="C361" s="52" t="inlineStr">
        <is>
          <t>OREO 'Proud Parent' campaign with PFLAG and rainbow OREO activations</t>
        </is>
      </c>
      <c r="D361" s="51" t="inlineStr">
        <is>
          <t>Commercial</t>
        </is>
      </c>
      <c r="E361" s="51" t="inlineStr">
        <is>
          <t>Positive</t>
        </is>
      </c>
      <c r="F361" s="51" t="n">
        <v>8</v>
      </c>
      <c r="G361" s="51" t="n">
        <v>2021</v>
      </c>
      <c r="H361" s="52" t="inlineStr">
        <is>
          <t>https://web.archive.org/web/2021/https://www.oreo.com/proudparent</t>
        </is>
      </c>
      <c r="I361" s="52" t="inlineStr">
        <is>
          <t>Archive</t>
        </is>
      </c>
      <c r="J361" s="51" t="inlineStr">
        <is>
          <t>No</t>
        </is>
      </c>
      <c r="K361" s="52" t="inlineStr"/>
    </row>
    <row r="362" ht="23.25" customHeight="1" s="42">
      <c r="A362" s="52" t="inlineStr">
        <is>
          <t>Mondelez International</t>
        </is>
      </c>
      <c r="B362" s="52" t="inlineStr">
        <is>
          <t>p_merch_collection</t>
        </is>
      </c>
      <c r="C362" s="52" t="inlineStr">
        <is>
          <t>Pride/allyship-themed OREO packs and giveaways</t>
        </is>
      </c>
      <c r="D362" s="51" t="inlineStr">
        <is>
          <t>Commercial</t>
        </is>
      </c>
      <c r="E362" s="51" t="inlineStr">
        <is>
          <t>Positive</t>
        </is>
      </c>
      <c r="F362" s="51" t="n">
        <v>6</v>
      </c>
      <c r="G362" s="51" t="n">
        <v>2021</v>
      </c>
      <c r="H362" s="52" t="inlineStr">
        <is>
          <t>https://web.archive.org/web/2021/https://www.oreo.com/proudparent</t>
        </is>
      </c>
      <c r="I362" s="52" t="inlineStr">
        <is>
          <t>Archive</t>
        </is>
      </c>
      <c r="J362" s="51" t="inlineStr">
        <is>
          <t>No</t>
        </is>
      </c>
      <c r="K362" s="52" t="inlineStr"/>
    </row>
    <row r="363" ht="23.25" customHeight="1" s="42">
      <c r="A363" s="52" t="inlineStr">
        <is>
          <t>Kraft Heinz</t>
        </is>
      </c>
      <c r="B363" s="52" t="inlineStr">
        <is>
          <t>p_generic_post</t>
        </is>
      </c>
      <c r="C363" s="52" t="inlineStr">
        <is>
          <t>Occasional brand Pride posts</t>
        </is>
      </c>
      <c r="D363" s="51" t="inlineStr">
        <is>
          <t>Cosmetic</t>
        </is>
      </c>
      <c r="E363" s="51" t="inlineStr">
        <is>
          <t>Positive</t>
        </is>
      </c>
      <c r="F363" s="51" t="n">
        <v>2</v>
      </c>
      <c r="G363" s="51" t="n">
        <v>2024</v>
      </c>
      <c r="H363" s="52" t="inlineStr">
        <is>
          <t>https://web.archive.org/web/2024/https://www.kraftheinzcompany.com/esg/diversity-equity-inclusion</t>
        </is>
      </c>
      <c r="I363" s="52" t="inlineStr">
        <is>
          <t>Archive</t>
        </is>
      </c>
      <c r="J363" s="51" t="inlineStr">
        <is>
          <t>No</t>
        </is>
      </c>
      <c r="K363" s="52" t="inlineStr"/>
    </row>
    <row r="364" ht="23.25" customHeight="1" s="42">
      <c r="A364" s="52" t="inlineStr">
        <is>
          <t>Hershey</t>
        </is>
      </c>
      <c r="B364" s="52" t="inlineStr">
        <is>
          <t>p_generic_post</t>
        </is>
      </c>
      <c r="C364" s="52" t="inlineStr">
        <is>
          <t>Pride posts and engagement</t>
        </is>
      </c>
      <c r="D364" s="51" t="inlineStr">
        <is>
          <t>Cosmetic</t>
        </is>
      </c>
      <c r="E364" s="51" t="inlineStr">
        <is>
          <t>Positive</t>
        </is>
      </c>
      <c r="F364" s="51" t="n">
        <v>2</v>
      </c>
      <c r="G364" s="51" t="n">
        <v>2024</v>
      </c>
      <c r="H364" s="52" t="inlineStr">
        <is>
          <t>https://web.archive.org/web/2024/https://www.thehersheycompany.com/en_us/home/our-story/diversity-equity-inclusion.html</t>
        </is>
      </c>
      <c r="I364" s="52" t="inlineStr">
        <is>
          <t>Archive</t>
        </is>
      </c>
      <c r="J364" s="51" t="inlineStr">
        <is>
          <t>No</t>
        </is>
      </c>
      <c r="K364" s="52" t="inlineStr"/>
    </row>
    <row r="365" ht="23.25" customHeight="1" s="42">
      <c r="A365" s="52" t="inlineStr">
        <is>
          <t>Hershey</t>
        </is>
      </c>
      <c r="B365" s="52" t="inlineStr">
        <is>
          <t>p_collab</t>
        </is>
      </c>
      <c r="C365" s="52" t="inlineStr">
        <is>
          <t>Campaign featuring trans activist Fae Johnstone (Hershey's Canada IWD 2023), maintained through boycott pressure</t>
        </is>
      </c>
      <c r="D365" s="51" t="inlineStr">
        <is>
          <t>Commercial</t>
        </is>
      </c>
      <c r="E365" s="51" t="inlineStr">
        <is>
          <t>Positive</t>
        </is>
      </c>
      <c r="F365" s="51" t="n">
        <v>8</v>
      </c>
      <c r="G365" s="51" t="n">
        <v>2023</v>
      </c>
      <c r="H365" s="52" t="inlineStr">
        <is>
          <t>https://en.wikipedia.org/wiki/Fae_Johnstone</t>
        </is>
      </c>
      <c r="I365" s="52" t="inlineStr">
        <is>
          <t>News</t>
        </is>
      </c>
      <c r="J365" s="51" t="inlineStr">
        <is>
          <t>No</t>
        </is>
      </c>
      <c r="K365" s="52" t="inlineStr"/>
    </row>
    <row r="366" ht="23.25" customHeight="1" s="42">
      <c r="A366" s="52" t="inlineStr">
        <is>
          <t>Morgan Stanley</t>
        </is>
      </c>
      <c r="B366" s="52" t="inlineStr">
        <is>
          <t>p_generic_post</t>
        </is>
      </c>
      <c r="C366" s="52" t="inlineStr">
        <is>
          <t>Annual Pride posts and engagement</t>
        </is>
      </c>
      <c r="D366" s="51" t="inlineStr">
        <is>
          <t>Cosmetic</t>
        </is>
      </c>
      <c r="E366" s="51" t="inlineStr">
        <is>
          <t>Positive</t>
        </is>
      </c>
      <c r="F366" s="51" t="n">
        <v>2</v>
      </c>
      <c r="G366" s="51" t="n">
        <v>2024</v>
      </c>
      <c r="H366" s="52" t="inlineStr">
        <is>
          <t>https://web.archive.org/web/2024/https://www.morganstanley.com/about-us/diversity</t>
        </is>
      </c>
      <c r="I366" s="52" t="inlineStr">
        <is>
          <t>Archive</t>
        </is>
      </c>
      <c r="J366" s="51" t="inlineStr">
        <is>
          <t>No</t>
        </is>
      </c>
      <c r="K366" s="52" t="inlineStr"/>
    </row>
    <row r="367" ht="23.25" customHeight="1" s="42">
      <c r="A367" s="52" t="inlineStr">
        <is>
          <t>Morgan Stanley</t>
        </is>
      </c>
      <c r="B367" s="52" t="inlineStr">
        <is>
          <t>p_erg_support</t>
        </is>
      </c>
      <c r="C367" s="52" t="inlineStr">
        <is>
          <t>Funded Pride &amp; Allies employee network</t>
        </is>
      </c>
      <c r="D367" s="51" t="inlineStr">
        <is>
          <t>Civic</t>
        </is>
      </c>
      <c r="E367" s="51" t="inlineStr">
        <is>
          <t>Positive</t>
        </is>
      </c>
      <c r="F367" s="51" t="n">
        <v>15</v>
      </c>
      <c r="G367" s="51" t="n">
        <v>2024</v>
      </c>
      <c r="H367" s="52" t="inlineStr">
        <is>
          <t>https://web.archive.org/web/2024/https://www.morganstanley.com/about-us/diversity</t>
        </is>
      </c>
      <c r="I367" s="52" t="inlineStr">
        <is>
          <t>Archive</t>
        </is>
      </c>
      <c r="J367" s="51" t="inlineStr">
        <is>
          <t>No</t>
        </is>
      </c>
      <c r="K367" s="52" t="inlineStr"/>
    </row>
    <row r="368" ht="23.25" customHeight="1" s="42">
      <c r="A368" s="52" t="inlineStr">
        <is>
          <t>BlackRock</t>
        </is>
      </c>
      <c r="B368" s="52" t="inlineStr">
        <is>
          <t>p_generic_post</t>
        </is>
      </c>
      <c r="C368" s="52" t="inlineStr">
        <is>
          <t>Annual Pride posts and engagement</t>
        </is>
      </c>
      <c r="D368" s="51" t="inlineStr">
        <is>
          <t>Cosmetic</t>
        </is>
      </c>
      <c r="E368" s="51" t="inlineStr">
        <is>
          <t>Positive</t>
        </is>
      </c>
      <c r="F368" s="51" t="n">
        <v>2</v>
      </c>
      <c r="G368" s="51" t="n">
        <v>2024</v>
      </c>
      <c r="H368" s="52" t="inlineStr">
        <is>
          <t>https://web.archive.org/web/2024/https://careers.blackrock.com/life-at-blackrock/inclusion-and-diversity/</t>
        </is>
      </c>
      <c r="I368" s="52" t="inlineStr">
        <is>
          <t>Archive</t>
        </is>
      </c>
      <c r="J368" s="51" t="inlineStr">
        <is>
          <t>No</t>
        </is>
      </c>
      <c r="K368" s="52" t="inlineStr"/>
    </row>
    <row r="369" ht="23.25" customHeight="1" s="42">
      <c r="A369" s="52" t="inlineStr">
        <is>
          <t>BlackRock</t>
        </is>
      </c>
      <c r="B369" s="52" t="inlineStr">
        <is>
          <t>p_erg_support</t>
        </is>
      </c>
      <c r="C369" s="52" t="inlineStr">
        <is>
          <t>Funded LGBTQ+ employee network</t>
        </is>
      </c>
      <c r="D369" s="51" t="inlineStr">
        <is>
          <t>Civic</t>
        </is>
      </c>
      <c r="E369" s="51" t="inlineStr">
        <is>
          <t>Positive</t>
        </is>
      </c>
      <c r="F369" s="51" t="n">
        <v>15</v>
      </c>
      <c r="G369" s="51" t="n">
        <v>2024</v>
      </c>
      <c r="H369" s="52" t="inlineStr">
        <is>
          <t>https://web.archive.org/web/2024/https://careers.blackrock.com/life-at-blackrock/inclusion-and-diversity/</t>
        </is>
      </c>
      <c r="I369" s="52" t="inlineStr">
        <is>
          <t>Archive</t>
        </is>
      </c>
      <c r="J369" s="51" t="inlineStr">
        <is>
          <t>No</t>
        </is>
      </c>
      <c r="K369" s="52" t="inlineStr"/>
    </row>
    <row r="370" ht="23.25" customHeight="1" s="42">
      <c r="A370" s="52" t="inlineStr">
        <is>
          <t>BlackRock</t>
        </is>
      </c>
      <c r="B370" s="52" t="inlineStr">
        <is>
          <t>n_dei_removal</t>
        </is>
      </c>
      <c r="C370" s="52" t="inlineStr">
        <is>
          <t>Dropped workforce diversity targets and DEI language from filings/stewardship materials</t>
        </is>
      </c>
      <c r="D370" s="51" t="inlineStr">
        <is>
          <t>—</t>
        </is>
      </c>
      <c r="E370" s="51" t="inlineStr">
        <is>
          <t>Negative</t>
        </is>
      </c>
      <c r="F370" s="51" t="n">
        <v>-32</v>
      </c>
      <c r="G370" s="51" t="n">
        <v>2025</v>
      </c>
      <c r="H370" s="52" t="inlineStr">
        <is>
          <t>https://www.techtarget.com/whatis/feature/What-companies-are-rolling-back-DEI-policies</t>
        </is>
      </c>
      <c r="I370" s="52" t="inlineStr">
        <is>
          <t>News</t>
        </is>
      </c>
      <c r="J370" s="51" t="inlineStr">
        <is>
          <t>Yes</t>
        </is>
      </c>
      <c r="K370" s="52" t="inlineStr">
        <is>
          <t>Archived before-state: https://web.archive.org/web/2024/https://careers.blackrock.com/life-at-blackrock/inclusion-and-diversity/</t>
        </is>
      </c>
    </row>
    <row r="371" ht="23.25" customHeight="1" s="42">
      <c r="A371" s="52" t="inlineStr">
        <is>
          <t>U.S. Bancorp</t>
        </is>
      </c>
      <c r="B371" s="52" t="inlineStr">
        <is>
          <t>p_generic_post</t>
        </is>
      </c>
      <c r="C371" s="52" t="inlineStr">
        <is>
          <t>Pride posts and local sponsorship history</t>
        </is>
      </c>
      <c r="D371" s="51" t="inlineStr">
        <is>
          <t>Cosmetic</t>
        </is>
      </c>
      <c r="E371" s="51" t="inlineStr">
        <is>
          <t>Positive</t>
        </is>
      </c>
      <c r="F371" s="51" t="n">
        <v>2</v>
      </c>
      <c r="G371" s="51" t="n">
        <v>2024</v>
      </c>
      <c r="H371" s="52" t="inlineStr">
        <is>
          <t>https://web.archive.org/web/2024/https://www.usbank.com/about-us-bank/diversity-equity-inclusion.html</t>
        </is>
      </c>
      <c r="I371" s="52" t="inlineStr">
        <is>
          <t>Archive</t>
        </is>
      </c>
      <c r="J371" s="51" t="inlineStr">
        <is>
          <t>No</t>
        </is>
      </c>
      <c r="K371" s="52" t="inlineStr"/>
    </row>
    <row r="372" ht="23.25" customHeight="1" s="42">
      <c r="A372" s="52" t="inlineStr">
        <is>
          <t>U.S. Bancorp</t>
        </is>
      </c>
      <c r="B372" s="52" t="inlineStr">
        <is>
          <t>p_erg_support</t>
        </is>
      </c>
      <c r="C372" s="52" t="inlineStr">
        <is>
          <t>Funded LGBTQ+ business resource group</t>
        </is>
      </c>
      <c r="D372" s="51" t="inlineStr">
        <is>
          <t>Civic</t>
        </is>
      </c>
      <c r="E372" s="51" t="inlineStr">
        <is>
          <t>Positive</t>
        </is>
      </c>
      <c r="F372" s="51" t="n">
        <v>15</v>
      </c>
      <c r="G372" s="51" t="n">
        <v>2024</v>
      </c>
      <c r="H372" s="52" t="inlineStr">
        <is>
          <t>https://web.archive.org/web/2024/https://www.usbank.com/about-us-bank/diversity-equity-inclusion.html</t>
        </is>
      </c>
      <c r="I372" s="52" t="inlineStr">
        <is>
          <t>Archive</t>
        </is>
      </c>
      <c r="J372" s="51" t="inlineStr">
        <is>
          <t>No</t>
        </is>
      </c>
      <c r="K372" s="52" t="inlineStr"/>
    </row>
    <row r="373" ht="23.25" customHeight="1" s="42">
      <c r="A373" s="52" t="inlineStr">
        <is>
          <t>PNC Financial Services</t>
        </is>
      </c>
      <c r="B373" s="52" t="inlineStr">
        <is>
          <t>p_generic_post</t>
        </is>
      </c>
      <c r="C373" s="52" t="inlineStr">
        <is>
          <t>Occasional Pride posts</t>
        </is>
      </c>
      <c r="D373" s="51" t="inlineStr">
        <is>
          <t>Cosmetic</t>
        </is>
      </c>
      <c r="E373" s="51" t="inlineStr">
        <is>
          <t>Positive</t>
        </is>
      </c>
      <c r="F373" s="51" t="n">
        <v>2</v>
      </c>
      <c r="G373" s="51" t="n">
        <v>2024</v>
      </c>
      <c r="H373" s="52" t="inlineStr">
        <is>
          <t>https://web.archive.org/web/2024/https://www.pnc.com/en/about-pnc/company-profile/diversity-and-inclusion.html</t>
        </is>
      </c>
      <c r="I373" s="52" t="inlineStr">
        <is>
          <t>Archive</t>
        </is>
      </c>
      <c r="J373" s="51" t="inlineStr">
        <is>
          <t>No</t>
        </is>
      </c>
      <c r="K373" s="52" t="inlineStr"/>
    </row>
    <row r="374" ht="23.25" customHeight="1" s="42">
      <c r="A374" s="52" t="inlineStr">
        <is>
          <t>Capital One</t>
        </is>
      </c>
      <c r="B374" s="52" t="inlineStr">
        <is>
          <t>p_generic_post</t>
        </is>
      </c>
      <c r="C374" s="52" t="inlineStr">
        <is>
          <t>Pride posts and engagement</t>
        </is>
      </c>
      <c r="D374" s="51" t="inlineStr">
        <is>
          <t>Cosmetic</t>
        </is>
      </c>
      <c r="E374" s="51" t="inlineStr">
        <is>
          <t>Positive</t>
        </is>
      </c>
      <c r="F374" s="51" t="n">
        <v>2</v>
      </c>
      <c r="G374" s="51" t="n">
        <v>2024</v>
      </c>
      <c r="H374" s="52" t="inlineStr">
        <is>
          <t>https://web.archive.org/web/2024/https://www.capitalonecareers.com/diversity-inclusion-belonging</t>
        </is>
      </c>
      <c r="I374" s="52" t="inlineStr">
        <is>
          <t>Archive</t>
        </is>
      </c>
      <c r="J374" s="51" t="inlineStr">
        <is>
          <t>No</t>
        </is>
      </c>
      <c r="K374" s="52" t="inlineStr"/>
    </row>
    <row r="375" ht="23.25" customHeight="1" s="42">
      <c r="A375" s="52" t="inlineStr">
        <is>
          <t>Capital One</t>
        </is>
      </c>
      <c r="B375" s="52" t="inlineStr">
        <is>
          <t>p_erg_support</t>
        </is>
      </c>
      <c r="C375" s="52" t="inlineStr">
        <is>
          <t>Funded Out Front LGBTQ+ employee resource group</t>
        </is>
      </c>
      <c r="D375" s="51" t="inlineStr">
        <is>
          <t>Civic</t>
        </is>
      </c>
      <c r="E375" s="51" t="inlineStr">
        <is>
          <t>Positive</t>
        </is>
      </c>
      <c r="F375" s="51" t="n">
        <v>15</v>
      </c>
      <c r="G375" s="51" t="n">
        <v>2024</v>
      </c>
      <c r="H375" s="52" t="inlineStr">
        <is>
          <t>https://web.archive.org/web/2024/https://www.capitalonecareers.com/diversity-inclusion-belonging</t>
        </is>
      </c>
      <c r="I375" s="52" t="inlineStr">
        <is>
          <t>Archive</t>
        </is>
      </c>
      <c r="J375" s="51" t="inlineStr">
        <is>
          <t>No</t>
        </is>
      </c>
      <c r="K375" s="52" t="inlineStr"/>
    </row>
    <row r="376" ht="23.25" customHeight="1" s="42">
      <c r="A376" s="52" t="inlineStr">
        <is>
          <t>Discover Financial Services</t>
        </is>
      </c>
      <c r="B376" s="52" t="inlineStr">
        <is>
          <t>p_generic_post</t>
        </is>
      </c>
      <c r="C376" s="52" t="inlineStr">
        <is>
          <t>Occasional Pride posts</t>
        </is>
      </c>
      <c r="D376" s="51" t="inlineStr">
        <is>
          <t>Cosmetic</t>
        </is>
      </c>
      <c r="E376" s="51" t="inlineStr">
        <is>
          <t>Positive</t>
        </is>
      </c>
      <c r="F376" s="51" t="n">
        <v>2</v>
      </c>
      <c r="G376" s="51" t="n">
        <v>2024</v>
      </c>
      <c r="H376" s="52" t="inlineStr">
        <is>
          <t>https://web.archive.org/web/2024/https://www.discover.com/company/diversity/</t>
        </is>
      </c>
      <c r="I376" s="52" t="inlineStr">
        <is>
          <t>Archive</t>
        </is>
      </c>
      <c r="J376" s="51" t="inlineStr">
        <is>
          <t>No</t>
        </is>
      </c>
      <c r="K376" s="52" t="inlineStr"/>
    </row>
    <row r="377" ht="23.25" customHeight="1" s="42">
      <c r="A377" s="52" t="inlineStr">
        <is>
          <t>Progressive Corporation</t>
        </is>
      </c>
      <c r="B377" s="52" t="inlineStr">
        <is>
          <t>p_generic_post</t>
        </is>
      </c>
      <c r="C377" s="52" t="inlineStr">
        <is>
          <t>Pride posts and campaigns</t>
        </is>
      </c>
      <c r="D377" s="51" t="inlineStr">
        <is>
          <t>Cosmetic</t>
        </is>
      </c>
      <c r="E377" s="51" t="inlineStr">
        <is>
          <t>Positive</t>
        </is>
      </c>
      <c r="F377" s="51" t="n">
        <v>2</v>
      </c>
      <c r="G377" s="51" t="n">
        <v>2024</v>
      </c>
      <c r="H377" s="52" t="inlineStr">
        <is>
          <t>https://web.archive.org/web/2024/https://www.progressive.com/about/diversity-and-inclusion/</t>
        </is>
      </c>
      <c r="I377" s="52" t="inlineStr">
        <is>
          <t>Archive</t>
        </is>
      </c>
      <c r="J377" s="51" t="inlineStr">
        <is>
          <t>No</t>
        </is>
      </c>
      <c r="K377" s="52" t="inlineStr"/>
    </row>
    <row r="378" ht="23.25" customHeight="1" s="42">
      <c r="A378" s="52" t="inlineStr">
        <is>
          <t>Progressive Corporation</t>
        </is>
      </c>
      <c r="B378" s="52" t="inlineStr">
        <is>
          <t>p_collab</t>
        </is>
      </c>
      <c r="C378" s="52" t="inlineStr">
        <is>
          <t>Mainstream ad campaigns featuring LGBTQ+ couples/families, sustained through boycott calls</t>
        </is>
      </c>
      <c r="D378" s="51" t="inlineStr">
        <is>
          <t>Commercial</t>
        </is>
      </c>
      <c r="E378" s="51" t="inlineStr">
        <is>
          <t>Positive</t>
        </is>
      </c>
      <c r="F378" s="51" t="n">
        <v>8</v>
      </c>
      <c r="G378" s="51" t="n">
        <v>2024</v>
      </c>
      <c r="H378" s="52" t="inlineStr">
        <is>
          <t>https://web.archive.org/web/2024/https://www.progressive.com/about/diversity-and-inclusion/</t>
        </is>
      </c>
      <c r="I378" s="52" t="inlineStr">
        <is>
          <t>Archive</t>
        </is>
      </c>
      <c r="J378" s="51" t="inlineStr">
        <is>
          <t>No</t>
        </is>
      </c>
      <c r="K378" s="52" t="inlineStr"/>
    </row>
    <row r="379" ht="23.25" customHeight="1" s="42">
      <c r="A379" s="52" t="inlineStr">
        <is>
          <t>Progressive Corporation</t>
        </is>
      </c>
      <c r="B379" s="52" t="inlineStr">
        <is>
          <t>p_erg_support</t>
        </is>
      </c>
      <c r="C379" s="52" t="inlineStr">
        <is>
          <t>Funded LGBTQ+ employee resource group (Pride Network)</t>
        </is>
      </c>
      <c r="D379" s="51" t="inlineStr">
        <is>
          <t>Civic</t>
        </is>
      </c>
      <c r="E379" s="51" t="inlineStr">
        <is>
          <t>Positive</t>
        </is>
      </c>
      <c r="F379" s="51" t="n">
        <v>15</v>
      </c>
      <c r="G379" s="51" t="n">
        <v>2024</v>
      </c>
      <c r="H379" s="52" t="inlineStr">
        <is>
          <t>https://web.archive.org/web/2024/https://www.progressive.com/about/diversity-and-inclusion/</t>
        </is>
      </c>
      <c r="I379" s="52" t="inlineStr">
        <is>
          <t>Archive</t>
        </is>
      </c>
      <c r="J379" s="51" t="inlineStr">
        <is>
          <t>No</t>
        </is>
      </c>
      <c r="K379" s="52" t="inlineStr"/>
    </row>
    <row r="380" ht="23.25" customHeight="1" s="42">
      <c r="A380" s="52" t="inlineStr">
        <is>
          <t>Allstate</t>
        </is>
      </c>
      <c r="B380" s="52" t="inlineStr">
        <is>
          <t>p_generic_post</t>
        </is>
      </c>
      <c r="C380" s="52" t="inlineStr">
        <is>
          <t>Occasional Pride posts</t>
        </is>
      </c>
      <c r="D380" s="51" t="inlineStr">
        <is>
          <t>Cosmetic</t>
        </is>
      </c>
      <c r="E380" s="51" t="inlineStr">
        <is>
          <t>Positive</t>
        </is>
      </c>
      <c r="F380" s="51" t="n">
        <v>2</v>
      </c>
      <c r="G380" s="51" t="n">
        <v>2024</v>
      </c>
      <c r="H380" s="52" t="inlineStr">
        <is>
          <t>https://web.archive.org/web/2024/https://www.allstate.com/about/diversity-equity-inclusion</t>
        </is>
      </c>
      <c r="I380" s="52" t="inlineStr">
        <is>
          <t>Archive</t>
        </is>
      </c>
      <c r="J380" s="51" t="inlineStr">
        <is>
          <t>No</t>
        </is>
      </c>
      <c r="K380" s="52" t="inlineStr"/>
    </row>
    <row r="381" ht="23.25" customHeight="1" s="42">
      <c r="A381" s="52" t="inlineStr">
        <is>
          <t>MetLife</t>
        </is>
      </c>
      <c r="B381" s="52" t="inlineStr">
        <is>
          <t>p_generic_post</t>
        </is>
      </c>
      <c r="C381" s="52" t="inlineStr">
        <is>
          <t>Annual Pride posts</t>
        </is>
      </c>
      <c r="D381" s="51" t="inlineStr">
        <is>
          <t>Cosmetic</t>
        </is>
      </c>
      <c r="E381" s="51" t="inlineStr">
        <is>
          <t>Positive</t>
        </is>
      </c>
      <c r="F381" s="51" t="n">
        <v>2</v>
      </c>
      <c r="G381" s="51" t="n">
        <v>2024</v>
      </c>
      <c r="H381" s="52" t="inlineStr">
        <is>
          <t>https://web.archive.org/web/2024/https://www.metlife.com/about-us/corporate-responsibility/diversity-equity-inclusion/</t>
        </is>
      </c>
      <c r="I381" s="52" t="inlineStr">
        <is>
          <t>Archive</t>
        </is>
      </c>
      <c r="J381" s="51" t="inlineStr">
        <is>
          <t>No</t>
        </is>
      </c>
      <c r="K381" s="52" t="inlineStr"/>
    </row>
    <row r="382" ht="23.25" customHeight="1" s="42">
      <c r="A382" s="52" t="inlineStr">
        <is>
          <t>MetLife</t>
        </is>
      </c>
      <c r="B382" s="52" t="inlineStr">
        <is>
          <t>p_benefits</t>
        </is>
      </c>
      <c r="C382" s="52" t="inlineStr">
        <is>
          <t>Inclusive partner and gender-affirming benefits (CEI-verified)</t>
        </is>
      </c>
      <c r="D382" s="51" t="inlineStr">
        <is>
          <t>Structural</t>
        </is>
      </c>
      <c r="E382" s="51" t="inlineStr">
        <is>
          <t>Positive</t>
        </is>
      </c>
      <c r="F382" s="51" t="n">
        <v>22</v>
      </c>
      <c r="G382" s="51" t="n">
        <v>2024</v>
      </c>
      <c r="H382" s="52" t="inlineStr">
        <is>
          <t>https://reports.hrc.org/corporate-equality-index-2025</t>
        </is>
      </c>
      <c r="I382" s="52" t="inlineStr">
        <is>
          <t>HRC</t>
        </is>
      </c>
      <c r="J382" s="51" t="inlineStr">
        <is>
          <t>No</t>
        </is>
      </c>
      <c r="K382" s="52" t="inlineStr"/>
    </row>
    <row r="383" ht="23.25" customHeight="1" s="42">
      <c r="A383" s="52" t="inlineStr">
        <is>
          <t>Prudential Financial</t>
        </is>
      </c>
      <c r="B383" s="52" t="inlineStr">
        <is>
          <t>p_generic_post</t>
        </is>
      </c>
      <c r="C383" s="52" t="inlineStr">
        <is>
          <t>Pride posts and engagement</t>
        </is>
      </c>
      <c r="D383" s="51" t="inlineStr">
        <is>
          <t>Cosmetic</t>
        </is>
      </c>
      <c r="E383" s="51" t="inlineStr">
        <is>
          <t>Positive</t>
        </is>
      </c>
      <c r="F383" s="51" t="n">
        <v>2</v>
      </c>
      <c r="G383" s="51" t="n">
        <v>2024</v>
      </c>
      <c r="H383" s="52" t="inlineStr">
        <is>
          <t>https://web.archive.org/web/2024/https://www.prudential.com/links/about/diversity-equity-inclusion</t>
        </is>
      </c>
      <c r="I383" s="52" t="inlineStr">
        <is>
          <t>Archive</t>
        </is>
      </c>
      <c r="J383" s="51" t="inlineStr">
        <is>
          <t>No</t>
        </is>
      </c>
      <c r="K383" s="52" t="inlineStr"/>
    </row>
    <row r="384" ht="23.25" customHeight="1" s="42">
      <c r="A384" s="52" t="inlineStr">
        <is>
          <t>Prudential Financial</t>
        </is>
      </c>
      <c r="B384" s="52" t="inlineStr">
        <is>
          <t>p_benefits</t>
        </is>
      </c>
      <c r="C384" s="52" t="inlineStr">
        <is>
          <t>Inclusive partner and gender-affirming benefits (CEI-verified)</t>
        </is>
      </c>
      <c r="D384" s="51" t="inlineStr">
        <is>
          <t>Structural</t>
        </is>
      </c>
      <c r="E384" s="51" t="inlineStr">
        <is>
          <t>Positive</t>
        </is>
      </c>
      <c r="F384" s="51" t="n">
        <v>22</v>
      </c>
      <c r="G384" s="51" t="n">
        <v>2024</v>
      </c>
      <c r="H384" s="52" t="inlineStr">
        <is>
          <t>https://reports.hrc.org/corporate-equality-index-2025</t>
        </is>
      </c>
      <c r="I384" s="52" t="inlineStr">
        <is>
          <t>HRC</t>
        </is>
      </c>
      <c r="J384" s="51" t="inlineStr">
        <is>
          <t>No</t>
        </is>
      </c>
      <c r="K384" s="52" t="inlineStr"/>
    </row>
    <row r="385" ht="23.25" customHeight="1" s="42">
      <c r="A385" s="52" t="inlineStr">
        <is>
          <t>AIG</t>
        </is>
      </c>
      <c r="B385" s="52" t="inlineStr">
        <is>
          <t>p_generic_post</t>
        </is>
      </c>
      <c r="C385" s="52" t="inlineStr">
        <is>
          <t>Occasional Pride posts</t>
        </is>
      </c>
      <c r="D385" s="51" t="inlineStr">
        <is>
          <t>Cosmetic</t>
        </is>
      </c>
      <c r="E385" s="51" t="inlineStr">
        <is>
          <t>Positive</t>
        </is>
      </c>
      <c r="F385" s="51" t="n">
        <v>2</v>
      </c>
      <c r="G385" s="51" t="n">
        <v>2024</v>
      </c>
      <c r="H385" s="52" t="inlineStr">
        <is>
          <t>https://web.archive.org/web/2024/https://www.aig.com/about-us/diversity-equity-and-inclusion</t>
        </is>
      </c>
      <c r="I385" s="52" t="inlineStr">
        <is>
          <t>Archive</t>
        </is>
      </c>
      <c r="J385" s="51" t="inlineStr">
        <is>
          <t>No</t>
        </is>
      </c>
      <c r="K385" s="52" t="inlineStr"/>
    </row>
    <row r="386" ht="23.25" customHeight="1" s="42">
      <c r="A386" s="52" t="inlineStr">
        <is>
          <t>Travelers Companies</t>
        </is>
      </c>
      <c r="B386" s="52" t="inlineStr">
        <is>
          <t>p_generic_post</t>
        </is>
      </c>
      <c r="C386" s="52" t="inlineStr">
        <is>
          <t>Occasional Pride posts</t>
        </is>
      </c>
      <c r="D386" s="51" t="inlineStr">
        <is>
          <t>Cosmetic</t>
        </is>
      </c>
      <c r="E386" s="51" t="inlineStr">
        <is>
          <t>Positive</t>
        </is>
      </c>
      <c r="F386" s="51" t="n">
        <v>2</v>
      </c>
      <c r="G386" s="51" t="n">
        <v>2024</v>
      </c>
      <c r="H386" s="52" t="inlineStr">
        <is>
          <t>https://web.archive.org/web/2024/https://careers.travelers.com/life-at-travelers/diversity/</t>
        </is>
      </c>
      <c r="I386" s="52" t="inlineStr">
        <is>
          <t>Archive</t>
        </is>
      </c>
      <c r="J386" s="51" t="inlineStr">
        <is>
          <t>No</t>
        </is>
      </c>
      <c r="K386" s="52" t="inlineStr"/>
    </row>
    <row r="387" ht="23.25" customHeight="1" s="42">
      <c r="A387" s="52" t="inlineStr">
        <is>
          <t>Eli Lilly</t>
        </is>
      </c>
      <c r="B387" s="52" t="inlineStr">
        <is>
          <t>p_generic_post</t>
        </is>
      </c>
      <c r="C387" s="52" t="inlineStr">
        <is>
          <t>Pride posts and Indy Pride engagement</t>
        </is>
      </c>
      <c r="D387" s="51" t="inlineStr">
        <is>
          <t>Cosmetic</t>
        </is>
      </c>
      <c r="E387" s="51" t="inlineStr">
        <is>
          <t>Positive</t>
        </is>
      </c>
      <c r="F387" s="51" t="n">
        <v>2</v>
      </c>
      <c r="G387" s="51" t="n">
        <v>2024</v>
      </c>
      <c r="H387" s="52" t="inlineStr">
        <is>
          <t>https://web.archive.org/web/2024/https://www.lilly.com/about/diversity-equity-inclusion</t>
        </is>
      </c>
      <c r="I387" s="52" t="inlineStr">
        <is>
          <t>Archive</t>
        </is>
      </c>
      <c r="J387" s="51" t="inlineStr">
        <is>
          <t>No</t>
        </is>
      </c>
      <c r="K387" s="52" t="inlineStr"/>
    </row>
    <row r="388" ht="23.25" customHeight="1" s="42">
      <c r="A388" s="52" t="inlineStr">
        <is>
          <t>Eli Lilly</t>
        </is>
      </c>
      <c r="B388" s="52" t="inlineStr">
        <is>
          <t>p_benefits</t>
        </is>
      </c>
      <c r="C388" s="52" t="inlineStr">
        <is>
          <t>Inclusive partner and gender-affirming benefits (CEI-verified)</t>
        </is>
      </c>
      <c r="D388" s="51" t="inlineStr">
        <is>
          <t>Structural</t>
        </is>
      </c>
      <c r="E388" s="51" t="inlineStr">
        <is>
          <t>Positive</t>
        </is>
      </c>
      <c r="F388" s="51" t="n">
        <v>22</v>
      </c>
      <c r="G388" s="51" t="n">
        <v>2024</v>
      </c>
      <c r="H388" s="52" t="inlineStr">
        <is>
          <t>https://reports.hrc.org/corporate-equality-index-2025</t>
        </is>
      </c>
      <c r="I388" s="52" t="inlineStr">
        <is>
          <t>HRC</t>
        </is>
      </c>
      <c r="J388" s="51" t="inlineStr">
        <is>
          <t>No</t>
        </is>
      </c>
      <c r="K388" s="52" t="inlineStr"/>
    </row>
    <row r="389" ht="23.25" customHeight="1" s="42">
      <c r="A389" s="52" t="inlineStr">
        <is>
          <t>Merck &amp; Co.</t>
        </is>
      </c>
      <c r="B389" s="52" t="inlineStr">
        <is>
          <t>p_generic_post</t>
        </is>
      </c>
      <c r="C389" s="52" t="inlineStr">
        <is>
          <t>Pride posts and engagement</t>
        </is>
      </c>
      <c r="D389" s="51" t="inlineStr">
        <is>
          <t>Cosmetic</t>
        </is>
      </c>
      <c r="E389" s="51" t="inlineStr">
        <is>
          <t>Positive</t>
        </is>
      </c>
      <c r="F389" s="51" t="n">
        <v>2</v>
      </c>
      <c r="G389" s="51" t="n">
        <v>2024</v>
      </c>
      <c r="H389" s="52" t="inlineStr">
        <is>
          <t>https://web.archive.org/web/2024/https://www.merck.com/company-overview/culture-and-values/diversity-and-inclusion/</t>
        </is>
      </c>
      <c r="I389" s="52" t="inlineStr">
        <is>
          <t>Archive</t>
        </is>
      </c>
      <c r="J389" s="51" t="inlineStr">
        <is>
          <t>No</t>
        </is>
      </c>
      <c r="K389" s="52" t="inlineStr"/>
    </row>
    <row r="390" ht="23.25" customHeight="1" s="42">
      <c r="A390" s="52" t="inlineStr">
        <is>
          <t>Merck &amp; Co.</t>
        </is>
      </c>
      <c r="B390" s="52" t="inlineStr">
        <is>
          <t>p_benefits</t>
        </is>
      </c>
      <c r="C390" s="52" t="inlineStr">
        <is>
          <t>Inclusive partner and gender-affirming benefits (CEI-verified)</t>
        </is>
      </c>
      <c r="D390" s="51" t="inlineStr">
        <is>
          <t>Structural</t>
        </is>
      </c>
      <c r="E390" s="51" t="inlineStr">
        <is>
          <t>Positive</t>
        </is>
      </c>
      <c r="F390" s="51" t="n">
        <v>22</v>
      </c>
      <c r="G390" s="51" t="n">
        <v>2024</v>
      </c>
      <c r="H390" s="52" t="inlineStr">
        <is>
          <t>https://reports.hrc.org/corporate-equality-index-2025</t>
        </is>
      </c>
      <c r="I390" s="52" t="inlineStr">
        <is>
          <t>HRC</t>
        </is>
      </c>
      <c r="J390" s="51" t="inlineStr">
        <is>
          <t>No</t>
        </is>
      </c>
      <c r="K390" s="52" t="inlineStr"/>
    </row>
    <row r="391" ht="23.25" customHeight="1" s="42">
      <c r="A391" s="52" t="inlineStr">
        <is>
          <t>AbbVie</t>
        </is>
      </c>
      <c r="B391" s="52" t="inlineStr">
        <is>
          <t>p_generic_post</t>
        </is>
      </c>
      <c r="C391" s="52" t="inlineStr">
        <is>
          <t>Pride posts and engagement</t>
        </is>
      </c>
      <c r="D391" s="51" t="inlineStr">
        <is>
          <t>Cosmetic</t>
        </is>
      </c>
      <c r="E391" s="51" t="inlineStr">
        <is>
          <t>Positive</t>
        </is>
      </c>
      <c r="F391" s="51" t="n">
        <v>2</v>
      </c>
      <c r="G391" s="51" t="n">
        <v>2024</v>
      </c>
      <c r="H391" s="52" t="inlineStr">
        <is>
          <t>https://web.archive.org/web/2024/https://www.abbvie.com/who-we-are/diversity-equity-inclusion.html</t>
        </is>
      </c>
      <c r="I391" s="52" t="inlineStr">
        <is>
          <t>Archive</t>
        </is>
      </c>
      <c r="J391" s="51" t="inlineStr">
        <is>
          <t>No</t>
        </is>
      </c>
      <c r="K391" s="52" t="inlineStr"/>
    </row>
    <row r="392" ht="23.25" customHeight="1" s="42">
      <c r="A392" s="52" t="inlineStr">
        <is>
          <t>AbbVie</t>
        </is>
      </c>
      <c r="B392" s="52" t="inlineStr">
        <is>
          <t>p_benefits</t>
        </is>
      </c>
      <c r="C392" s="52" t="inlineStr">
        <is>
          <t>Inclusive partner and gender-affirming benefits (CEI-verified)</t>
        </is>
      </c>
      <c r="D392" s="51" t="inlineStr">
        <is>
          <t>Structural</t>
        </is>
      </c>
      <c r="E392" s="51" t="inlineStr">
        <is>
          <t>Positive</t>
        </is>
      </c>
      <c r="F392" s="51" t="n">
        <v>22</v>
      </c>
      <c r="G392" s="51" t="n">
        <v>2024</v>
      </c>
      <c r="H392" s="52" t="inlineStr">
        <is>
          <t>https://reports.hrc.org/corporate-equality-index-2025</t>
        </is>
      </c>
      <c r="I392" s="52" t="inlineStr">
        <is>
          <t>HRC</t>
        </is>
      </c>
      <c r="J392" s="51" t="inlineStr">
        <is>
          <t>No</t>
        </is>
      </c>
      <c r="K392" s="52" t="inlineStr"/>
    </row>
    <row r="393" ht="23.25" customHeight="1" s="42">
      <c r="A393" s="52" t="inlineStr">
        <is>
          <t>Bristol Myers Squibb</t>
        </is>
      </c>
      <c r="B393" s="52" t="inlineStr">
        <is>
          <t>p_generic_post</t>
        </is>
      </c>
      <c r="C393" s="52" t="inlineStr">
        <is>
          <t>Pride posts and engagement</t>
        </is>
      </c>
      <c r="D393" s="51" t="inlineStr">
        <is>
          <t>Cosmetic</t>
        </is>
      </c>
      <c r="E393" s="51" t="inlineStr">
        <is>
          <t>Positive</t>
        </is>
      </c>
      <c r="F393" s="51" t="n">
        <v>2</v>
      </c>
      <c r="G393" s="51" t="n">
        <v>2024</v>
      </c>
      <c r="H393" s="52" t="inlineStr">
        <is>
          <t>https://web.archive.org/web/2024/https://www.bms.com/about-us/responsibility/diversity-equity-and-inclusion.html</t>
        </is>
      </c>
      <c r="I393" s="52" t="inlineStr">
        <is>
          <t>Archive</t>
        </is>
      </c>
      <c r="J393" s="51" t="inlineStr">
        <is>
          <t>No</t>
        </is>
      </c>
      <c r="K393" s="52" t="inlineStr"/>
    </row>
    <row r="394" ht="23.25" customHeight="1" s="42">
      <c r="A394" s="52" t="inlineStr">
        <is>
          <t>Bristol Myers Squibb</t>
        </is>
      </c>
      <c r="B394" s="52" t="inlineStr">
        <is>
          <t>p_benefits</t>
        </is>
      </c>
      <c r="C394" s="52" t="inlineStr">
        <is>
          <t>Inclusive partner and gender-affirming benefits (CEI-verified)</t>
        </is>
      </c>
      <c r="D394" s="51" t="inlineStr">
        <is>
          <t>Structural</t>
        </is>
      </c>
      <c r="E394" s="51" t="inlineStr">
        <is>
          <t>Positive</t>
        </is>
      </c>
      <c r="F394" s="51" t="n">
        <v>22</v>
      </c>
      <c r="G394" s="51" t="n">
        <v>2024</v>
      </c>
      <c r="H394" s="52" t="inlineStr">
        <is>
          <t>https://reports.hrc.org/corporate-equality-index-2025</t>
        </is>
      </c>
      <c r="I394" s="52" t="inlineStr">
        <is>
          <t>HRC</t>
        </is>
      </c>
      <c r="J394" s="51" t="inlineStr">
        <is>
          <t>No</t>
        </is>
      </c>
      <c r="K394" s="52" t="inlineStr"/>
    </row>
    <row r="395" ht="23.25" customHeight="1" s="42">
      <c r="A395" s="52" t="inlineStr">
        <is>
          <t>Gilead Sciences</t>
        </is>
      </c>
      <c r="B395" s="52" t="inlineStr">
        <is>
          <t>p_generic_post</t>
        </is>
      </c>
      <c r="C395" s="52" t="inlineStr">
        <is>
          <t>Pride posts and engagement</t>
        </is>
      </c>
      <c r="D395" s="51" t="inlineStr">
        <is>
          <t>Cosmetic</t>
        </is>
      </c>
      <c r="E395" s="51" t="inlineStr">
        <is>
          <t>Positive</t>
        </is>
      </c>
      <c r="F395" s="51" t="n">
        <v>2</v>
      </c>
      <c r="G395" s="51" t="n">
        <v>2024</v>
      </c>
      <c r="H395" s="52" t="inlineStr">
        <is>
          <t>https://web.archive.org/web/2024/https://www.gilead.com/</t>
        </is>
      </c>
      <c r="I395" s="52" t="inlineStr">
        <is>
          <t>Archive</t>
        </is>
      </c>
      <c r="J395" s="51" t="inlineStr">
        <is>
          <t>No</t>
        </is>
      </c>
      <c r="K395" s="52" t="inlineStr"/>
    </row>
    <row r="396" ht="23.25" customHeight="1" s="42">
      <c r="A396" s="52" t="inlineStr">
        <is>
          <t>Gilead Sciences</t>
        </is>
      </c>
      <c r="B396" s="52" t="inlineStr">
        <is>
          <t>p_recurring</t>
        </is>
      </c>
      <c r="C396" s="52" t="inlineStr">
        <is>
          <t>COMPASS Initiative: $100M+/10-year commitment to HIV organizations in the US South (2017-ongoing)</t>
        </is>
      </c>
      <c r="D396" s="51" t="inlineStr">
        <is>
          <t>Financial</t>
        </is>
      </c>
      <c r="E396" s="51" t="inlineStr">
        <is>
          <t>Positive</t>
        </is>
      </c>
      <c r="F396" s="51" t="n">
        <v>25</v>
      </c>
      <c r="G396" s="51" t="n">
        <v>2017</v>
      </c>
      <c r="H396" s="52" t="inlineStr">
        <is>
          <t>https://www.gilead.com/purpose/giving/compass-initiative</t>
        </is>
      </c>
      <c r="I396" s="52" t="inlineStr">
        <is>
          <t>Company</t>
        </is>
      </c>
      <c r="J396" s="51" t="inlineStr">
        <is>
          <t>No</t>
        </is>
      </c>
      <c r="K396" s="52" t="inlineStr"/>
    </row>
    <row r="397" ht="23.25" customHeight="1" s="42">
      <c r="A397" s="52" t="inlineStr">
        <is>
          <t>Gilead Sciences</t>
        </is>
      </c>
      <c r="B397" s="52" t="inlineStr">
        <is>
          <t>p_donation_large</t>
        </is>
      </c>
      <c r="C397" s="52" t="inlineStr">
        <is>
          <t>Sustained multi-million-dollar grants to LGBTQ+/HIV organizations (TransAction trans health grants, Zeroing In program)</t>
        </is>
      </c>
      <c r="D397" s="51" t="inlineStr">
        <is>
          <t>Financial</t>
        </is>
      </c>
      <c r="E397" s="51" t="inlineStr">
        <is>
          <t>Positive</t>
        </is>
      </c>
      <c r="F397" s="51" t="n">
        <v>22</v>
      </c>
      <c r="G397" s="51" t="n">
        <v>2024</v>
      </c>
      <c r="H397" s="52" t="inlineStr">
        <is>
          <t>https://www.gilead.com/purpose/giving</t>
        </is>
      </c>
      <c r="I397" s="52" t="inlineStr">
        <is>
          <t>Company</t>
        </is>
      </c>
      <c r="J397" s="51" t="inlineStr">
        <is>
          <t>No</t>
        </is>
      </c>
      <c r="K397" s="52" t="inlineStr"/>
    </row>
    <row r="398" ht="23.25" customHeight="1" s="42">
      <c r="A398" s="52" t="inlineStr">
        <is>
          <t>Amgen</t>
        </is>
      </c>
      <c r="B398" s="52" t="inlineStr">
        <is>
          <t>p_generic_post</t>
        </is>
      </c>
      <c r="C398" s="52" t="inlineStr">
        <is>
          <t>Occasional Pride posts</t>
        </is>
      </c>
      <c r="D398" s="51" t="inlineStr">
        <is>
          <t>Cosmetic</t>
        </is>
      </c>
      <c r="E398" s="51" t="inlineStr">
        <is>
          <t>Positive</t>
        </is>
      </c>
      <c r="F398" s="51" t="n">
        <v>2</v>
      </c>
      <c r="G398" s="51" t="n">
        <v>2024</v>
      </c>
      <c r="H398" s="52" t="inlineStr">
        <is>
          <t>https://web.archive.org/web/2024/https://www.amgen.com/about/diversity-inclusion-and-belonging</t>
        </is>
      </c>
      <c r="I398" s="52" t="inlineStr">
        <is>
          <t>Archive</t>
        </is>
      </c>
      <c r="J398" s="51" t="inlineStr">
        <is>
          <t>No</t>
        </is>
      </c>
      <c r="K398" s="52" t="inlineStr"/>
    </row>
    <row r="399" ht="23.25" customHeight="1" s="42">
      <c r="A399" s="52" t="inlineStr">
        <is>
          <t>Moderna</t>
        </is>
      </c>
      <c r="B399" s="52" t="inlineStr">
        <is>
          <t>p_generic_post</t>
        </is>
      </c>
      <c r="C399" s="52" t="inlineStr">
        <is>
          <t>Occasional Pride posts</t>
        </is>
      </c>
      <c r="D399" s="51" t="inlineStr">
        <is>
          <t>Cosmetic</t>
        </is>
      </c>
      <c r="E399" s="51" t="inlineStr">
        <is>
          <t>Positive</t>
        </is>
      </c>
      <c r="F399" s="51" t="n">
        <v>2</v>
      </c>
      <c r="G399" s="51" t="n">
        <v>2024</v>
      </c>
      <c r="H399" s="52" t="inlineStr">
        <is>
          <t>https://web.archive.org/web/2024/https://www.modernatx.com/</t>
        </is>
      </c>
      <c r="I399" s="52" t="inlineStr">
        <is>
          <t>Archive</t>
        </is>
      </c>
      <c r="J399" s="51" t="inlineStr">
        <is>
          <t>No</t>
        </is>
      </c>
      <c r="K399" s="52" t="inlineStr"/>
    </row>
    <row r="400" ht="23.25" customHeight="1" s="42">
      <c r="A400" s="52" t="inlineStr">
        <is>
          <t>HCA Healthcare</t>
        </is>
      </c>
      <c r="B400" s="52" t="inlineStr">
        <is>
          <t>p_generic_post</t>
        </is>
      </c>
      <c r="C400" s="52" t="inlineStr">
        <is>
          <t>Occasional inclusion posts</t>
        </is>
      </c>
      <c r="D400" s="51" t="inlineStr">
        <is>
          <t>Cosmetic</t>
        </is>
      </c>
      <c r="E400" s="51" t="inlineStr">
        <is>
          <t>Positive</t>
        </is>
      </c>
      <c r="F400" s="51" t="n">
        <v>2</v>
      </c>
      <c r="G400" s="51" t="n">
        <v>2024</v>
      </c>
      <c r="H400" s="52" t="inlineStr">
        <is>
          <t>https://web.archive.org/web/2024/https://hcahealthcare.com/about/our-culture/diversity-equity-and-inclusion.dot</t>
        </is>
      </c>
      <c r="I400" s="52" t="inlineStr">
        <is>
          <t>Archive</t>
        </is>
      </c>
      <c r="J400" s="51" t="inlineStr">
        <is>
          <t>No</t>
        </is>
      </c>
      <c r="K400" s="52" t="inlineStr"/>
    </row>
    <row r="401" ht="23.25" customHeight="1" s="42">
      <c r="A401" s="52" t="inlineStr">
        <is>
          <t>Elevance Health</t>
        </is>
      </c>
      <c r="B401" s="52" t="inlineStr">
        <is>
          <t>p_generic_post</t>
        </is>
      </c>
      <c r="C401" s="52" t="inlineStr">
        <is>
          <t>Prior Pride engagement and DEI reporting</t>
        </is>
      </c>
      <c r="D401" s="51" t="inlineStr">
        <is>
          <t>Cosmetic</t>
        </is>
      </c>
      <c r="E401" s="51" t="inlineStr">
        <is>
          <t>Positive</t>
        </is>
      </c>
      <c r="F401" s="51" t="n">
        <v>2</v>
      </c>
      <c r="G401" s="51" t="n">
        <v>2024</v>
      </c>
      <c r="H401" s="52" t="inlineStr">
        <is>
          <t>https://web.archive.org/web/2024/https://www.elevancehealth.com/who-we-are/diversity-equity-inclusion</t>
        </is>
      </c>
      <c r="I401" s="52" t="inlineStr">
        <is>
          <t>Archive</t>
        </is>
      </c>
      <c r="J401" s="51" t="inlineStr">
        <is>
          <t>No</t>
        </is>
      </c>
      <c r="K401" s="52" t="inlineStr"/>
    </row>
    <row r="402" ht="23.25" customHeight="1" s="42">
      <c r="A402" s="52" t="inlineStr">
        <is>
          <t>Elevance Health</t>
        </is>
      </c>
      <c r="B402" s="52" t="inlineStr">
        <is>
          <t>p_benefits</t>
        </is>
      </c>
      <c r="C402" s="52" t="inlineStr">
        <is>
          <t>Inclusive partner and gender-affirming benefits (CEI-verified)</t>
        </is>
      </c>
      <c r="D402" s="51" t="inlineStr">
        <is>
          <t>Structural</t>
        </is>
      </c>
      <c r="E402" s="51" t="inlineStr">
        <is>
          <t>Positive</t>
        </is>
      </c>
      <c r="F402" s="51" t="n">
        <v>22</v>
      </c>
      <c r="G402" s="51" t="n">
        <v>2024</v>
      </c>
      <c r="H402" s="52" t="inlineStr">
        <is>
          <t>https://reports.hrc.org/corporate-equality-index-2025</t>
        </is>
      </c>
      <c r="I402" s="52" t="inlineStr">
        <is>
          <t>HRC</t>
        </is>
      </c>
      <c r="J402" s="51" t="inlineStr">
        <is>
          <t>No</t>
        </is>
      </c>
      <c r="K402" s="52" t="inlineStr"/>
    </row>
    <row r="403" ht="23.25" customHeight="1" s="42">
      <c r="A403" s="52" t="inlineStr">
        <is>
          <t>Elevance Health</t>
        </is>
      </c>
      <c r="B403" s="52" t="inlineStr">
        <is>
          <t>n_dei_removal</t>
        </is>
      </c>
      <c r="C403" s="52" t="inlineStr">
        <is>
          <t>Revised/softened DEI strategy language in 2025 annual report (insurer retreat pattern)</t>
        </is>
      </c>
      <c r="D403" s="51" t="inlineStr">
        <is>
          <t>—</t>
        </is>
      </c>
      <c r="E403" s="51" t="inlineStr">
        <is>
          <t>Negative</t>
        </is>
      </c>
      <c r="F403" s="51" t="n">
        <v>-32</v>
      </c>
      <c r="G403" s="51" t="n">
        <v>2025</v>
      </c>
      <c r="H403" s="52" t="inlineStr">
        <is>
          <t>https://www.modernhealthcare.com/insurance/unitedhealth-cigna-humana-elevance-dei/</t>
        </is>
      </c>
      <c r="I403" s="52" t="inlineStr">
        <is>
          <t>News</t>
        </is>
      </c>
      <c r="J403" s="51" t="inlineStr">
        <is>
          <t>Yes</t>
        </is>
      </c>
      <c r="K403" s="52" t="inlineStr"/>
    </row>
    <row r="404" ht="23.25" customHeight="1" s="42">
      <c r="A404" s="52" t="inlineStr">
        <is>
          <t>Duke Energy</t>
        </is>
      </c>
      <c r="B404" s="52" t="inlineStr">
        <is>
          <t>p_generic_post</t>
        </is>
      </c>
      <c r="C404" s="52" t="inlineStr">
        <is>
          <t>Occasional Pride posts/local engagement</t>
        </is>
      </c>
      <c r="D404" s="51" t="inlineStr">
        <is>
          <t>Cosmetic</t>
        </is>
      </c>
      <c r="E404" s="51" t="inlineStr">
        <is>
          <t>Positive</t>
        </is>
      </c>
      <c r="F404" s="51" t="n">
        <v>2</v>
      </c>
      <c r="G404" s="51" t="n">
        <v>2024</v>
      </c>
      <c r="H404" s="52" t="inlineStr">
        <is>
          <t>https://web.archive.org/web/2024/https://www.duke-energy.com/our-company/diversity</t>
        </is>
      </c>
      <c r="I404" s="52" t="inlineStr">
        <is>
          <t>Archive</t>
        </is>
      </c>
      <c r="J404" s="51" t="inlineStr">
        <is>
          <t>No</t>
        </is>
      </c>
      <c r="K404" s="52" t="inlineStr"/>
    </row>
    <row r="405" ht="23.25" customHeight="1" s="42">
      <c r="A405" s="52" t="inlineStr">
        <is>
          <t>Dominion Energy</t>
        </is>
      </c>
      <c r="B405" s="52" t="inlineStr">
        <is>
          <t>p_parade_sponsor</t>
        </is>
      </c>
      <c r="C405" s="52" t="inlineStr">
        <is>
          <t>Virginia Pride event sponsorship (prior years)</t>
        </is>
      </c>
      <c r="D405" s="51" t="inlineStr">
        <is>
          <t>Civic</t>
        </is>
      </c>
      <c r="E405" s="51" t="inlineStr">
        <is>
          <t>Positive</t>
        </is>
      </c>
      <c r="F405" s="51" t="n">
        <v>12</v>
      </c>
      <c r="G405" s="51" t="n">
        <v>2023</v>
      </c>
      <c r="H405" s="52" t="inlineStr">
        <is>
          <t>https://web.archive.org/web/2023/https://vapride.org/sponsors/</t>
        </is>
      </c>
      <c r="I405" s="52" t="inlineStr">
        <is>
          <t>Archive</t>
        </is>
      </c>
      <c r="J405" s="51" t="inlineStr">
        <is>
          <t>No</t>
        </is>
      </c>
      <c r="K405" s="52" t="inlineStr"/>
    </row>
    <row r="406" ht="23.25" customHeight="1" s="42">
      <c r="A406" s="52" t="inlineStr">
        <is>
          <t>Wyndham Hotels &amp; Resorts</t>
        </is>
      </c>
      <c r="B406" s="52" t="inlineStr">
        <is>
          <t>p_generic_post</t>
        </is>
      </c>
      <c r="C406" s="52" t="inlineStr">
        <is>
          <t>Occasional Pride posts and LGBTQ+ travel content</t>
        </is>
      </c>
      <c r="D406" s="51" t="inlineStr">
        <is>
          <t>Cosmetic</t>
        </is>
      </c>
      <c r="E406" s="51" t="inlineStr">
        <is>
          <t>Positive</t>
        </is>
      </c>
      <c r="F406" s="51" t="n">
        <v>2</v>
      </c>
      <c r="G406" s="51" t="n">
        <v>2024</v>
      </c>
      <c r="H406" s="52" t="inlineStr">
        <is>
          <t>https://web.archive.org/web/2024/https://corporate.wyndhamhotels.com/corporate-responsibility/diversity-equity-inclusion/</t>
        </is>
      </c>
      <c r="I406" s="52" t="inlineStr">
        <is>
          <t>Archive</t>
        </is>
      </c>
      <c r="J406" s="51" t="inlineStr">
        <is>
          <t>No</t>
        </is>
      </c>
      <c r="K406" s="52" t="inlineStr"/>
    </row>
    <row r="407" ht="23.25" customHeight="1" s="42">
      <c r="A407" s="52" t="inlineStr">
        <is>
          <t>Hyatt Hotels</t>
        </is>
      </c>
      <c r="B407" s="52" t="inlineStr">
        <is>
          <t>p_generic_post</t>
        </is>
      </c>
      <c r="C407" s="52" t="inlineStr">
        <is>
          <t>Annual Pride posts and campaigns</t>
        </is>
      </c>
      <c r="D407" s="51" t="inlineStr">
        <is>
          <t>Cosmetic</t>
        </is>
      </c>
      <c r="E407" s="51" t="inlineStr">
        <is>
          <t>Positive</t>
        </is>
      </c>
      <c r="F407" s="51" t="n">
        <v>2</v>
      </c>
      <c r="G407" s="51" t="n">
        <v>2025</v>
      </c>
      <c r="H407" s="52" t="inlineStr">
        <is>
          <t>https://web.archive.org/web/2025/https://www.hyatt.com/</t>
        </is>
      </c>
      <c r="I407" s="52" t="inlineStr">
        <is>
          <t>Archive</t>
        </is>
      </c>
      <c r="J407" s="51" t="inlineStr">
        <is>
          <t>Yes</t>
        </is>
      </c>
      <c r="K407" s="52" t="inlineStr"/>
    </row>
    <row r="408" ht="23.25" customHeight="1" s="42">
      <c r="A408" s="52" t="inlineStr">
        <is>
          <t>Hyatt Hotels</t>
        </is>
      </c>
      <c r="B408" s="52" t="inlineStr">
        <is>
          <t>p_parade_sponsor</t>
        </is>
      </c>
      <c r="C408" s="52" t="inlineStr">
        <is>
          <t>WorldPride 2025 (Washington DC) supporter</t>
        </is>
      </c>
      <c r="D408" s="51" t="inlineStr">
        <is>
          <t>Civic</t>
        </is>
      </c>
      <c r="E408" s="51" t="inlineStr">
        <is>
          <t>Positive</t>
        </is>
      </c>
      <c r="F408" s="51" t="n">
        <v>12</v>
      </c>
      <c r="G408" s="51" t="n">
        <v>2025</v>
      </c>
      <c r="H408" s="52" t="inlineStr">
        <is>
          <t>https://www.hrdive.com/news/employer-pride-2025/751092/</t>
        </is>
      </c>
      <c r="I408" s="52" t="inlineStr">
        <is>
          <t>News</t>
        </is>
      </c>
      <c r="J408" s="51" t="inlineStr">
        <is>
          <t>Yes</t>
        </is>
      </c>
      <c r="K408" s="52" t="inlineStr"/>
    </row>
    <row r="409" ht="23.25" customHeight="1" s="42">
      <c r="A409" s="52" t="inlineStr">
        <is>
          <t>Hyatt Hotels</t>
        </is>
      </c>
      <c r="B409" s="52" t="inlineStr">
        <is>
          <t>p_erg_support</t>
        </is>
      </c>
      <c r="C409" s="52" t="inlineStr">
        <is>
          <t>Funded LGBTQ+ employee resource group (HyPride)</t>
        </is>
      </c>
      <c r="D409" s="51" t="inlineStr">
        <is>
          <t>Civic</t>
        </is>
      </c>
      <c r="E409" s="51" t="inlineStr">
        <is>
          <t>Positive</t>
        </is>
      </c>
      <c r="F409" s="51" t="n">
        <v>15</v>
      </c>
      <c r="G409" s="51" t="n">
        <v>2024</v>
      </c>
      <c r="H409" s="52" t="inlineStr">
        <is>
          <t>https://web.archive.org/web/2024/https://about.hyatt.com/en/hyattdei.html</t>
        </is>
      </c>
      <c r="I409" s="52" t="inlineStr">
        <is>
          <t>Archive</t>
        </is>
      </c>
      <c r="J409" s="51" t="inlineStr">
        <is>
          <t>No</t>
        </is>
      </c>
      <c r="K409" s="52" t="inlineStr"/>
    </row>
    <row r="410" ht="23.25" customHeight="1" s="42">
      <c r="A410" s="52" t="inlineStr">
        <is>
          <t>Southwest Airlines</t>
        </is>
      </c>
      <c r="B410" s="52" t="inlineStr">
        <is>
          <t>p_generic_post</t>
        </is>
      </c>
      <c r="C410" s="52" t="inlineStr">
        <is>
          <t>Pride posts and engagement</t>
        </is>
      </c>
      <c r="D410" s="51" t="inlineStr">
        <is>
          <t>Cosmetic</t>
        </is>
      </c>
      <c r="E410" s="51" t="inlineStr">
        <is>
          <t>Positive</t>
        </is>
      </c>
      <c r="F410" s="51" t="n">
        <v>2</v>
      </c>
      <c r="G410" s="51" t="n">
        <v>2024</v>
      </c>
      <c r="H410" s="52" t="inlineStr">
        <is>
          <t>https://web.archive.org/web/2024/https://careers.southwestair.com/diversity-equity-inclusion</t>
        </is>
      </c>
      <c r="I410" s="52" t="inlineStr">
        <is>
          <t>Archive</t>
        </is>
      </c>
      <c r="J410" s="51" t="inlineStr">
        <is>
          <t>No</t>
        </is>
      </c>
      <c r="K410" s="52" t="inlineStr"/>
    </row>
    <row r="411" ht="23.25" customHeight="1" s="42">
      <c r="A411" s="52" t="inlineStr">
        <is>
          <t>Southwest Airlines</t>
        </is>
      </c>
      <c r="B411" s="52" t="inlineStr">
        <is>
          <t>p_erg_support</t>
        </is>
      </c>
      <c r="C411" s="52" t="inlineStr">
        <is>
          <t>Funded LGBTQ+ employee resource group</t>
        </is>
      </c>
      <c r="D411" s="51" t="inlineStr">
        <is>
          <t>Civic</t>
        </is>
      </c>
      <c r="E411" s="51" t="inlineStr">
        <is>
          <t>Positive</t>
        </is>
      </c>
      <c r="F411" s="51" t="n">
        <v>15</v>
      </c>
      <c r="G411" s="51" t="n">
        <v>2024</v>
      </c>
      <c r="H411" s="52" t="inlineStr">
        <is>
          <t>https://web.archive.org/web/2024/https://careers.southwestair.com/diversity-equity-inclusion</t>
        </is>
      </c>
      <c r="I411" s="52" t="inlineStr">
        <is>
          <t>Archive</t>
        </is>
      </c>
      <c r="J411" s="51" t="inlineStr">
        <is>
          <t>No</t>
        </is>
      </c>
      <c r="K411" s="52" t="inlineStr"/>
    </row>
    <row r="412" ht="23.25" customHeight="1" s="42">
      <c r="A412" s="52" t="inlineStr">
        <is>
          <t>JetBlue Airways</t>
        </is>
      </c>
      <c r="B412" s="52" t="inlineStr">
        <is>
          <t>p_generic_post</t>
        </is>
      </c>
      <c r="C412" s="52" t="inlineStr">
        <is>
          <t>Annual Pride posts and campaigns</t>
        </is>
      </c>
      <c r="D412" s="51" t="inlineStr">
        <is>
          <t>Cosmetic</t>
        </is>
      </c>
      <c r="E412" s="51" t="inlineStr">
        <is>
          <t>Positive</t>
        </is>
      </c>
      <c r="F412" s="51" t="n">
        <v>2</v>
      </c>
      <c r="G412" s="51" t="n">
        <v>2024</v>
      </c>
      <c r="H412" s="52" t="inlineStr">
        <is>
          <t>https://web.archive.org/web/2024/https://www.jetblue.com/our-company/diversity-equity-inclusion</t>
        </is>
      </c>
      <c r="I412" s="52" t="inlineStr">
        <is>
          <t>Archive</t>
        </is>
      </c>
      <c r="J412" s="51" t="inlineStr">
        <is>
          <t>No</t>
        </is>
      </c>
      <c r="K412" s="52" t="inlineStr"/>
    </row>
    <row r="413" ht="23.25" customHeight="1" s="42">
      <c r="A413" s="52" t="inlineStr">
        <is>
          <t>JetBlue Airways</t>
        </is>
      </c>
      <c r="B413" s="52" t="inlineStr">
        <is>
          <t>p_parade_sponsor</t>
        </is>
      </c>
      <c r="C413" s="52" t="inlineStr">
        <is>
          <t>NYC Pride sponsorship/participation history with Pride activations</t>
        </is>
      </c>
      <c r="D413" s="51" t="inlineStr">
        <is>
          <t>Civic</t>
        </is>
      </c>
      <c r="E413" s="51" t="inlineStr">
        <is>
          <t>Positive</t>
        </is>
      </c>
      <c r="F413" s="51" t="n">
        <v>12</v>
      </c>
      <c r="G413" s="51" t="n">
        <v>2024</v>
      </c>
      <c r="H413" s="52" t="inlineStr">
        <is>
          <t>https://web.archive.org/web/2024/https://www.jetblue.com/our-company/diversity-equity-inclusion</t>
        </is>
      </c>
      <c r="I413" s="52" t="inlineStr">
        <is>
          <t>Archive</t>
        </is>
      </c>
      <c r="J413" s="51" t="inlineStr">
        <is>
          <t>No</t>
        </is>
      </c>
      <c r="K413" s="52" t="inlineStr"/>
    </row>
    <row r="414" ht="23.25" customHeight="1" s="42">
      <c r="A414" s="52" t="inlineStr">
        <is>
          <t>JetBlue Airways</t>
        </is>
      </c>
      <c r="B414" s="52" t="inlineStr">
        <is>
          <t>p_erg_support</t>
        </is>
      </c>
      <c r="C414" s="52" t="inlineStr">
        <is>
          <t>Funded JetPride crewmember resource group</t>
        </is>
      </c>
      <c r="D414" s="51" t="inlineStr">
        <is>
          <t>Civic</t>
        </is>
      </c>
      <c r="E414" s="51" t="inlineStr">
        <is>
          <t>Positive</t>
        </is>
      </c>
      <c r="F414" s="51" t="n">
        <v>15</v>
      </c>
      <c r="G414" s="51" t="n">
        <v>2024</v>
      </c>
      <c r="H414" s="52" t="inlineStr">
        <is>
          <t>https://web.archive.org/web/2024/https://www.jetblue.com/our-company/diversity-equity-inclusion</t>
        </is>
      </c>
      <c r="I414" s="52" t="inlineStr">
        <is>
          <t>Archive</t>
        </is>
      </c>
      <c r="J414" s="51" t="inlineStr">
        <is>
          <t>No</t>
        </is>
      </c>
      <c r="K414" s="52" t="inlineStr"/>
    </row>
    <row r="415" ht="23.25" customHeight="1" s="42">
      <c r="A415" s="52" t="inlineStr">
        <is>
          <t>Royal Caribbean Group</t>
        </is>
      </c>
      <c r="B415" s="52" t="inlineStr">
        <is>
          <t>p_generic_post</t>
        </is>
      </c>
      <c r="C415" s="52" t="inlineStr">
        <is>
          <t>Pride posts and onboard Pride events marketing</t>
        </is>
      </c>
      <c r="D415" s="51" t="inlineStr">
        <is>
          <t>Cosmetic</t>
        </is>
      </c>
      <c r="E415" s="51" t="inlineStr">
        <is>
          <t>Positive</t>
        </is>
      </c>
      <c r="F415" s="51" t="n">
        <v>2</v>
      </c>
      <c r="G415" s="51" t="n">
        <v>2024</v>
      </c>
      <c r="H415" s="52" t="inlineStr">
        <is>
          <t>https://web.archive.org/web/2024/https://www.royalcaribbean.com/</t>
        </is>
      </c>
      <c r="I415" s="52" t="inlineStr">
        <is>
          <t>Archive</t>
        </is>
      </c>
      <c r="J415" s="51" t="inlineStr">
        <is>
          <t>No</t>
        </is>
      </c>
      <c r="K415" s="52" t="inlineStr"/>
    </row>
    <row r="416" ht="23.25" customHeight="1" s="42">
      <c r="A416" s="52" t="inlineStr">
        <is>
          <t>Carnival Corporation</t>
        </is>
      </c>
      <c r="B416" s="52" t="inlineStr">
        <is>
          <t>p_generic_post</t>
        </is>
      </c>
      <c r="C416" s="52" t="inlineStr">
        <is>
          <t>Pride posts and onboard Pride events marketing</t>
        </is>
      </c>
      <c r="D416" s="51" t="inlineStr">
        <is>
          <t>Cosmetic</t>
        </is>
      </c>
      <c r="E416" s="51" t="inlineStr">
        <is>
          <t>Positive</t>
        </is>
      </c>
      <c r="F416" s="51" t="n">
        <v>2</v>
      </c>
      <c r="G416" s="51" t="n">
        <v>2024</v>
      </c>
      <c r="H416" s="52" t="inlineStr">
        <is>
          <t>https://web.archive.org/web/2024/https://www.carnivalcorp.com/</t>
        </is>
      </c>
      <c r="I416" s="52" t="inlineStr">
        <is>
          <t>Archive</t>
        </is>
      </c>
      <c r="J416" s="51" t="inlineStr">
        <is>
          <t>No</t>
        </is>
      </c>
      <c r="K416" s="52" t="inlineStr"/>
    </row>
    <row r="417" ht="23.25" customHeight="1" s="42">
      <c r="A417" s="52" t="inlineStr">
        <is>
          <t>Kimberly-Clark</t>
        </is>
      </c>
      <c r="B417" s="52" t="inlineStr">
        <is>
          <t>p_generic_post</t>
        </is>
      </c>
      <c r="C417" s="52" t="inlineStr">
        <is>
          <t>Pride posts and engagement</t>
        </is>
      </c>
      <c r="D417" s="51" t="inlineStr">
        <is>
          <t>Cosmetic</t>
        </is>
      </c>
      <c r="E417" s="51" t="inlineStr">
        <is>
          <t>Positive</t>
        </is>
      </c>
      <c r="F417" s="51" t="n">
        <v>2</v>
      </c>
      <c r="G417" s="51" t="n">
        <v>2024</v>
      </c>
      <c r="H417" s="52" t="inlineStr">
        <is>
          <t>https://web.archive.org/web/2024/https://www.kimberly-clark.com/en-us/company/diversity-and-inclusion</t>
        </is>
      </c>
      <c r="I417" s="52" t="inlineStr">
        <is>
          <t>Archive</t>
        </is>
      </c>
      <c r="J417" s="51" t="inlineStr">
        <is>
          <t>No</t>
        </is>
      </c>
      <c r="K417" s="52" t="inlineStr"/>
    </row>
    <row r="418" ht="23.25" customHeight="1" s="42">
      <c r="A418" s="52" t="inlineStr">
        <is>
          <t>Kimberly-Clark</t>
        </is>
      </c>
      <c r="B418" s="52" t="inlineStr">
        <is>
          <t>p_benefits</t>
        </is>
      </c>
      <c r="C418" s="52" t="inlineStr">
        <is>
          <t>Inclusive partner and gender-affirming benefits (CEI-verified)</t>
        </is>
      </c>
      <c r="D418" s="51" t="inlineStr">
        <is>
          <t>Structural</t>
        </is>
      </c>
      <c r="E418" s="51" t="inlineStr">
        <is>
          <t>Positive</t>
        </is>
      </c>
      <c r="F418" s="51" t="n">
        <v>22</v>
      </c>
      <c r="G418" s="51" t="n">
        <v>2024</v>
      </c>
      <c r="H418" s="52" t="inlineStr">
        <is>
          <t>https://reports.hrc.org/corporate-equality-index-2025</t>
        </is>
      </c>
      <c r="I418" s="52" t="inlineStr">
        <is>
          <t>HRC</t>
        </is>
      </c>
      <c r="J418" s="51" t="inlineStr">
        <is>
          <t>No</t>
        </is>
      </c>
      <c r="K418" s="52" t="inlineStr"/>
    </row>
    <row r="419" ht="23.25" customHeight="1" s="42">
      <c r="A419" s="52" t="inlineStr">
        <is>
          <t>Estée Lauder</t>
        </is>
      </c>
      <c r="B419" s="52" t="inlineStr">
        <is>
          <t>p_logo_rainbow</t>
        </is>
      </c>
      <c r="C419" s="52" t="inlineStr">
        <is>
          <t>Pride campaigns across brands (MAC, Too Faced, etc.)</t>
        </is>
      </c>
      <c r="D419" s="51" t="inlineStr">
        <is>
          <t>Cosmetic</t>
        </is>
      </c>
      <c r="E419" s="51" t="inlineStr">
        <is>
          <t>Positive</t>
        </is>
      </c>
      <c r="F419" s="51" t="n">
        <v>3</v>
      </c>
      <c r="G419" s="51" t="n">
        <v>2024</v>
      </c>
      <c r="H419" s="52" t="inlineStr">
        <is>
          <t>https://web.archive.org/web/2024/https://www.maccosmetics.com/viva-glam</t>
        </is>
      </c>
      <c r="I419" s="52" t="inlineStr">
        <is>
          <t>Archive</t>
        </is>
      </c>
      <c r="J419" s="51" t="inlineStr">
        <is>
          <t>No</t>
        </is>
      </c>
      <c r="K419" s="52" t="inlineStr"/>
    </row>
    <row r="420" ht="23.25" customHeight="1" s="42">
      <c r="A420" s="52" t="inlineStr">
        <is>
          <t>Estée Lauder</t>
        </is>
      </c>
      <c r="B420" s="52" t="inlineStr">
        <is>
          <t>p_merch_proceeds</t>
        </is>
      </c>
      <c r="C420" s="52" t="inlineStr">
        <is>
          <t>MAC VIVA GLAM: 100% of selling price donated to HIV/AIDS and LGBTQ+ causes since 1994 ($500M+ raised)</t>
        </is>
      </c>
      <c r="D420" s="51" t="inlineStr">
        <is>
          <t>Commercial</t>
        </is>
      </c>
      <c r="E420" s="51" t="inlineStr">
        <is>
          <t>Positive</t>
        </is>
      </c>
      <c r="F420" s="51" t="n">
        <v>10</v>
      </c>
      <c r="G420" s="51" t="n">
        <v>2024</v>
      </c>
      <c r="H420" s="52" t="inlineStr">
        <is>
          <t>https://www.maccosmetics.com/viva-glam</t>
        </is>
      </c>
      <c r="I420" s="52" t="inlineStr">
        <is>
          <t>Company</t>
        </is>
      </c>
      <c r="J420" s="51" t="inlineStr">
        <is>
          <t>No</t>
        </is>
      </c>
      <c r="K420" s="52" t="inlineStr"/>
    </row>
    <row r="421" ht="23.25" customHeight="1" s="42">
      <c r="A421" s="52" t="inlineStr">
        <is>
          <t>Estée Lauder</t>
        </is>
      </c>
      <c r="B421" s="52" t="inlineStr">
        <is>
          <t>p_recurring</t>
        </is>
      </c>
      <c r="C421" s="52" t="inlineStr">
        <is>
          <t>MAC VIVA GLAM Fund — continuous 30+ year giving program with annual LGBTQ+/HIV grantmaking</t>
        </is>
      </c>
      <c r="D421" s="51" t="inlineStr">
        <is>
          <t>Financial</t>
        </is>
      </c>
      <c r="E421" s="51" t="inlineStr">
        <is>
          <t>Positive</t>
        </is>
      </c>
      <c r="F421" s="51" t="n">
        <v>25</v>
      </c>
      <c r="G421" s="51" t="n">
        <v>2024</v>
      </c>
      <c r="H421" s="52" t="inlineStr">
        <is>
          <t>https://www.maccosmetics.com/viva-glam</t>
        </is>
      </c>
      <c r="I421" s="52" t="inlineStr">
        <is>
          <t>Company</t>
        </is>
      </c>
      <c r="J421" s="51" t="inlineStr">
        <is>
          <t>No</t>
        </is>
      </c>
      <c r="K421" s="52" t="inlineStr"/>
    </row>
    <row r="422" ht="23.25" customHeight="1" s="42">
      <c r="A422" s="52" t="inlineStr">
        <is>
          <t>Estée Lauder</t>
        </is>
      </c>
      <c r="B422" s="52" t="inlineStr">
        <is>
          <t>p_consistent_history</t>
        </is>
      </c>
      <c r="C422" s="52" t="inlineStr">
        <is>
          <t>30+ years of uninterrupted community investment with queer and drag icons as campaign faces since RuPaul (1994)</t>
        </is>
      </c>
      <c r="D422" s="51" t="inlineStr">
        <is>
          <t>Structural</t>
        </is>
      </c>
      <c r="E422" s="51" t="inlineStr">
        <is>
          <t>Positive</t>
        </is>
      </c>
      <c r="F422" s="51" t="n">
        <v>28</v>
      </c>
      <c r="G422" s="51" t="n">
        <v>2024</v>
      </c>
      <c r="H422" s="52" t="inlineStr">
        <is>
          <t>https://en.wikipedia.org/wiki/Viva_Glam</t>
        </is>
      </c>
      <c r="I422" s="52" t="inlineStr">
        <is>
          <t>News</t>
        </is>
      </c>
      <c r="J422" s="51" t="inlineStr">
        <is>
          <t>No</t>
        </is>
      </c>
      <c r="K422" s="52" t="inlineStr"/>
    </row>
    <row r="423" ht="23.25" customHeight="1" s="42">
      <c r="A423" s="52" t="inlineStr">
        <is>
          <t>Clorox</t>
        </is>
      </c>
      <c r="B423" s="52" t="inlineStr">
        <is>
          <t>p_generic_post</t>
        </is>
      </c>
      <c r="C423" s="52" t="inlineStr">
        <is>
          <t>Pride posts and engagement</t>
        </is>
      </c>
      <c r="D423" s="51" t="inlineStr">
        <is>
          <t>Cosmetic</t>
        </is>
      </c>
      <c r="E423" s="51" t="inlineStr">
        <is>
          <t>Positive</t>
        </is>
      </c>
      <c r="F423" s="51" t="n">
        <v>2</v>
      </c>
      <c r="G423" s="51" t="n">
        <v>2024</v>
      </c>
      <c r="H423" s="52" t="inlineStr">
        <is>
          <t>https://web.archive.org/web/2024/https://www.thecloroxcompany.com/who-we-are/inclusion-diversity/</t>
        </is>
      </c>
      <c r="I423" s="52" t="inlineStr">
        <is>
          <t>Archive</t>
        </is>
      </c>
      <c r="J423" s="51" t="inlineStr">
        <is>
          <t>No</t>
        </is>
      </c>
      <c r="K423" s="52" t="inlineStr"/>
    </row>
    <row r="424" ht="23.25" customHeight="1" s="42">
      <c r="A424" s="52" t="inlineStr">
        <is>
          <t>Clorox</t>
        </is>
      </c>
      <c r="B424" s="52" t="inlineStr">
        <is>
          <t>p_benefits</t>
        </is>
      </c>
      <c r="C424" s="52" t="inlineStr">
        <is>
          <t>Inclusive partner and gender-affirming benefits (CEI-verified)</t>
        </is>
      </c>
      <c r="D424" s="51" t="inlineStr">
        <is>
          <t>Structural</t>
        </is>
      </c>
      <c r="E424" s="51" t="inlineStr">
        <is>
          <t>Positive</t>
        </is>
      </c>
      <c r="F424" s="51" t="n">
        <v>22</v>
      </c>
      <c r="G424" s="51" t="n">
        <v>2024</v>
      </c>
      <c r="H424" s="52" t="inlineStr">
        <is>
          <t>https://reports.hrc.org/corporate-equality-index-2025</t>
        </is>
      </c>
      <c r="I424" s="52" t="inlineStr">
        <is>
          <t>HRC</t>
        </is>
      </c>
      <c r="J424" s="51" t="inlineStr">
        <is>
          <t>No</t>
        </is>
      </c>
      <c r="K424" s="52" t="inlineStr"/>
    </row>
    <row r="425" ht="23.25" customHeight="1" s="42">
      <c r="A425" s="52" t="inlineStr">
        <is>
          <t>Northrop Grumman</t>
        </is>
      </c>
      <c r="B425" s="52" t="inlineStr">
        <is>
          <t>p_generic_post</t>
        </is>
      </c>
      <c r="C425" s="52" t="inlineStr">
        <is>
          <t>Pride posts and engagement (through 2024)</t>
        </is>
      </c>
      <c r="D425" s="51" t="inlineStr">
        <is>
          <t>Cosmetic</t>
        </is>
      </c>
      <c r="E425" s="51" t="inlineStr">
        <is>
          <t>Positive</t>
        </is>
      </c>
      <c r="F425" s="51" t="n">
        <v>2</v>
      </c>
      <c r="G425" s="51" t="n">
        <v>2024</v>
      </c>
      <c r="H425" s="52" t="inlineStr">
        <is>
          <t>https://web.archive.org/web/2024/https://www.northropgrumman.com/who-we-are/diversity-equity-and-inclusion</t>
        </is>
      </c>
      <c r="I425" s="52" t="inlineStr">
        <is>
          <t>Archive</t>
        </is>
      </c>
      <c r="J425" s="51" t="inlineStr">
        <is>
          <t>No</t>
        </is>
      </c>
      <c r="K425" s="52" t="inlineStr"/>
    </row>
    <row r="426" ht="23.25" customHeight="1" s="42">
      <c r="A426" s="52" t="inlineStr">
        <is>
          <t>Northrop Grumman</t>
        </is>
      </c>
      <c r="B426" s="52" t="inlineStr">
        <is>
          <t>p_erg_support</t>
        </is>
      </c>
      <c r="C426" s="52" t="inlineStr">
        <is>
          <t>Funded LGBTQ+ employee resource group</t>
        </is>
      </c>
      <c r="D426" s="51" t="inlineStr">
        <is>
          <t>Civic</t>
        </is>
      </c>
      <c r="E426" s="51" t="inlineStr">
        <is>
          <t>Positive</t>
        </is>
      </c>
      <c r="F426" s="51" t="n">
        <v>15</v>
      </c>
      <c r="G426" s="51" t="n">
        <v>2024</v>
      </c>
      <c r="H426" s="52" t="inlineStr">
        <is>
          <t>https://web.archive.org/web/2024/https://www.northropgrumman.com/who-we-are/diversity-equity-and-inclusion</t>
        </is>
      </c>
      <c r="I426" s="52" t="inlineStr">
        <is>
          <t>Archive</t>
        </is>
      </c>
      <c r="J426" s="51" t="inlineStr">
        <is>
          <t>No</t>
        </is>
      </c>
      <c r="K426" s="52" t="inlineStr"/>
    </row>
    <row r="427" ht="23.25" customHeight="1" s="42">
      <c r="A427" s="52" t="inlineStr">
        <is>
          <t>Northrop Grumman</t>
        </is>
      </c>
      <c r="B427" s="52" t="inlineStr">
        <is>
          <t>n_dei_removal</t>
        </is>
      </c>
      <c r="C427" s="52" t="inlineStr">
        <is>
          <t>Removed DEI webpages (dead links) in early-2025 defense-sector scrub</t>
        </is>
      </c>
      <c r="D427" s="51" t="inlineStr">
        <is>
          <t>—</t>
        </is>
      </c>
      <c r="E427" s="51" t="inlineStr">
        <is>
          <t>Negative</t>
        </is>
      </c>
      <c r="F427" s="51" t="n">
        <v>-32</v>
      </c>
      <c r="G427" s="51" t="n">
        <v>2025</v>
      </c>
      <c r="H427" s="52" t="inlineStr">
        <is>
          <t>https://breakingdefense.com/2025/02/dei-doa-how-the-defense-industry-is-racing-to-bury-its-diversity-efforts/</t>
        </is>
      </c>
      <c r="I427" s="52" t="inlineStr">
        <is>
          <t>News</t>
        </is>
      </c>
      <c r="J427" s="51" t="inlineStr">
        <is>
          <t>Yes</t>
        </is>
      </c>
      <c r="K427" s="52" t="inlineStr">
        <is>
          <t>Archived before-state: https://web.archive.org/web/2024/https://www.northropgrumman.com/who-we-are/diversity-equity-and-inclusion</t>
        </is>
      </c>
    </row>
    <row r="428" ht="23.25" customHeight="1" s="42">
      <c r="A428" s="52" t="inlineStr">
        <is>
          <t>General Dynamics</t>
        </is>
      </c>
      <c r="B428" s="52" t="inlineStr">
        <is>
          <t>p_generic_post</t>
        </is>
      </c>
      <c r="C428" s="52" t="inlineStr">
        <is>
          <t>Pride posts and engagement (through 2024)</t>
        </is>
      </c>
      <c r="D428" s="51" t="inlineStr">
        <is>
          <t>Cosmetic</t>
        </is>
      </c>
      <c r="E428" s="51" t="inlineStr">
        <is>
          <t>Positive</t>
        </is>
      </c>
      <c r="F428" s="51" t="n">
        <v>2</v>
      </c>
      <c r="G428" s="51" t="n">
        <v>2024</v>
      </c>
      <c r="H428" s="52" t="inlineStr">
        <is>
          <t>https://web.archive.org/web/2024/https://www.gd.com/</t>
        </is>
      </c>
      <c r="I428" s="52" t="inlineStr">
        <is>
          <t>Archive</t>
        </is>
      </c>
      <c r="J428" s="51" t="inlineStr">
        <is>
          <t>No</t>
        </is>
      </c>
      <c r="K428" s="52" t="inlineStr"/>
    </row>
    <row r="429" ht="23.25" customHeight="1" s="42">
      <c r="A429" s="52" t="inlineStr">
        <is>
          <t>General Dynamics</t>
        </is>
      </c>
      <c r="B429" s="52" t="inlineStr">
        <is>
          <t>p_erg_support</t>
        </is>
      </c>
      <c r="C429" s="52" t="inlineStr">
        <is>
          <t>Funded LGBTQ+ employee resource group</t>
        </is>
      </c>
      <c r="D429" s="51" t="inlineStr">
        <is>
          <t>Civic</t>
        </is>
      </c>
      <c r="E429" s="51" t="inlineStr">
        <is>
          <t>Positive</t>
        </is>
      </c>
      <c r="F429" s="51" t="n">
        <v>15</v>
      </c>
      <c r="G429" s="51" t="n">
        <v>2024</v>
      </c>
      <c r="H429" s="52" t="inlineStr">
        <is>
          <t>https://web.archive.org/web/2024/https://www.gd.com/careers/culture</t>
        </is>
      </c>
      <c r="I429" s="52" t="inlineStr">
        <is>
          <t>Archive</t>
        </is>
      </c>
      <c r="J429" s="51" t="inlineStr">
        <is>
          <t>No</t>
        </is>
      </c>
      <c r="K429" s="52" t="inlineStr"/>
    </row>
    <row r="430" ht="23.25" customHeight="1" s="42">
      <c r="A430" s="52" t="inlineStr">
        <is>
          <t>General Dynamics</t>
        </is>
      </c>
      <c r="B430" s="52" t="inlineStr">
        <is>
          <t>n_dei_removal</t>
        </is>
      </c>
      <c r="C430" s="52" t="inlineStr">
        <is>
          <t>Removed DEI webpages (dead links) in early-2025 defense-sector scrub</t>
        </is>
      </c>
      <c r="D430" s="51" t="inlineStr">
        <is>
          <t>—</t>
        </is>
      </c>
      <c r="E430" s="51" t="inlineStr">
        <is>
          <t>Negative</t>
        </is>
      </c>
      <c r="F430" s="51" t="n">
        <v>-32</v>
      </c>
      <c r="G430" s="51" t="n">
        <v>2025</v>
      </c>
      <c r="H430" s="52" t="inlineStr">
        <is>
          <t>https://breakingdefense.com/2025/02/dei-doa-how-the-defense-industry-is-racing-to-bury-its-diversity-efforts/</t>
        </is>
      </c>
      <c r="I430" s="52" t="inlineStr">
        <is>
          <t>News</t>
        </is>
      </c>
      <c r="J430" s="51" t="inlineStr">
        <is>
          <t>Yes</t>
        </is>
      </c>
      <c r="K430" s="52" t="inlineStr"/>
    </row>
    <row r="431" ht="23.25" customHeight="1" s="42">
      <c r="A431" s="52" t="inlineStr">
        <is>
          <t>L3Harris Technologies</t>
        </is>
      </c>
      <c r="B431" s="52" t="inlineStr">
        <is>
          <t>p_generic_post</t>
        </is>
      </c>
      <c r="C431" s="52" t="inlineStr">
        <is>
          <t>Pride posts and engagement (through 2024)</t>
        </is>
      </c>
      <c r="D431" s="51" t="inlineStr">
        <is>
          <t>Cosmetic</t>
        </is>
      </c>
      <c r="E431" s="51" t="inlineStr">
        <is>
          <t>Positive</t>
        </is>
      </c>
      <c r="F431" s="51" t="n">
        <v>2</v>
      </c>
      <c r="G431" s="51" t="n">
        <v>2024</v>
      </c>
      <c r="H431" s="52" t="inlineStr">
        <is>
          <t>https://web.archive.org/web/2024/https://www.l3harris.com/</t>
        </is>
      </c>
      <c r="I431" s="52" t="inlineStr">
        <is>
          <t>Archive</t>
        </is>
      </c>
      <c r="J431" s="51" t="inlineStr">
        <is>
          <t>No</t>
        </is>
      </c>
      <c r="K431" s="52" t="inlineStr"/>
    </row>
    <row r="432" ht="23.25" customHeight="1" s="42">
      <c r="A432" s="52" t="inlineStr">
        <is>
          <t>L3Harris Technologies</t>
        </is>
      </c>
      <c r="B432" s="52" t="inlineStr">
        <is>
          <t>p_erg_support</t>
        </is>
      </c>
      <c r="C432" s="52" t="inlineStr">
        <is>
          <t>Funded LGBTQ+ employee resource group</t>
        </is>
      </c>
      <c r="D432" s="51" t="inlineStr">
        <is>
          <t>Civic</t>
        </is>
      </c>
      <c r="E432" s="51" t="inlineStr">
        <is>
          <t>Positive</t>
        </is>
      </c>
      <c r="F432" s="51" t="n">
        <v>15</v>
      </c>
      <c r="G432" s="51" t="n">
        <v>2024</v>
      </c>
      <c r="H432" s="52" t="inlineStr">
        <is>
          <t>https://web.archive.org/web/2024/https://careers.l3harris.com/diversity-equity-inclusion</t>
        </is>
      </c>
      <c r="I432" s="52" t="inlineStr">
        <is>
          <t>Archive</t>
        </is>
      </c>
      <c r="J432" s="51" t="inlineStr">
        <is>
          <t>No</t>
        </is>
      </c>
      <c r="K432" s="52" t="inlineStr"/>
    </row>
    <row r="433" ht="23.25" customHeight="1" s="42">
      <c r="A433" s="52" t="inlineStr">
        <is>
          <t>L3Harris Technologies</t>
        </is>
      </c>
      <c r="B433" s="52" t="inlineStr">
        <is>
          <t>n_dei_removal</t>
        </is>
      </c>
      <c r="C433" s="52" t="inlineStr">
        <is>
          <t>Removed DEI webpages (dead links) in early-2025 defense-sector scrub</t>
        </is>
      </c>
      <c r="D433" s="51" t="inlineStr">
        <is>
          <t>—</t>
        </is>
      </c>
      <c r="E433" s="51" t="inlineStr">
        <is>
          <t>Negative</t>
        </is>
      </c>
      <c r="F433" s="51" t="n">
        <v>-32</v>
      </c>
      <c r="G433" s="51" t="n">
        <v>2025</v>
      </c>
      <c r="H433" s="52" t="inlineStr">
        <is>
          <t>https://breakingdefense.com/2025/02/dei-doa-how-the-defense-industry-is-racing-to-bury-its-diversity-efforts/</t>
        </is>
      </c>
      <c r="I433" s="52" t="inlineStr">
        <is>
          <t>News</t>
        </is>
      </c>
      <c r="J433" s="51" t="inlineStr">
        <is>
          <t>Yes</t>
        </is>
      </c>
      <c r="K433" s="52" t="inlineStr"/>
    </row>
    <row r="434" ht="23.25" customHeight="1" s="42">
      <c r="A434" s="52" t="inlineStr">
        <is>
          <t>3M</t>
        </is>
      </c>
      <c r="B434" s="52" t="inlineStr">
        <is>
          <t>p_generic_post</t>
        </is>
      </c>
      <c r="C434" s="52" t="inlineStr">
        <is>
          <t>Pride posts and Twin Cities engagement (prior years)</t>
        </is>
      </c>
      <c r="D434" s="51" t="inlineStr">
        <is>
          <t>Cosmetic</t>
        </is>
      </c>
      <c r="E434" s="51" t="inlineStr">
        <is>
          <t>Positive</t>
        </is>
      </c>
      <c r="F434" s="51" t="n">
        <v>2</v>
      </c>
      <c r="G434" s="51" t="n">
        <v>2024</v>
      </c>
      <c r="H434" s="52" t="inlineStr">
        <is>
          <t>https://web.archive.org/web/2024/https://www.3m.com/3M/en_US/careers-us/working-at-3m/diversity-and-inclusion/</t>
        </is>
      </c>
      <c r="I434" s="52" t="inlineStr">
        <is>
          <t>Archive</t>
        </is>
      </c>
      <c r="J434" s="51" t="inlineStr">
        <is>
          <t>No</t>
        </is>
      </c>
      <c r="K434" s="52" t="inlineStr"/>
    </row>
    <row r="435" ht="23.25" customHeight="1" s="42">
      <c r="A435" s="52" t="inlineStr">
        <is>
          <t>3M</t>
        </is>
      </c>
      <c r="B435" s="52" t="inlineStr">
        <is>
          <t>p_erg_support</t>
        </is>
      </c>
      <c r="C435" s="52" t="inlineStr">
        <is>
          <t>Funded 3M Pride employee resource group</t>
        </is>
      </c>
      <c r="D435" s="51" t="inlineStr">
        <is>
          <t>Civic</t>
        </is>
      </c>
      <c r="E435" s="51" t="inlineStr">
        <is>
          <t>Positive</t>
        </is>
      </c>
      <c r="F435" s="51" t="n">
        <v>15</v>
      </c>
      <c r="G435" s="51" t="n">
        <v>2024</v>
      </c>
      <c r="H435" s="52" t="inlineStr">
        <is>
          <t>https://web.archive.org/web/2024/https://www.3m.com/3M/en_US/careers-us/working-at-3m/diversity-and-inclusion/</t>
        </is>
      </c>
      <c r="I435" s="52" t="inlineStr">
        <is>
          <t>Archive</t>
        </is>
      </c>
      <c r="J435" s="51" t="inlineStr">
        <is>
          <t>No</t>
        </is>
      </c>
      <c r="K435" s="52" t="inlineStr"/>
    </row>
    <row r="436" ht="23.25" customHeight="1" s="42">
      <c r="A436" s="52" t="inlineStr">
        <is>
          <t>3M</t>
        </is>
      </c>
      <c r="B436" s="52" t="inlineStr">
        <is>
          <t>n_dei_removal</t>
        </is>
      </c>
      <c r="C436" s="52" t="inlineStr">
        <is>
          <t>Retired diversity representation goals; softened DEI language in 2025 materials</t>
        </is>
      </c>
      <c r="D436" s="51" t="inlineStr">
        <is>
          <t>—</t>
        </is>
      </c>
      <c r="E436" s="51" t="inlineStr">
        <is>
          <t>Negative</t>
        </is>
      </c>
      <c r="F436" s="51" t="n">
        <v>-32</v>
      </c>
      <c r="G436" s="51" t="n">
        <v>2025</v>
      </c>
      <c r="H436" s="52" t="inlineStr">
        <is>
          <t>https://blog.ongig.com/diversity-and-inclusion/dei-rollbacks/</t>
        </is>
      </c>
      <c r="I436" s="52" t="inlineStr">
        <is>
          <t>News</t>
        </is>
      </c>
      <c r="J436" s="51" t="inlineStr">
        <is>
          <t>Yes</t>
        </is>
      </c>
      <c r="K436" s="52" t="inlineStr"/>
    </row>
    <row r="437" ht="23.25" customHeight="1" s="42">
      <c r="A437" s="52" t="inlineStr">
        <is>
          <t>Honeywell</t>
        </is>
      </c>
      <c r="B437" s="52" t="inlineStr">
        <is>
          <t>p_generic_post</t>
        </is>
      </c>
      <c r="C437" s="52" t="inlineStr">
        <is>
          <t>Occasional Pride posts</t>
        </is>
      </c>
      <c r="D437" s="51" t="inlineStr">
        <is>
          <t>Cosmetic</t>
        </is>
      </c>
      <c r="E437" s="51" t="inlineStr">
        <is>
          <t>Positive</t>
        </is>
      </c>
      <c r="F437" s="51" t="n">
        <v>2</v>
      </c>
      <c r="G437" s="51" t="n">
        <v>2024</v>
      </c>
      <c r="H437" s="52" t="inlineStr">
        <is>
          <t>https://web.archive.org/web/2024/https://www.honeywell.com/us/en/company/inclusion-and-diversity</t>
        </is>
      </c>
      <c r="I437" s="52" t="inlineStr">
        <is>
          <t>Archive</t>
        </is>
      </c>
      <c r="J437" s="51" t="inlineStr">
        <is>
          <t>No</t>
        </is>
      </c>
      <c r="K437" s="52" t="inlineStr"/>
    </row>
    <row r="438" ht="23.25" customHeight="1" s="42">
      <c r="A438" s="52" t="inlineStr">
        <is>
          <t>General Electric (GE Aerospace)</t>
        </is>
      </c>
      <c r="B438" s="52" t="inlineStr">
        <is>
          <t>p_generic_post</t>
        </is>
      </c>
      <c r="C438" s="52" t="inlineStr">
        <is>
          <t>Occasional Pride posts; ERG legacy</t>
        </is>
      </c>
      <c r="D438" s="51" t="inlineStr">
        <is>
          <t>Cosmetic</t>
        </is>
      </c>
      <c r="E438" s="51" t="inlineStr">
        <is>
          <t>Positive</t>
        </is>
      </c>
      <c r="F438" s="51" t="n">
        <v>2</v>
      </c>
      <c r="G438" s="51" t="n">
        <v>2024</v>
      </c>
      <c r="H438" s="52" t="inlineStr">
        <is>
          <t>https://web.archive.org/web/2024/https://www.geaerospace.com/company/inclusion-diversity</t>
        </is>
      </c>
      <c r="I438" s="52" t="inlineStr">
        <is>
          <t>Archive</t>
        </is>
      </c>
      <c r="J438" s="51" t="inlineStr">
        <is>
          <t>No</t>
        </is>
      </c>
      <c r="K438" s="52" t="inlineStr"/>
    </row>
    <row r="439" ht="23.25" customHeight="1" s="42">
      <c r="A439" s="52" t="inlineStr">
        <is>
          <t>Caterpillar</t>
        </is>
      </c>
      <c r="B439" s="52" t="inlineStr">
        <is>
          <t>p_generic_post</t>
        </is>
      </c>
      <c r="C439" s="52" t="inlineStr">
        <is>
          <t>Pride posts and engagement (through 2024)</t>
        </is>
      </c>
      <c r="D439" s="51" t="inlineStr">
        <is>
          <t>Cosmetic</t>
        </is>
      </c>
      <c r="E439" s="51" t="inlineStr">
        <is>
          <t>Positive</t>
        </is>
      </c>
      <c r="F439" s="51" t="n">
        <v>2</v>
      </c>
      <c r="G439" s="51" t="n">
        <v>2024</v>
      </c>
      <c r="H439" s="52" t="inlineStr">
        <is>
          <t>https://web.archive.org/web/2024/https://www.caterpillar.com/en/careers/culture/diversity-inclusion.html</t>
        </is>
      </c>
      <c r="I439" s="52" t="inlineStr">
        <is>
          <t>Archive</t>
        </is>
      </c>
      <c r="J439" s="51" t="inlineStr">
        <is>
          <t>No</t>
        </is>
      </c>
      <c r="K439" s="52" t="inlineStr"/>
    </row>
    <row r="440" ht="23.25" customHeight="1" s="42">
      <c r="A440" s="52" t="inlineStr">
        <is>
          <t>Caterpillar</t>
        </is>
      </c>
      <c r="B440" s="52" t="inlineStr">
        <is>
          <t>p_erg_support</t>
        </is>
      </c>
      <c r="C440" s="52" t="inlineStr">
        <is>
          <t>Funded LGBTQ+ employee resource group</t>
        </is>
      </c>
      <c r="D440" s="51" t="inlineStr">
        <is>
          <t>Civic</t>
        </is>
      </c>
      <c r="E440" s="51" t="inlineStr">
        <is>
          <t>Positive</t>
        </is>
      </c>
      <c r="F440" s="51" t="n">
        <v>15</v>
      </c>
      <c r="G440" s="51" t="n">
        <v>2024</v>
      </c>
      <c r="H440" s="52" t="inlineStr">
        <is>
          <t>https://web.archive.org/web/2024/https://www.caterpillar.com/en/careers/culture/diversity-inclusion.html</t>
        </is>
      </c>
      <c r="I440" s="52" t="inlineStr">
        <is>
          <t>Archive</t>
        </is>
      </c>
      <c r="J440" s="51" t="inlineStr">
        <is>
          <t>No</t>
        </is>
      </c>
      <c r="K440" s="52" t="inlineStr"/>
    </row>
    <row r="441" ht="23.25" customHeight="1" s="42">
      <c r="A441" s="52" t="inlineStr">
        <is>
          <t>Caterpillar</t>
        </is>
      </c>
      <c r="B441" s="52" t="inlineStr">
        <is>
          <t>n_dei_removal</t>
        </is>
      </c>
      <c r="C441" s="52" t="inlineStr">
        <is>
          <t>Restricted DEI training and required senior approval for external surveys/awards after activist pressure</t>
        </is>
      </c>
      <c r="D441" s="51" t="inlineStr">
        <is>
          <t>—</t>
        </is>
      </c>
      <c r="E441" s="51" t="inlineStr">
        <is>
          <t>Negative</t>
        </is>
      </c>
      <c r="F441" s="51" t="n">
        <v>-32</v>
      </c>
      <c r="G441" s="51" t="n">
        <v>2024</v>
      </c>
      <c r="H441" s="52" t="inlineStr">
        <is>
          <t>https://www.wglt.org/illinois/2024-09-20/caterpillar-pulls-back-on-some-dei-policies-after-conservative-activist-sets-sights-on-company</t>
        </is>
      </c>
      <c r="I441" s="52" t="inlineStr">
        <is>
          <t>News</t>
        </is>
      </c>
      <c r="J441" s="51" t="inlineStr">
        <is>
          <t>No</t>
        </is>
      </c>
      <c r="K441" s="52" t="inlineStr"/>
    </row>
    <row r="442" ht="23.25" customHeight="1" s="42">
      <c r="A442" s="52" t="inlineStr">
        <is>
          <t>Deere &amp; Company</t>
        </is>
      </c>
      <c r="B442" s="52" t="inlineStr">
        <is>
          <t>p_generic_post</t>
        </is>
      </c>
      <c r="C442" s="52" t="inlineStr">
        <is>
          <t>Pride posts and engagement (through 2024)</t>
        </is>
      </c>
      <c r="D442" s="51" t="inlineStr">
        <is>
          <t>Cosmetic</t>
        </is>
      </c>
      <c r="E442" s="51" t="inlineStr">
        <is>
          <t>Positive</t>
        </is>
      </c>
      <c r="F442" s="51" t="n">
        <v>2</v>
      </c>
      <c r="G442" s="51" t="n">
        <v>2024</v>
      </c>
      <c r="H442" s="52" t="inlineStr">
        <is>
          <t>https://web.archive.org/web/2024/https://www.deere.com/en/our-company/inclusion/</t>
        </is>
      </c>
      <c r="I442" s="52" t="inlineStr">
        <is>
          <t>Archive</t>
        </is>
      </c>
      <c r="J442" s="51" t="inlineStr">
        <is>
          <t>No</t>
        </is>
      </c>
      <c r="K442" s="52" t="inlineStr"/>
    </row>
    <row r="443" ht="23.25" customHeight="1" s="42">
      <c r="A443" s="52" t="inlineStr">
        <is>
          <t>Deere &amp; Company</t>
        </is>
      </c>
      <c r="B443" s="52" t="inlineStr">
        <is>
          <t>p_erg_support</t>
        </is>
      </c>
      <c r="C443" s="52" t="inlineStr">
        <is>
          <t>Funded LGBTQ+ employee resource group</t>
        </is>
      </c>
      <c r="D443" s="51" t="inlineStr">
        <is>
          <t>Civic</t>
        </is>
      </c>
      <c r="E443" s="51" t="inlineStr">
        <is>
          <t>Positive</t>
        </is>
      </c>
      <c r="F443" s="51" t="n">
        <v>15</v>
      </c>
      <c r="G443" s="51" t="n">
        <v>2024</v>
      </c>
      <c r="H443" s="52" t="inlineStr">
        <is>
          <t>https://web.archive.org/web/2024/https://www.deere.com/en/our-company/inclusion/</t>
        </is>
      </c>
      <c r="I443" s="52" t="inlineStr">
        <is>
          <t>Archive</t>
        </is>
      </c>
      <c r="J443" s="51" t="inlineStr">
        <is>
          <t>No</t>
        </is>
      </c>
      <c r="K443" s="52" t="inlineStr"/>
    </row>
    <row r="444" ht="23.25" customHeight="1" s="42">
      <c r="A444" s="52" t="inlineStr">
        <is>
          <t>Deere &amp; Company</t>
        </is>
      </c>
      <c r="B444" s="52" t="inlineStr">
        <is>
          <t>p_parade_sponsor</t>
        </is>
      </c>
      <c r="C444" s="52" t="inlineStr">
        <is>
          <t>Pride/cultural event sponsorships (ended Jul 2024)</t>
        </is>
      </c>
      <c r="D444" s="51" t="inlineStr">
        <is>
          <t>Civic</t>
        </is>
      </c>
      <c r="E444" s="51" t="inlineStr">
        <is>
          <t>Positive</t>
        </is>
      </c>
      <c r="F444" s="51" t="n">
        <v>12</v>
      </c>
      <c r="G444" s="51" t="n">
        <v>2024</v>
      </c>
      <c r="H444" s="52" t="inlineStr">
        <is>
          <t>https://www.hrc.org/press-releases/hrc-foundation-announces-record-participation-in-upcoming-2025-corporate-equality-index-docks-scores-of-seven-companies-in-current-ranking-following-their-pullback-from-workplace-inclusion</t>
        </is>
      </c>
      <c r="I444" s="52" t="inlineStr">
        <is>
          <t>HRC</t>
        </is>
      </c>
      <c r="J444" s="51" t="inlineStr">
        <is>
          <t>No</t>
        </is>
      </c>
      <c r="K444" s="52" t="inlineStr"/>
    </row>
    <row r="445" ht="23.25" customHeight="1" s="42">
      <c r="A445" s="52" t="inlineStr">
        <is>
          <t>Deere &amp; Company</t>
        </is>
      </c>
      <c r="B445" s="52" t="inlineStr">
        <is>
          <t>n_dei_removal</t>
        </is>
      </c>
      <c r="C445" s="52" t="inlineStr">
        <is>
          <t>Audited training, ended external survey participation; HRC docked CEI score -25</t>
        </is>
      </c>
      <c r="D445" s="51" t="inlineStr">
        <is>
          <t>—</t>
        </is>
      </c>
      <c r="E445" s="51" t="inlineStr">
        <is>
          <t>Negative</t>
        </is>
      </c>
      <c r="F445" s="51" t="n">
        <v>-32</v>
      </c>
      <c r="G445" s="51" t="n">
        <v>2024</v>
      </c>
      <c r="H445" s="52" t="inlineStr">
        <is>
          <t>https://www.hrc.org/press-releases/hrc-foundation-announces-record-participation-in-upcoming-2025-corporate-equality-index-docks-scores-of-seven-companies-in-current-ranking-following-their-pullback-from-workplace-inclusion</t>
        </is>
      </c>
      <c r="I445" s="52" t="inlineStr">
        <is>
          <t>HRC</t>
        </is>
      </c>
      <c r="J445" s="51" t="inlineStr">
        <is>
          <t>No</t>
        </is>
      </c>
      <c r="K445" s="52" t="inlineStr">
        <is>
          <t>One of 7 docked companies</t>
        </is>
      </c>
    </row>
    <row r="446" ht="23.25" customHeight="1" s="42">
      <c r="A446" s="52" t="inlineStr">
        <is>
          <t>Deere &amp; Company</t>
        </is>
      </c>
      <c r="B446" s="52" t="inlineStr">
        <is>
          <t>n_pride_retreat</t>
        </is>
      </c>
      <c r="C446" s="52" t="inlineStr">
        <is>
          <t>Ended sponsorship of 'social or cultural awareness' events including Pride</t>
        </is>
      </c>
      <c r="D446" s="51" t="inlineStr">
        <is>
          <t>—</t>
        </is>
      </c>
      <c r="E446" s="51" t="inlineStr">
        <is>
          <t>Negative</t>
        </is>
      </c>
      <c r="F446" s="51" t="n">
        <v>-22</v>
      </c>
      <c r="G446" s="51" t="n">
        <v>2024</v>
      </c>
      <c r="H446" s="52" t="inlineStr">
        <is>
          <t>https://fortune.com/2025/02/28/costco-apple-john-deere-anti-dei-shareholder-proposals-voted-down-trend/</t>
        </is>
      </c>
      <c r="I446" s="52" t="inlineStr">
        <is>
          <t>News</t>
        </is>
      </c>
      <c r="J446" s="51" t="inlineStr">
        <is>
          <t>No</t>
        </is>
      </c>
      <c r="K446" s="52" t="inlineStr">
        <is>
          <t>Shareholders later rejected anti-DEI proposal 98.7%</t>
        </is>
      </c>
    </row>
    <row r="447" ht="23.25" customHeight="1" s="42">
      <c r="A447" s="52" t="inlineStr">
        <is>
          <t>UPS</t>
        </is>
      </c>
      <c r="B447" s="52" t="inlineStr">
        <is>
          <t>p_generic_post</t>
        </is>
      </c>
      <c r="C447" s="52" t="inlineStr">
        <is>
          <t>Pride posts and engagement (through 2023)</t>
        </is>
      </c>
      <c r="D447" s="51" t="inlineStr">
        <is>
          <t>Cosmetic</t>
        </is>
      </c>
      <c r="E447" s="51" t="inlineStr">
        <is>
          <t>Positive</t>
        </is>
      </c>
      <c r="F447" s="51" t="n">
        <v>2</v>
      </c>
      <c r="G447" s="51" t="n">
        <v>2023</v>
      </c>
      <c r="H447" s="52" t="inlineStr">
        <is>
          <t>https://web.archive.org/web/2023/https://about.ups.com/us/en/social-impact/diversity-equity-and-inclusion.html</t>
        </is>
      </c>
      <c r="I447" s="52" t="inlineStr">
        <is>
          <t>Archive</t>
        </is>
      </c>
      <c r="J447" s="51" t="inlineStr">
        <is>
          <t>No</t>
        </is>
      </c>
      <c r="K447" s="52" t="inlineStr"/>
    </row>
    <row r="448" ht="23.25" customHeight="1" s="42">
      <c r="A448" s="52" t="inlineStr">
        <is>
          <t>UPS</t>
        </is>
      </c>
      <c r="B448" s="52" t="inlineStr">
        <is>
          <t>p_erg_support</t>
        </is>
      </c>
      <c r="C448" s="52" t="inlineStr">
        <is>
          <t>Funded LGBTQ+ business resource group</t>
        </is>
      </c>
      <c r="D448" s="51" t="inlineStr">
        <is>
          <t>Civic</t>
        </is>
      </c>
      <c r="E448" s="51" t="inlineStr">
        <is>
          <t>Positive</t>
        </is>
      </c>
      <c r="F448" s="51" t="n">
        <v>15</v>
      </c>
      <c r="G448" s="51" t="n">
        <v>2023</v>
      </c>
      <c r="H448" s="52" t="inlineStr">
        <is>
          <t>https://web.archive.org/web/2023/https://about.ups.com/us/en/social-impact/diversity-equity-and-inclusion.html</t>
        </is>
      </c>
      <c r="I448" s="52" t="inlineStr">
        <is>
          <t>Archive</t>
        </is>
      </c>
      <c r="J448" s="51" t="inlineStr">
        <is>
          <t>No</t>
        </is>
      </c>
      <c r="K448" s="52" t="inlineStr"/>
    </row>
    <row r="449" ht="23.25" customHeight="1" s="42">
      <c r="A449" s="52" t="inlineStr">
        <is>
          <t>UPS</t>
        </is>
      </c>
      <c r="B449" s="52" t="inlineStr">
        <is>
          <t>n_dei_removal</t>
        </is>
      </c>
      <c r="C449" s="52" t="inlineStr">
        <is>
          <t>Eliminated its DEI function entirely (April 2024), incl. supplier diversity goals — confirmed by company statement</t>
        </is>
      </c>
      <c r="D449" s="51" t="inlineStr">
        <is>
          <t>—</t>
        </is>
      </c>
      <c r="E449" s="51" t="inlineStr">
        <is>
          <t>Negative</t>
        </is>
      </c>
      <c r="F449" s="51" t="n">
        <v>-32</v>
      </c>
      <c r="G449" s="51" t="n">
        <v>2024</v>
      </c>
      <c r="H449" s="52" t="inlineStr">
        <is>
          <t>https://www.livenowfox.com/news/companies-roll-back-dei-policies</t>
        </is>
      </c>
      <c r="I449" s="52" t="inlineStr">
        <is>
          <t>News</t>
        </is>
      </c>
      <c r="J449" s="51" t="inlineStr">
        <is>
          <t>No</t>
        </is>
      </c>
      <c r="K449" s="52" t="inlineStr">
        <is>
          <t>Archived before-state: https://web.archive.org/web/2023/https://about.ups.com/us/en/social-impact/diversity-equity-and-inclusion.html</t>
        </is>
      </c>
    </row>
    <row r="450" ht="23.25" customHeight="1" s="42">
      <c r="A450" s="52" t="inlineStr">
        <is>
          <t>FedEx</t>
        </is>
      </c>
      <c r="B450" s="52" t="inlineStr">
        <is>
          <t>p_generic_post</t>
        </is>
      </c>
      <c r="C450" s="52" t="inlineStr">
        <is>
          <t>Pride posts and engagement</t>
        </is>
      </c>
      <c r="D450" s="51" t="inlineStr">
        <is>
          <t>Cosmetic</t>
        </is>
      </c>
      <c r="E450" s="51" t="inlineStr">
        <is>
          <t>Positive</t>
        </is>
      </c>
      <c r="F450" s="51" t="n">
        <v>2</v>
      </c>
      <c r="G450" s="51" t="n">
        <v>2024</v>
      </c>
      <c r="H450" s="52" t="inlineStr">
        <is>
          <t>https://web.archive.org/web/2024/https://careers.fedex.com/fedex/diversity</t>
        </is>
      </c>
      <c r="I450" s="52" t="inlineStr">
        <is>
          <t>Archive</t>
        </is>
      </c>
      <c r="J450" s="51" t="inlineStr">
        <is>
          <t>No</t>
        </is>
      </c>
      <c r="K450" s="52" t="inlineStr"/>
    </row>
    <row r="451" ht="23.25" customHeight="1" s="42">
      <c r="A451" s="52" t="inlineStr">
        <is>
          <t>FedEx</t>
        </is>
      </c>
      <c r="B451" s="52" t="inlineStr">
        <is>
          <t>p_erg_support</t>
        </is>
      </c>
      <c r="C451" s="52" t="inlineStr">
        <is>
          <t>Funded LGBTQ+ employee resource group</t>
        </is>
      </c>
      <c r="D451" s="51" t="inlineStr">
        <is>
          <t>Civic</t>
        </is>
      </c>
      <c r="E451" s="51" t="inlineStr">
        <is>
          <t>Positive</t>
        </is>
      </c>
      <c r="F451" s="51" t="n">
        <v>15</v>
      </c>
      <c r="G451" s="51" t="n">
        <v>2024</v>
      </c>
      <c r="H451" s="52" t="inlineStr">
        <is>
          <t>https://web.archive.org/web/2024/https://careers.fedex.com/fedex/diversity</t>
        </is>
      </c>
      <c r="I451" s="52" t="inlineStr">
        <is>
          <t>Archive</t>
        </is>
      </c>
      <c r="J451" s="51" t="inlineStr">
        <is>
          <t>No</t>
        </is>
      </c>
      <c r="K451" s="52" t="inlineStr"/>
    </row>
    <row r="452" ht="23.25" customHeight="1" s="42">
      <c r="A452" s="52" t="inlineStr">
        <is>
          <t>Sirius XM</t>
        </is>
      </c>
      <c r="B452" s="52" t="inlineStr">
        <is>
          <t>p_collab</t>
        </is>
      </c>
      <c r="C452" s="52" t="inlineStr">
        <is>
          <t>LGBTQ+ programming and hosts (Radio Andy; OutQ channel legacy)</t>
        </is>
      </c>
      <c r="D452" s="51" t="inlineStr">
        <is>
          <t>Commercial</t>
        </is>
      </c>
      <c r="E452" s="51" t="inlineStr">
        <is>
          <t>Positive</t>
        </is>
      </c>
      <c r="F452" s="51" t="n">
        <v>8</v>
      </c>
      <c r="G452" s="51" t="n">
        <v>2024</v>
      </c>
      <c r="H452" s="52" t="inlineStr">
        <is>
          <t>https://web.archive.org/web/2024/https://www.siriusxm.com/channels/radio-andy</t>
        </is>
      </c>
      <c r="I452" s="52" t="inlineStr">
        <is>
          <t>Archive</t>
        </is>
      </c>
      <c r="J452" s="51" t="inlineStr">
        <is>
          <t>No</t>
        </is>
      </c>
      <c r="K452" s="52" t="inlineStr"/>
    </row>
    <row r="453" ht="23.25" customHeight="1" s="42">
      <c r="A453" s="52" t="inlineStr">
        <is>
          <t>Fox Corporation</t>
        </is>
      </c>
      <c r="B453" s="52" t="inlineStr">
        <is>
          <t>p_erg_support</t>
        </is>
      </c>
      <c r="C453" s="52" t="inlineStr">
        <is>
          <t>Funded internal LGBTQ+ employee resource group; high CEI scores historically</t>
        </is>
      </c>
      <c r="D453" s="51" t="inlineStr">
        <is>
          <t>Civic</t>
        </is>
      </c>
      <c r="E453" s="51" t="inlineStr">
        <is>
          <t>Positive</t>
        </is>
      </c>
      <c r="F453" s="51" t="n">
        <v>15</v>
      </c>
      <c r="G453" s="51" t="n">
        <v>2022</v>
      </c>
      <c r="H453" s="52" t="inlineStr">
        <is>
          <t>https://web.archive.org/web/2022/https://www.foxcorporation.com/</t>
        </is>
      </c>
      <c r="I453" s="52" t="inlineStr">
        <is>
          <t>Archive</t>
        </is>
      </c>
      <c r="J453" s="51" t="inlineStr">
        <is>
          <t>No</t>
        </is>
      </c>
      <c r="K453" s="52" t="inlineStr"/>
    </row>
    <row r="454" ht="23.25" customHeight="1" s="42">
      <c r="A454" s="52" t="inlineStr">
        <is>
          <t>Fox Corporation</t>
        </is>
      </c>
      <c r="B454" s="52" t="inlineStr">
        <is>
          <t>n_selective</t>
        </is>
      </c>
      <c r="C454" s="52" t="inlineStr">
        <is>
          <t>Fox News programming extensively documented targeting transgender people (hundreds of segments tracked)</t>
        </is>
      </c>
      <c r="D454" s="51" t="inlineStr">
        <is>
          <t>—</t>
        </is>
      </c>
      <c r="E454" s="51" t="inlineStr">
        <is>
          <t>Negative</t>
        </is>
      </c>
      <c r="F454" s="51" t="n">
        <v>-10</v>
      </c>
      <c r="G454" s="51" t="n">
        <v>2024</v>
      </c>
      <c r="H454" s="52" t="inlineStr">
        <is>
          <t>https://www.mediamatters.org/fox-news</t>
        </is>
      </c>
      <c r="I454" s="52" t="inlineStr">
        <is>
          <t>News</t>
        </is>
      </c>
      <c r="J454" s="51" t="inlineStr">
        <is>
          <t>No</t>
        </is>
      </c>
      <c r="K454" s="52" t="inlineStr"/>
    </row>
    <row r="455" ht="23.25" customHeight="1" s="42">
      <c r="A455" s="52" t="inlineStr">
        <is>
          <t>Fox Corporation</t>
        </is>
      </c>
      <c r="B455" s="52" t="inlineStr">
        <is>
          <t>n_greenwashing</t>
        </is>
      </c>
      <c r="C455" s="52" t="inlineStr">
        <is>
          <t>Internal inclusion branding/CEI participation while flagship programming attacks the community</t>
        </is>
      </c>
      <c r="D455" s="51" t="inlineStr">
        <is>
          <t>—</t>
        </is>
      </c>
      <c r="E455" s="51" t="inlineStr">
        <is>
          <t>Negative</t>
        </is>
      </c>
      <c r="F455" s="51" t="n">
        <v>-8</v>
      </c>
      <c r="G455" s="51" t="n">
        <v>2024</v>
      </c>
      <c r="H455" s="52" t="inlineStr">
        <is>
          <t>https://www.mediamatters.org/fox-news</t>
        </is>
      </c>
      <c r="I455" s="52" t="inlineStr">
        <is>
          <t>News</t>
        </is>
      </c>
      <c r="J455" s="51" t="inlineStr">
        <is>
          <t>No</t>
        </is>
      </c>
      <c r="K455" s="52" t="inlineStr"/>
    </row>
    <row r="456" ht="23.25" customHeight="1" s="42">
      <c r="A456" s="52" t="inlineStr">
        <is>
          <t>Tractor Supply Co.</t>
        </is>
      </c>
      <c r="B456" s="52" t="inlineStr">
        <is>
          <t>p_logo_rainbow</t>
        </is>
      </c>
      <c r="C456" s="52" t="inlineStr">
        <is>
          <t>Pride branding (through 2023)</t>
        </is>
      </c>
      <c r="D456" s="51" t="inlineStr">
        <is>
          <t>Cosmetic</t>
        </is>
      </c>
      <c r="E456" s="51" t="inlineStr">
        <is>
          <t>Positive</t>
        </is>
      </c>
      <c r="F456" s="51" t="n">
        <v>3</v>
      </c>
      <c r="G456" s="51" t="n">
        <v>2023</v>
      </c>
      <c r="H456" s="52" t="inlineStr">
        <is>
          <t>https://web.archive.org/web/2023/https://corporate.tractorsupply.com/</t>
        </is>
      </c>
      <c r="I456" s="52" t="inlineStr">
        <is>
          <t>Archive</t>
        </is>
      </c>
      <c r="J456" s="51" t="inlineStr">
        <is>
          <t>No</t>
        </is>
      </c>
      <c r="K456" s="52" t="inlineStr"/>
    </row>
    <row r="457" ht="23.25" customHeight="1" s="42">
      <c r="A457" s="52" t="inlineStr">
        <is>
          <t>Tractor Supply Co.</t>
        </is>
      </c>
      <c r="B457" s="52" t="inlineStr">
        <is>
          <t>p_generic_post</t>
        </is>
      </c>
      <c r="C457" s="52" t="inlineStr">
        <is>
          <t>Pride posts and engagement (through 2023)</t>
        </is>
      </c>
      <c r="D457" s="51" t="inlineStr">
        <is>
          <t>Cosmetic</t>
        </is>
      </c>
      <c r="E457" s="51" t="inlineStr">
        <is>
          <t>Positive</t>
        </is>
      </c>
      <c r="F457" s="51" t="n">
        <v>2</v>
      </c>
      <c r="G457" s="51" t="n">
        <v>2023</v>
      </c>
      <c r="H457" s="52" t="inlineStr">
        <is>
          <t>https://web.archive.org/web/2023/https://corporate.tractorsupply.com/</t>
        </is>
      </c>
      <c r="I457" s="52" t="inlineStr">
        <is>
          <t>Archive</t>
        </is>
      </c>
      <c r="J457" s="51" t="inlineStr">
        <is>
          <t>No</t>
        </is>
      </c>
      <c r="K457" s="52" t="inlineStr"/>
    </row>
    <row r="458" ht="23.25" customHeight="1" s="42">
      <c r="A458" s="52" t="inlineStr">
        <is>
          <t>Tractor Supply Co.</t>
        </is>
      </c>
      <c r="B458" s="52" t="inlineStr">
        <is>
          <t>p_parade_sponsor</t>
        </is>
      </c>
      <c r="C458" s="52" t="inlineStr">
        <is>
          <t>Pride festival sponsorships (ended June 2024)</t>
        </is>
      </c>
      <c r="D458" s="51" t="inlineStr">
        <is>
          <t>Civic</t>
        </is>
      </c>
      <c r="E458" s="51" t="inlineStr">
        <is>
          <t>Positive</t>
        </is>
      </c>
      <c r="F458" s="51" t="n">
        <v>12</v>
      </c>
      <c r="G458" s="51" t="n">
        <v>2024</v>
      </c>
      <c r="H458" s="52" t="inlineStr">
        <is>
          <t>https://www.cnbc.com/2024/06/28/tractor-supply-ends-dei-pride-support-carbon-goals.html</t>
        </is>
      </c>
      <c r="I458" s="52" t="inlineStr">
        <is>
          <t>News</t>
        </is>
      </c>
      <c r="J458" s="51" t="inlineStr">
        <is>
          <t>No</t>
        </is>
      </c>
      <c r="K458" s="52" t="inlineStr"/>
    </row>
    <row r="459" ht="23.25" customHeight="1" s="42">
      <c r="A459" s="52" t="inlineStr">
        <is>
          <t>Tractor Supply Co.</t>
        </is>
      </c>
      <c r="B459" s="52" t="inlineStr">
        <is>
          <t>p_erg_support</t>
        </is>
      </c>
      <c r="C459" s="52" t="inlineStr">
        <is>
          <t>DEI roles/team supporting employee inclusion groups (eliminated June 2024)</t>
        </is>
      </c>
      <c r="D459" s="51" t="inlineStr">
        <is>
          <t>Civic</t>
        </is>
      </c>
      <c r="E459" s="51" t="inlineStr">
        <is>
          <t>Positive</t>
        </is>
      </c>
      <c r="F459" s="51" t="n">
        <v>15</v>
      </c>
      <c r="G459" s="51" t="n">
        <v>2024</v>
      </c>
      <c r="H459" s="52" t="inlineStr">
        <is>
          <t>https://www.hrdive.com/news/tractor-supply-slashes-dei-roles-carbon-emission-goals-pride-support/720210/</t>
        </is>
      </c>
      <c r="I459" s="52" t="inlineStr">
        <is>
          <t>News</t>
        </is>
      </c>
      <c r="J459" s="51" t="inlineStr">
        <is>
          <t>No</t>
        </is>
      </c>
      <c r="K459" s="52" t="inlineStr"/>
    </row>
    <row r="460" ht="23.25" customHeight="1" s="42">
      <c r="A460" s="52" t="inlineStr">
        <is>
          <t>Tractor Supply Co.</t>
        </is>
      </c>
      <c r="B460" s="52" t="inlineStr">
        <is>
          <t>n_dei_removal</t>
        </is>
      </c>
      <c r="C460" s="52" t="inlineStr">
        <is>
          <t>Eliminated all DEI roles and goals after one-week pressure campaign; HRC docked CEI score</t>
        </is>
      </c>
      <c r="D460" s="51" t="inlineStr">
        <is>
          <t>—</t>
        </is>
      </c>
      <c r="E460" s="51" t="inlineStr">
        <is>
          <t>Negative</t>
        </is>
      </c>
      <c r="F460" s="51" t="n">
        <v>-32</v>
      </c>
      <c r="G460" s="51" t="n">
        <v>2024</v>
      </c>
      <c r="H460" s="52" t="inlineStr">
        <is>
          <t>https://www.npr.org/2024/06/28/nx-s1-5022816/tractor-supply-dei-climate-backlash</t>
        </is>
      </c>
      <c r="I460" s="52" t="inlineStr">
        <is>
          <t>News</t>
        </is>
      </c>
      <c r="J460" s="51" t="inlineStr">
        <is>
          <t>No</t>
        </is>
      </c>
      <c r="K460" s="52" t="inlineStr">
        <is>
          <t>One of 7 HRC-docked companies</t>
        </is>
      </c>
    </row>
    <row r="461" ht="23.25" customHeight="1" s="42">
      <c r="A461" s="52" t="inlineStr">
        <is>
          <t>Tractor Supply Co.</t>
        </is>
      </c>
      <c r="B461" s="52" t="inlineStr">
        <is>
          <t>n_pride_retreat</t>
        </is>
      </c>
      <c r="C461" s="52" t="inlineStr">
        <is>
          <t>Ended Pride festival sponsorships and LGBTQ+ community support</t>
        </is>
      </c>
      <c r="D461" s="51" t="inlineStr">
        <is>
          <t>—</t>
        </is>
      </c>
      <c r="E461" s="51" t="inlineStr">
        <is>
          <t>Negative</t>
        </is>
      </c>
      <c r="F461" s="51" t="n">
        <v>-22</v>
      </c>
      <c r="G461" s="51" t="n">
        <v>2024</v>
      </c>
      <c r="H461" s="52" t="inlineStr">
        <is>
          <t>https://www.cnbc.com/2024/06/28/tractor-supply-ends-dei-pride-support-carbon-goals.html</t>
        </is>
      </c>
      <c r="I461" s="52" t="inlineStr">
        <is>
          <t>News</t>
        </is>
      </c>
      <c r="J461" s="51" t="inlineStr">
        <is>
          <t>No</t>
        </is>
      </c>
      <c r="K461" s="52" t="inlineStr"/>
    </row>
    <row r="462" ht="23.25" customHeight="1" s="42">
      <c r="A462" s="52" t="inlineStr">
        <is>
          <t>Dick's Sporting Goods</t>
        </is>
      </c>
      <c r="B462" s="52" t="inlineStr">
        <is>
          <t>p_generic_post</t>
        </is>
      </c>
      <c r="C462" s="52" t="inlineStr">
        <is>
          <t>Occasional Pride posts</t>
        </is>
      </c>
      <c r="D462" s="51" t="inlineStr">
        <is>
          <t>Cosmetic</t>
        </is>
      </c>
      <c r="E462" s="51" t="inlineStr">
        <is>
          <t>Positive</t>
        </is>
      </c>
      <c r="F462" s="51" t="n">
        <v>2</v>
      </c>
      <c r="G462" s="51" t="n">
        <v>2024</v>
      </c>
      <c r="H462" s="52" t="inlineStr">
        <is>
          <t>https://web.archive.org/web/2024/https://www.dickssportinggoods.com/</t>
        </is>
      </c>
      <c r="I462" s="52" t="inlineStr">
        <is>
          <t>Archive</t>
        </is>
      </c>
      <c r="J462" s="51" t="inlineStr">
        <is>
          <t>No</t>
        </is>
      </c>
      <c r="K462" s="52" t="inlineStr"/>
    </row>
    <row r="463" ht="23.25" customHeight="1" s="42">
      <c r="A463" s="52" t="inlineStr">
        <is>
          <t>Bath &amp; Body Works</t>
        </is>
      </c>
      <c r="B463" s="52" t="inlineStr">
        <is>
          <t>p_logo_rainbow</t>
        </is>
      </c>
      <c r="C463" s="52" t="inlineStr">
        <is>
          <t>Pride campaign branding</t>
        </is>
      </c>
      <c r="D463" s="51" t="inlineStr">
        <is>
          <t>Cosmetic</t>
        </is>
      </c>
      <c r="E463" s="51" t="inlineStr">
        <is>
          <t>Positive</t>
        </is>
      </c>
      <c r="F463" s="51" t="n">
        <v>3</v>
      </c>
      <c r="G463" s="51" t="n">
        <v>2024</v>
      </c>
      <c r="H463" s="52" t="inlineStr">
        <is>
          <t>https://web.archive.org/web/2024/https://www.bathandbodyworks.com/</t>
        </is>
      </c>
      <c r="I463" s="52" t="inlineStr">
        <is>
          <t>Archive</t>
        </is>
      </c>
      <c r="J463" s="51" t="inlineStr">
        <is>
          <t>No</t>
        </is>
      </c>
      <c r="K463" s="52" t="inlineStr"/>
    </row>
    <row r="464" ht="23.25" customHeight="1" s="42">
      <c r="A464" s="52" t="inlineStr">
        <is>
          <t>Bath &amp; Body Works</t>
        </is>
      </c>
      <c r="B464" s="52" t="inlineStr">
        <is>
          <t>p_generic_post</t>
        </is>
      </c>
      <c r="C464" s="52" t="inlineStr">
        <is>
          <t>Annual Pride posts</t>
        </is>
      </c>
      <c r="D464" s="51" t="inlineStr">
        <is>
          <t>Cosmetic</t>
        </is>
      </c>
      <c r="E464" s="51" t="inlineStr">
        <is>
          <t>Positive</t>
        </is>
      </c>
      <c r="F464" s="51" t="n">
        <v>2</v>
      </c>
      <c r="G464" s="51" t="n">
        <v>2024</v>
      </c>
      <c r="H464" s="52" t="inlineStr">
        <is>
          <t>https://web.archive.org/web/2024/https://www.bathandbodyworks.com/</t>
        </is>
      </c>
      <c r="I464" s="52" t="inlineStr">
        <is>
          <t>Archive</t>
        </is>
      </c>
      <c r="J464" s="51" t="inlineStr">
        <is>
          <t>No</t>
        </is>
      </c>
      <c r="K464" s="52" t="inlineStr"/>
    </row>
    <row r="465" ht="23.25" customHeight="1" s="42">
      <c r="A465" s="52" t="inlineStr">
        <is>
          <t>Bath &amp; Body Works</t>
        </is>
      </c>
      <c r="B465" s="52" t="inlineStr">
        <is>
          <t>p_merch_collection</t>
        </is>
      </c>
      <c r="C465" s="52" t="inlineStr">
        <is>
          <t>Annual Pride merchandise collections (rainbow candles, body care), maintained through backlash</t>
        </is>
      </c>
      <c r="D465" s="51" t="inlineStr">
        <is>
          <t>Commercial</t>
        </is>
      </c>
      <c r="E465" s="51" t="inlineStr">
        <is>
          <t>Positive</t>
        </is>
      </c>
      <c r="F465" s="51" t="n">
        <v>6</v>
      </c>
      <c r="G465" s="51" t="n">
        <v>2024</v>
      </c>
      <c r="H465" s="52" t="inlineStr">
        <is>
          <t>https://web.archive.org/web/2024/https://www.bathandbodyworks.com/c/pride</t>
        </is>
      </c>
      <c r="I465" s="52" t="inlineStr">
        <is>
          <t>Archive</t>
        </is>
      </c>
      <c r="J465" s="51" t="inlineStr">
        <is>
          <t>No</t>
        </is>
      </c>
      <c r="K465" s="52" t="inlineStr"/>
    </row>
    <row r="466" ht="23.25" customHeight="1" s="42">
      <c r="A466" s="52" t="inlineStr">
        <is>
          <t>Publix</t>
        </is>
      </c>
      <c r="B466" s="52" t="inlineStr">
        <is>
          <t>n_selective</t>
        </is>
      </c>
      <c r="C466" s="52" t="inlineStr">
        <is>
          <t>Refused PrEP HIV-prevention coverage in employee health plans until forced reversal by national outcry (Feb 2018)</t>
        </is>
      </c>
      <c r="D466" s="51" t="inlineStr">
        <is>
          <t>—</t>
        </is>
      </c>
      <c r="E466" s="51" t="inlineStr">
        <is>
          <t>Negative</t>
        </is>
      </c>
      <c r="F466" s="51" t="n">
        <v>-10</v>
      </c>
      <c r="G466" s="51" t="n">
        <v>2018</v>
      </c>
      <c r="H466" s="52" t="inlineStr">
        <is>
          <t>https://www.advocate.com/hiv/2018/2/06/publix-reverses-will-begin-covering-prep</t>
        </is>
      </c>
      <c r="I466" s="52" t="inlineStr">
        <is>
          <t>News</t>
        </is>
      </c>
      <c r="J466" s="51" t="inlineStr">
        <is>
          <t>No</t>
        </is>
      </c>
      <c r="K466" s="52" t="inlineStr">
        <is>
          <t>Coverage added only after HRC campaign</t>
        </is>
      </c>
    </row>
    <row r="467" ht="23.25" customHeight="1" s="42">
      <c r="A467" s="52" t="inlineStr">
        <is>
          <t>Publix</t>
        </is>
      </c>
      <c r="B467" s="52" t="inlineStr">
        <is>
          <t>n_anti_lgbtq_donations</t>
        </is>
      </c>
      <c r="C467" s="52" t="inlineStr">
        <is>
          <t>Political contributions to Florida legislators sponsoring anti-LGBTQ+ legislation incl. 'Don't Say Gay' sponsors</t>
        </is>
      </c>
      <c r="D467" s="51" t="inlineStr">
        <is>
          <t>—</t>
        </is>
      </c>
      <c r="E467" s="51" t="inlineStr">
        <is>
          <t>Negative</t>
        </is>
      </c>
      <c r="F467" s="51" t="n">
        <v>-30</v>
      </c>
      <c r="G467" s="51" t="n">
        <v>2022</v>
      </c>
      <c r="H467" s="52" t="inlineStr">
        <is>
          <t>https://en.wikipedia.org/wiki/Publix</t>
        </is>
      </c>
      <c r="I467" s="52" t="inlineStr">
        <is>
          <t>News</t>
        </is>
      </c>
      <c r="J467" s="51" t="inlineStr">
        <is>
          <t>No</t>
        </is>
      </c>
      <c r="K467" s="52" t="inlineStr"/>
    </row>
    <row r="468" ht="23.25" customHeight="1" s="42">
      <c r="A468" s="52" t="inlineStr">
        <is>
          <t>Hobby Lobby</t>
        </is>
      </c>
      <c r="B468" s="52" t="inlineStr">
        <is>
          <t>n_selective</t>
        </is>
      </c>
      <c r="C468" s="52" t="inlineStr">
        <is>
          <t>Litigated against trans employee Meggan Sommerville's restroom access for years; lost on appeal with damages (2021)</t>
        </is>
      </c>
      <c r="D468" s="51" t="inlineStr">
        <is>
          <t>—</t>
        </is>
      </c>
      <c r="E468" s="51" t="inlineStr">
        <is>
          <t>Negative</t>
        </is>
      </c>
      <c r="F468" s="51" t="n">
        <v>-10</v>
      </c>
      <c r="G468" s="51" t="n">
        <v>2021</v>
      </c>
      <c r="H468" s="52" t="inlineStr">
        <is>
          <t>https://en.wikipedia.org/wiki/Hobby_Lobby</t>
        </is>
      </c>
      <c r="I468" s="52" t="inlineStr">
        <is>
          <t>News</t>
        </is>
      </c>
      <c r="J468" s="51" t="inlineStr">
        <is>
          <t>No</t>
        </is>
      </c>
      <c r="K468" s="52" t="inlineStr"/>
    </row>
    <row r="469" ht="23.25" customHeight="1" s="42">
      <c r="A469" s="52" t="inlineStr">
        <is>
          <t>Hobby Lobby</t>
        </is>
      </c>
      <c r="B469" s="52" t="inlineStr">
        <is>
          <t>n_anti_lgbtq_orgs</t>
        </is>
      </c>
      <c r="C469" s="52" t="inlineStr">
        <is>
          <t>Owner giving channels substantial Hobby Lobby profits to anti-LGBTQ+ advocacy via the National Christian Foundation</t>
        </is>
      </c>
      <c r="D469" s="51" t="inlineStr">
        <is>
          <t>—</t>
        </is>
      </c>
      <c r="E469" s="51" t="inlineStr">
        <is>
          <t>Negative</t>
        </is>
      </c>
      <c r="F469" s="51" t="n">
        <v>-35</v>
      </c>
      <c r="G469" s="51" t="n">
        <v>2022</v>
      </c>
      <c r="H469" s="52" t="inlineStr">
        <is>
          <t>https://en.wikipedia.org/wiki/Hobby_Lobby</t>
        </is>
      </c>
      <c r="I469" s="52" t="inlineStr">
        <is>
          <t>News</t>
        </is>
      </c>
      <c r="J469" s="51" t="inlineStr">
        <is>
          <t>No</t>
        </is>
      </c>
      <c r="K469" s="52" t="inlineStr">
        <is>
          <t>Corporate profits via owning family's structured giving; confidence Med</t>
        </is>
      </c>
    </row>
    <row r="470" ht="23.25" customHeight="1" s="42">
      <c r="A470" s="52" t="inlineStr">
        <is>
          <t>Ulta Beauty</t>
        </is>
      </c>
      <c r="B470" s="52" t="inlineStr">
        <is>
          <t>p_generic_post</t>
        </is>
      </c>
      <c r="C470" s="52" t="inlineStr">
        <is>
          <t>Annual Pride posts and campaigns</t>
        </is>
      </c>
      <c r="D470" s="51" t="inlineStr">
        <is>
          <t>Cosmetic</t>
        </is>
      </c>
      <c r="E470" s="51" t="inlineStr">
        <is>
          <t>Positive</t>
        </is>
      </c>
      <c r="F470" s="51" t="n">
        <v>2</v>
      </c>
      <c r="G470" s="51" t="n">
        <v>2024</v>
      </c>
      <c r="H470" s="52" t="inlineStr">
        <is>
          <t>https://web.archive.org/web/2024/https://www.ulta.com/</t>
        </is>
      </c>
      <c r="I470" s="52" t="inlineStr">
        <is>
          <t>Archive</t>
        </is>
      </c>
      <c r="J470" s="51" t="inlineStr">
        <is>
          <t>No</t>
        </is>
      </c>
      <c r="K470" s="52" t="inlineStr"/>
    </row>
    <row r="471" ht="23.25" customHeight="1" s="42">
      <c r="A471" s="52" t="inlineStr">
        <is>
          <t>Ulta Beauty</t>
        </is>
      </c>
      <c r="B471" s="52" t="inlineStr">
        <is>
          <t>p_merch_collection</t>
        </is>
      </c>
      <c r="C471" s="52" t="inlineStr">
        <is>
          <t>Annual Pride merchandise assortment</t>
        </is>
      </c>
      <c r="D471" s="51" t="inlineStr">
        <is>
          <t>Commercial</t>
        </is>
      </c>
      <c r="E471" s="51" t="inlineStr">
        <is>
          <t>Positive</t>
        </is>
      </c>
      <c r="F471" s="51" t="n">
        <v>6</v>
      </c>
      <c r="G471" s="51" t="n">
        <v>2024</v>
      </c>
      <c r="H471" s="52" t="inlineStr">
        <is>
          <t>https://web.archive.org/web/2024/https://www.ulta.com/discover/pride</t>
        </is>
      </c>
      <c r="I471" s="52" t="inlineStr">
        <is>
          <t>Archive</t>
        </is>
      </c>
      <c r="J471" s="51" t="inlineStr">
        <is>
          <t>No</t>
        </is>
      </c>
      <c r="K471" s="52" t="inlineStr"/>
    </row>
    <row r="472" ht="23.25" customHeight="1" s="42">
      <c r="A472" s="52" t="inlineStr">
        <is>
          <t>Ulta Beauty</t>
        </is>
      </c>
      <c r="B472" s="52" t="inlineStr">
        <is>
          <t>p_collab</t>
        </is>
      </c>
      <c r="C472" s="52" t="inlineStr">
        <is>
          <t>'The Beauty Of' episode with trans creator Dylan Mulvaney, kept live and defended amid boycott calls</t>
        </is>
      </c>
      <c r="D472" s="51" t="inlineStr">
        <is>
          <t>Commercial</t>
        </is>
      </c>
      <c r="E472" s="51" t="inlineStr">
        <is>
          <t>Positive</t>
        </is>
      </c>
      <c r="F472" s="51" t="n">
        <v>8</v>
      </c>
      <c r="G472" s="51" t="n">
        <v>2022</v>
      </c>
      <c r="H472" s="52" t="inlineStr">
        <is>
          <t>https://en.wikipedia.org/wiki/Dylan_Mulvaney</t>
        </is>
      </c>
      <c r="I472" s="52" t="inlineStr">
        <is>
          <t>News</t>
        </is>
      </c>
      <c r="J472" s="51" t="inlineStr">
        <is>
          <t>No</t>
        </is>
      </c>
      <c r="K472" s="52" t="inlineStr"/>
    </row>
    <row r="473" ht="23.25" customHeight="1" s="42">
      <c r="A473" s="52" t="inlineStr">
        <is>
          <t>Wayfair</t>
        </is>
      </c>
      <c r="B473" s="52" t="inlineStr">
        <is>
          <t>p_generic_post</t>
        </is>
      </c>
      <c r="C473" s="52" t="inlineStr">
        <is>
          <t>Occasional Pride posts and seasonal assortments</t>
        </is>
      </c>
      <c r="D473" s="51" t="inlineStr">
        <is>
          <t>Cosmetic</t>
        </is>
      </c>
      <c r="E473" s="51" t="inlineStr">
        <is>
          <t>Positive</t>
        </is>
      </c>
      <c r="F473" s="51" t="n">
        <v>2</v>
      </c>
      <c r="G473" s="51" t="n">
        <v>2024</v>
      </c>
      <c r="H473" s="52" t="inlineStr">
        <is>
          <t>https://web.archive.org/web/2024/https://www.wayfair.com/</t>
        </is>
      </c>
      <c r="I473" s="52" t="inlineStr">
        <is>
          <t>Archive</t>
        </is>
      </c>
      <c r="J473" s="51" t="inlineStr">
        <is>
          <t>No</t>
        </is>
      </c>
      <c r="K473" s="52" t="inlineStr"/>
    </row>
    <row r="474" ht="23.25" customHeight="1" s="42">
      <c r="A474" s="52" t="inlineStr">
        <is>
          <t>Lululemon</t>
        </is>
      </c>
      <c r="B474" s="52" t="inlineStr">
        <is>
          <t>p_logo_rainbow</t>
        </is>
      </c>
      <c r="C474" s="52" t="inlineStr">
        <is>
          <t>Pride campaign branding</t>
        </is>
      </c>
      <c r="D474" s="51" t="inlineStr">
        <is>
          <t>Cosmetic</t>
        </is>
      </c>
      <c r="E474" s="51" t="inlineStr">
        <is>
          <t>Positive</t>
        </is>
      </c>
      <c r="F474" s="51" t="n">
        <v>3</v>
      </c>
      <c r="G474" s="51" t="n">
        <v>2024</v>
      </c>
      <c r="H474" s="52" t="inlineStr">
        <is>
          <t>https://web.archive.org/web/2024/https://shop.lululemon.com/</t>
        </is>
      </c>
      <c r="I474" s="52" t="inlineStr">
        <is>
          <t>Archive</t>
        </is>
      </c>
      <c r="J474" s="51" t="inlineStr">
        <is>
          <t>No</t>
        </is>
      </c>
      <c r="K474" s="52" t="inlineStr"/>
    </row>
    <row r="475" ht="23.25" customHeight="1" s="42">
      <c r="A475" s="52" t="inlineStr">
        <is>
          <t>Lululemon</t>
        </is>
      </c>
      <c r="B475" s="52" t="inlineStr">
        <is>
          <t>p_generic_post</t>
        </is>
      </c>
      <c r="C475" s="52" t="inlineStr">
        <is>
          <t>Annual Pride posts and community events</t>
        </is>
      </c>
      <c r="D475" s="51" t="inlineStr">
        <is>
          <t>Cosmetic</t>
        </is>
      </c>
      <c r="E475" s="51" t="inlineStr">
        <is>
          <t>Positive</t>
        </is>
      </c>
      <c r="F475" s="51" t="n">
        <v>2</v>
      </c>
      <c r="G475" s="51" t="n">
        <v>2024</v>
      </c>
      <c r="H475" s="52" t="inlineStr">
        <is>
          <t>https://web.archive.org/web/2024/https://corporate.lululemon.com/our-impact/inclusion-diversity-equity-and-action</t>
        </is>
      </c>
      <c r="I475" s="52" t="inlineStr">
        <is>
          <t>Archive</t>
        </is>
      </c>
      <c r="J475" s="51" t="inlineStr">
        <is>
          <t>No</t>
        </is>
      </c>
      <c r="K475" s="52" t="inlineStr"/>
    </row>
    <row r="476" ht="23.25" customHeight="1" s="42">
      <c r="A476" s="52" t="inlineStr">
        <is>
          <t>Under Armour</t>
        </is>
      </c>
      <c r="B476" s="52" t="inlineStr">
        <is>
          <t>p_generic_post</t>
        </is>
      </c>
      <c r="C476" s="52" t="inlineStr">
        <is>
          <t>Occasional Pride posts</t>
        </is>
      </c>
      <c r="D476" s="51" t="inlineStr">
        <is>
          <t>Cosmetic</t>
        </is>
      </c>
      <c r="E476" s="51" t="inlineStr">
        <is>
          <t>Positive</t>
        </is>
      </c>
      <c r="F476" s="51" t="n">
        <v>2</v>
      </c>
      <c r="G476" s="51" t="n">
        <v>2024</v>
      </c>
      <c r="H476" s="52" t="inlineStr">
        <is>
          <t>https://web.archive.org/web/2024/https://about.underarmour.com/</t>
        </is>
      </c>
      <c r="I476" s="52" t="inlineStr">
        <is>
          <t>Archive</t>
        </is>
      </c>
      <c r="J476" s="51" t="inlineStr">
        <is>
          <t>No</t>
        </is>
      </c>
      <c r="K476" s="52" t="inlineStr"/>
    </row>
    <row r="477" ht="23.25" customHeight="1" s="42">
      <c r="A477" s="52" t="inlineStr">
        <is>
          <t>VF Corp.</t>
        </is>
      </c>
      <c r="B477" s="52" t="inlineStr">
        <is>
          <t>p_logo_rainbow</t>
        </is>
      </c>
      <c r="C477" s="52" t="inlineStr">
        <is>
          <t>Pride campaign branding across brands</t>
        </is>
      </c>
      <c r="D477" s="51" t="inlineStr">
        <is>
          <t>Cosmetic</t>
        </is>
      </c>
      <c r="E477" s="51" t="inlineStr">
        <is>
          <t>Positive</t>
        </is>
      </c>
      <c r="F477" s="51" t="n">
        <v>3</v>
      </c>
      <c r="G477" s="51" t="n">
        <v>2024</v>
      </c>
      <c r="H477" s="52" t="inlineStr">
        <is>
          <t>https://web.archive.org/web/2024/https://www.vfc.com/</t>
        </is>
      </c>
      <c r="I477" s="52" t="inlineStr">
        <is>
          <t>Archive</t>
        </is>
      </c>
      <c r="J477" s="51" t="inlineStr">
        <is>
          <t>No</t>
        </is>
      </c>
      <c r="K477" s="52" t="inlineStr"/>
    </row>
    <row r="478" ht="23.25" customHeight="1" s="42">
      <c r="A478" s="52" t="inlineStr">
        <is>
          <t>VF Corp.</t>
        </is>
      </c>
      <c r="B478" s="52" t="inlineStr">
        <is>
          <t>p_generic_post</t>
        </is>
      </c>
      <c r="C478" s="52" t="inlineStr">
        <is>
          <t>Annual Pride posts across brands</t>
        </is>
      </c>
      <c r="D478" s="51" t="inlineStr">
        <is>
          <t>Cosmetic</t>
        </is>
      </c>
      <c r="E478" s="51" t="inlineStr">
        <is>
          <t>Positive</t>
        </is>
      </c>
      <c r="F478" s="51" t="n">
        <v>2</v>
      </c>
      <c r="G478" s="51" t="n">
        <v>2024</v>
      </c>
      <c r="H478" s="52" t="inlineStr">
        <is>
          <t>https://web.archive.org/web/2024/https://www.vfc.com/</t>
        </is>
      </c>
      <c r="I478" s="52" t="inlineStr">
        <is>
          <t>Archive</t>
        </is>
      </c>
      <c r="J478" s="51" t="inlineStr">
        <is>
          <t>No</t>
        </is>
      </c>
      <c r="K478" s="52" t="inlineStr"/>
    </row>
    <row r="479" ht="23.25" customHeight="1" s="42">
      <c r="A479" s="52" t="inlineStr">
        <is>
          <t>VF Corp.</t>
        </is>
      </c>
      <c r="B479" s="52" t="inlineStr">
        <is>
          <t>p_merch_collection</t>
        </is>
      </c>
      <c r="C479" s="52" t="inlineStr">
        <is>
          <t>Vans and The North Face Pride collections (recurring)</t>
        </is>
      </c>
      <c r="D479" s="51" t="inlineStr">
        <is>
          <t>Commercial</t>
        </is>
      </c>
      <c r="E479" s="51" t="inlineStr">
        <is>
          <t>Positive</t>
        </is>
      </c>
      <c r="F479" s="51" t="n">
        <v>6</v>
      </c>
      <c r="G479" s="51" t="n">
        <v>2024</v>
      </c>
      <c r="H479" s="52" t="inlineStr">
        <is>
          <t>https://web.archive.org/web/2024/https://www.vans.com/en-us/featured/pride</t>
        </is>
      </c>
      <c r="I479" s="52" t="inlineStr">
        <is>
          <t>Archive</t>
        </is>
      </c>
      <c r="J479" s="51" t="inlineStr">
        <is>
          <t>No</t>
        </is>
      </c>
      <c r="K479" s="52" t="inlineStr"/>
    </row>
    <row r="480" ht="23.25" customHeight="1" s="42">
      <c r="A480" s="52" t="inlineStr">
        <is>
          <t>VF Corp.</t>
        </is>
      </c>
      <c r="B480" s="52" t="inlineStr">
        <is>
          <t>p_collab</t>
        </is>
      </c>
      <c r="C480" s="52" t="inlineStr">
        <is>
          <t>The North Face 'Summer of Pride' with Pattie Gonia, maintained through 2023 boycott</t>
        </is>
      </c>
      <c r="D480" s="51" t="inlineStr">
        <is>
          <t>Commercial</t>
        </is>
      </c>
      <c r="E480" s="51" t="inlineStr">
        <is>
          <t>Positive</t>
        </is>
      </c>
      <c r="F480" s="51" t="n">
        <v>8</v>
      </c>
      <c r="G480" s="51" t="n">
        <v>2023</v>
      </c>
      <c r="H480" s="52" t="inlineStr">
        <is>
          <t>https://en.wikipedia.org/wiki/Pattie_Gonia</t>
        </is>
      </c>
      <c r="I480" s="52" t="inlineStr">
        <is>
          <t>News</t>
        </is>
      </c>
      <c r="J480" s="51" t="inlineStr">
        <is>
          <t>No</t>
        </is>
      </c>
      <c r="K480" s="52" t="inlineStr"/>
    </row>
    <row r="481" ht="23.25" customHeight="1" s="42">
      <c r="A481" s="52" t="inlineStr">
        <is>
          <t>Tapestry</t>
        </is>
      </c>
      <c r="B481" s="52" t="inlineStr">
        <is>
          <t>p_logo_rainbow</t>
        </is>
      </c>
      <c r="C481" s="52" t="inlineStr">
        <is>
          <t>Pride campaign branding (Coach, Kate Spade)</t>
        </is>
      </c>
      <c r="D481" s="51" t="inlineStr">
        <is>
          <t>Cosmetic</t>
        </is>
      </c>
      <c r="E481" s="51" t="inlineStr">
        <is>
          <t>Positive</t>
        </is>
      </c>
      <c r="F481" s="51" t="n">
        <v>3</v>
      </c>
      <c r="G481" s="51" t="n">
        <v>2024</v>
      </c>
      <c r="H481" s="52" t="inlineStr">
        <is>
          <t>https://web.archive.org/web/2024/https://www.coach.com/shop/pride</t>
        </is>
      </c>
      <c r="I481" s="52" t="inlineStr">
        <is>
          <t>Archive</t>
        </is>
      </c>
      <c r="J481" s="51" t="inlineStr">
        <is>
          <t>No</t>
        </is>
      </c>
      <c r="K481" s="52" t="inlineStr"/>
    </row>
    <row r="482" ht="23.25" customHeight="1" s="42">
      <c r="A482" s="52" t="inlineStr">
        <is>
          <t>Tapestry</t>
        </is>
      </c>
      <c r="B482" s="52" t="inlineStr">
        <is>
          <t>p_generic_post</t>
        </is>
      </c>
      <c r="C482" s="52" t="inlineStr">
        <is>
          <t>Annual Pride posts</t>
        </is>
      </c>
      <c r="D482" s="51" t="inlineStr">
        <is>
          <t>Cosmetic</t>
        </is>
      </c>
      <c r="E482" s="51" t="inlineStr">
        <is>
          <t>Positive</t>
        </is>
      </c>
      <c r="F482" s="51" t="n">
        <v>2</v>
      </c>
      <c r="G482" s="51" t="n">
        <v>2024</v>
      </c>
      <c r="H482" s="52" t="inlineStr">
        <is>
          <t>https://web.archive.org/web/2024/https://www.tapestry.com/</t>
        </is>
      </c>
      <c r="I482" s="52" t="inlineStr">
        <is>
          <t>Archive</t>
        </is>
      </c>
      <c r="J482" s="51" t="inlineStr">
        <is>
          <t>No</t>
        </is>
      </c>
      <c r="K482" s="52" t="inlineStr"/>
    </row>
    <row r="483" ht="23.25" customHeight="1" s="42">
      <c r="A483" s="52" t="inlineStr">
        <is>
          <t>Tapestry</t>
        </is>
      </c>
      <c r="B483" s="52" t="inlineStr">
        <is>
          <t>p_merch_proceeds</t>
        </is>
      </c>
      <c r="C483" s="52" t="inlineStr">
        <is>
          <t>Coach Pride collections with donations to LGBTQ+ youth orgs (Hetrick-Martin Institute, CenterLink)</t>
        </is>
      </c>
      <c r="D483" s="51" t="inlineStr">
        <is>
          <t>Commercial</t>
        </is>
      </c>
      <c r="E483" s="51" t="inlineStr">
        <is>
          <t>Positive</t>
        </is>
      </c>
      <c r="F483" s="51" t="n">
        <v>10</v>
      </c>
      <c r="G483" s="51" t="n">
        <v>2024</v>
      </c>
      <c r="H483" s="52" t="inlineStr">
        <is>
          <t>https://web.archive.org/web/2024/https://www.coach.com/shop/pride</t>
        </is>
      </c>
      <c r="I483" s="52" t="inlineStr">
        <is>
          <t>Archive</t>
        </is>
      </c>
      <c r="J483" s="51" t="inlineStr">
        <is>
          <t>No</t>
        </is>
      </c>
      <c r="K483" s="52" t="inlineStr"/>
    </row>
    <row r="484" ht="23.25" customHeight="1" s="42">
      <c r="A484" s="52" t="inlineStr">
        <is>
          <t>Wendy's</t>
        </is>
      </c>
      <c r="B484" s="52" t="inlineStr">
        <is>
          <t>p_generic_post</t>
        </is>
      </c>
      <c r="C484" s="52" t="inlineStr">
        <is>
          <t>Occasional Pride posts</t>
        </is>
      </c>
      <c r="D484" s="51" t="inlineStr">
        <is>
          <t>Cosmetic</t>
        </is>
      </c>
      <c r="E484" s="51" t="inlineStr">
        <is>
          <t>Positive</t>
        </is>
      </c>
      <c r="F484" s="51" t="n">
        <v>2</v>
      </c>
      <c r="G484" s="51" t="n">
        <v>2024</v>
      </c>
      <c r="H484" s="52" t="inlineStr">
        <is>
          <t>https://web.archive.org/web/2024/https://www.wendys.com/</t>
        </is>
      </c>
      <c r="I484" s="52" t="inlineStr">
        <is>
          <t>Archive</t>
        </is>
      </c>
      <c r="J484" s="51" t="inlineStr">
        <is>
          <t>No</t>
        </is>
      </c>
      <c r="K484" s="52" t="inlineStr"/>
    </row>
    <row r="485" ht="23.25" customHeight="1" s="42">
      <c r="A485" s="52" t="inlineStr">
        <is>
          <t>DoorDash</t>
        </is>
      </c>
      <c r="B485" s="52" t="inlineStr">
        <is>
          <t>p_generic_post</t>
        </is>
      </c>
      <c r="C485" s="52" t="inlineStr">
        <is>
          <t>Annual Pride posts and LGBTQ+-owned merchant spotlights</t>
        </is>
      </c>
      <c r="D485" s="51" t="inlineStr">
        <is>
          <t>Cosmetic</t>
        </is>
      </c>
      <c r="E485" s="51" t="inlineStr">
        <is>
          <t>Positive</t>
        </is>
      </c>
      <c r="F485" s="51" t="n">
        <v>2</v>
      </c>
      <c r="G485" s="51" t="n">
        <v>2024</v>
      </c>
      <c r="H485" s="52" t="inlineStr">
        <is>
          <t>https://web.archive.org/web/2024/https://about.doordash.com/</t>
        </is>
      </c>
      <c r="I485" s="52" t="inlineStr">
        <is>
          <t>Archive</t>
        </is>
      </c>
      <c r="J485" s="51" t="inlineStr">
        <is>
          <t>No</t>
        </is>
      </c>
      <c r="K485" s="52" t="inlineStr"/>
    </row>
    <row r="486" ht="23.25" customHeight="1" s="42">
      <c r="A486" s="52" t="inlineStr">
        <is>
          <t>DoorDash</t>
        </is>
      </c>
      <c r="B486" s="52" t="inlineStr">
        <is>
          <t>p_erg_support</t>
        </is>
      </c>
      <c r="C486" s="52" t="inlineStr">
        <is>
          <t>Funded Pride@DoorDash employee resource group</t>
        </is>
      </c>
      <c r="D486" s="51" t="inlineStr">
        <is>
          <t>Civic</t>
        </is>
      </c>
      <c r="E486" s="51" t="inlineStr">
        <is>
          <t>Positive</t>
        </is>
      </c>
      <c r="F486" s="51" t="n">
        <v>15</v>
      </c>
      <c r="G486" s="51" t="n">
        <v>2024</v>
      </c>
      <c r="H486" s="52" t="inlineStr">
        <is>
          <t>https://web.archive.org/web/2024/https://careersatdoordash.com/</t>
        </is>
      </c>
      <c r="I486" s="52" t="inlineStr">
        <is>
          <t>Archive</t>
        </is>
      </c>
      <c r="J486" s="51" t="inlineStr">
        <is>
          <t>No</t>
        </is>
      </c>
      <c r="K486" s="52" t="inlineStr"/>
    </row>
    <row r="487" ht="23.25" customHeight="1" s="42">
      <c r="A487" s="52" t="inlineStr">
        <is>
          <t>Mars, Inc.</t>
        </is>
      </c>
      <c r="B487" s="52" t="inlineStr">
        <is>
          <t>p_generic_post</t>
        </is>
      </c>
      <c r="C487" s="52" t="inlineStr">
        <is>
          <t>Pride posts and inclusive brand campaigns</t>
        </is>
      </c>
      <c r="D487" s="51" t="inlineStr">
        <is>
          <t>Cosmetic</t>
        </is>
      </c>
      <c r="E487" s="51" t="inlineStr">
        <is>
          <t>Positive</t>
        </is>
      </c>
      <c r="F487" s="51" t="n">
        <v>2</v>
      </c>
      <c r="G487" s="51" t="n">
        <v>2024</v>
      </c>
      <c r="H487" s="52" t="inlineStr">
        <is>
          <t>https://web.archive.org/web/2024/https://www.mars.com/</t>
        </is>
      </c>
      <c r="I487" s="52" t="inlineStr">
        <is>
          <t>Archive</t>
        </is>
      </c>
      <c r="J487" s="51" t="inlineStr">
        <is>
          <t>No</t>
        </is>
      </c>
      <c r="K487" s="52" t="inlineStr"/>
    </row>
    <row r="488" ht="23.25" customHeight="1" s="42">
      <c r="A488" s="52" t="inlineStr">
        <is>
          <t>Panera Bread</t>
        </is>
      </c>
      <c r="B488" s="52" t="inlineStr">
        <is>
          <t>p_generic_post</t>
        </is>
      </c>
      <c r="C488" s="52" t="inlineStr">
        <is>
          <t>Occasional Pride posts</t>
        </is>
      </c>
      <c r="D488" s="51" t="inlineStr">
        <is>
          <t>Cosmetic</t>
        </is>
      </c>
      <c r="E488" s="51" t="inlineStr">
        <is>
          <t>Positive</t>
        </is>
      </c>
      <c r="F488" s="51" t="n">
        <v>2</v>
      </c>
      <c r="G488" s="51" t="n">
        <v>2024</v>
      </c>
      <c r="H488" s="52" t="inlineStr">
        <is>
          <t>https://web.archive.org/web/2024/https://www.panerabread.com/</t>
        </is>
      </c>
      <c r="I488" s="52" t="inlineStr">
        <is>
          <t>Archive</t>
        </is>
      </c>
      <c r="J488" s="51" t="inlineStr">
        <is>
          <t>No</t>
        </is>
      </c>
      <c r="K488" s="52" t="inlineStr"/>
    </row>
    <row r="489" ht="23.25" customHeight="1" s="42">
      <c r="A489" s="52" t="inlineStr">
        <is>
          <t>State Farm</t>
        </is>
      </c>
      <c r="B489" s="52" t="inlineStr">
        <is>
          <t>p_generic_post</t>
        </is>
      </c>
      <c r="C489" s="52" t="inlineStr">
        <is>
          <t>Pride posts and engagement (through 2022)</t>
        </is>
      </c>
      <c r="D489" s="51" t="inlineStr">
        <is>
          <t>Cosmetic</t>
        </is>
      </c>
      <c r="E489" s="51" t="inlineStr">
        <is>
          <t>Positive</t>
        </is>
      </c>
      <c r="F489" s="51" t="n">
        <v>2</v>
      </c>
      <c r="G489" s="51" t="n">
        <v>2022</v>
      </c>
      <c r="H489" s="52" t="inlineStr">
        <is>
          <t>https://web.archive.org/web/2022/https://www.statefarm.com/about-us/diversity-inclusion</t>
        </is>
      </c>
      <c r="I489" s="52" t="inlineStr">
        <is>
          <t>Archive</t>
        </is>
      </c>
      <c r="J489" s="51" t="inlineStr">
        <is>
          <t>No</t>
        </is>
      </c>
      <c r="K489" s="52" t="inlineStr"/>
    </row>
    <row r="490" ht="23.25" customHeight="1" s="42">
      <c r="A490" s="52" t="inlineStr">
        <is>
          <t>State Farm</t>
        </is>
      </c>
      <c r="B490" s="52" t="inlineStr">
        <is>
          <t>p_community_events</t>
        </is>
      </c>
      <c r="C490" s="52" t="inlineStr">
        <is>
          <t>GenderCool Project partnership donating LGBTQ+-themed children's books via agents</t>
        </is>
      </c>
      <c r="D490" s="51" t="inlineStr">
        <is>
          <t>Civic</t>
        </is>
      </c>
      <c r="E490" s="51" t="inlineStr">
        <is>
          <t>Positive</t>
        </is>
      </c>
      <c r="F490" s="51" t="n">
        <v>12</v>
      </c>
      <c r="G490" s="51" t="n">
        <v>2022</v>
      </c>
      <c r="H490" s="52" t="inlineStr">
        <is>
          <t>https://www.washingtonpost.com/business/2022/05/24/state-farm-lgbtq-childrens-books/</t>
        </is>
      </c>
      <c r="I490" s="52" t="inlineStr">
        <is>
          <t>News</t>
        </is>
      </c>
      <c r="J490" s="51" t="inlineStr">
        <is>
          <t>No</t>
        </is>
      </c>
      <c r="K490" s="52" t="inlineStr"/>
    </row>
    <row r="491" ht="23.25" customHeight="1" s="42">
      <c r="A491" s="52" t="inlineStr">
        <is>
          <t>State Farm</t>
        </is>
      </c>
      <c r="B491" s="52" t="inlineStr">
        <is>
          <t>n_pride_retreat</t>
        </is>
      </c>
      <c r="C491" s="52" t="inlineStr">
        <is>
          <t>Dropped GenderCool partnership within ~48 hours of conservative pressure campaign</t>
        </is>
      </c>
      <c r="D491" s="51" t="inlineStr">
        <is>
          <t>—</t>
        </is>
      </c>
      <c r="E491" s="51" t="inlineStr">
        <is>
          <t>Negative</t>
        </is>
      </c>
      <c r="F491" s="51" t="n">
        <v>-22</v>
      </c>
      <c r="G491" s="51" t="n">
        <v>2022</v>
      </c>
      <c r="H491" s="52" t="inlineStr">
        <is>
          <t>https://www.washingtonpost.com/business/2022/05/24/state-farm-lgbtq-childrens-books/</t>
        </is>
      </c>
      <c r="I491" s="52" t="inlineStr">
        <is>
          <t>News</t>
        </is>
      </c>
      <c r="J491" s="51" t="inlineStr">
        <is>
          <t>No</t>
        </is>
      </c>
      <c r="K491" s="52" t="inlineStr">
        <is>
          <t>Archived program before-state: https://web.archive.org/web/2022/https://gendercool.org/</t>
        </is>
      </c>
    </row>
    <row r="492" ht="23.25" customHeight="1" s="42">
      <c r="A492" s="52" t="inlineStr">
        <is>
          <t>Geico</t>
        </is>
      </c>
      <c r="B492" s="52" t="inlineStr">
        <is>
          <t>p_generic_post</t>
        </is>
      </c>
      <c r="C492" s="52" t="inlineStr">
        <is>
          <t>Occasional Pride posts/inclusive ads</t>
        </is>
      </c>
      <c r="D492" s="51" t="inlineStr">
        <is>
          <t>Cosmetic</t>
        </is>
      </c>
      <c r="E492" s="51" t="inlineStr">
        <is>
          <t>Positive</t>
        </is>
      </c>
      <c r="F492" s="51" t="n">
        <v>2</v>
      </c>
      <c r="G492" s="51" t="n">
        <v>2024</v>
      </c>
      <c r="H492" s="52" t="inlineStr">
        <is>
          <t>https://web.archive.org/web/2024/https://www.geico.com/</t>
        </is>
      </c>
      <c r="I492" s="52" t="inlineStr">
        <is>
          <t>Archive</t>
        </is>
      </c>
      <c r="J492" s="51" t="inlineStr">
        <is>
          <t>No</t>
        </is>
      </c>
      <c r="K492" s="52" t="inlineStr"/>
    </row>
    <row r="493" ht="23.25" customHeight="1" s="42">
      <c r="A493" s="52" t="inlineStr">
        <is>
          <t>Liberty Mutual</t>
        </is>
      </c>
      <c r="B493" s="52" t="inlineStr">
        <is>
          <t>p_generic_post</t>
        </is>
      </c>
      <c r="C493" s="52" t="inlineStr">
        <is>
          <t>Pride posts and engagement</t>
        </is>
      </c>
      <c r="D493" s="51" t="inlineStr">
        <is>
          <t>Cosmetic</t>
        </is>
      </c>
      <c r="E493" s="51" t="inlineStr">
        <is>
          <t>Positive</t>
        </is>
      </c>
      <c r="F493" s="51" t="n">
        <v>2</v>
      </c>
      <c r="G493" s="51" t="n">
        <v>2024</v>
      </c>
      <c r="H493" s="52" t="inlineStr">
        <is>
          <t>https://web.archive.org/web/2024/https://www.libertymutualgroup.com/about-lm/corporate-information/diversity-equity-inclusion</t>
        </is>
      </c>
      <c r="I493" s="52" t="inlineStr">
        <is>
          <t>Archive</t>
        </is>
      </c>
      <c r="J493" s="51" t="inlineStr">
        <is>
          <t>No</t>
        </is>
      </c>
      <c r="K493" s="52" t="inlineStr"/>
    </row>
    <row r="494" ht="23.25" customHeight="1" s="42">
      <c r="A494" s="52" t="inlineStr">
        <is>
          <t>Liberty Mutual</t>
        </is>
      </c>
      <c r="B494" s="52" t="inlineStr">
        <is>
          <t>p_benefits</t>
        </is>
      </c>
      <c r="C494" s="52" t="inlineStr">
        <is>
          <t>Inclusive partner and gender-affirming benefits (CEI-verified)</t>
        </is>
      </c>
      <c r="D494" s="51" t="inlineStr">
        <is>
          <t>Structural</t>
        </is>
      </c>
      <c r="E494" s="51" t="inlineStr">
        <is>
          <t>Positive</t>
        </is>
      </c>
      <c r="F494" s="51" t="n">
        <v>22</v>
      </c>
      <c r="G494" s="51" t="n">
        <v>2024</v>
      </c>
      <c r="H494" s="52" t="inlineStr">
        <is>
          <t>https://reports.hrc.org/corporate-equality-index-2025</t>
        </is>
      </c>
      <c r="I494" s="52" t="inlineStr">
        <is>
          <t>HRC</t>
        </is>
      </c>
      <c r="J494" s="51" t="inlineStr">
        <is>
          <t>No</t>
        </is>
      </c>
      <c r="K494" s="52" t="inlineStr"/>
    </row>
    <row r="495" ht="23.25" customHeight="1" s="42">
      <c r="A495" s="52" t="inlineStr">
        <is>
          <t>Farmers Insurance</t>
        </is>
      </c>
      <c r="B495" s="52" t="inlineStr">
        <is>
          <t>p_generic_post</t>
        </is>
      </c>
      <c r="C495" s="52" t="inlineStr">
        <is>
          <t>Occasional Pride posts</t>
        </is>
      </c>
      <c r="D495" s="51" t="inlineStr">
        <is>
          <t>Cosmetic</t>
        </is>
      </c>
      <c r="E495" s="51" t="inlineStr">
        <is>
          <t>Positive</t>
        </is>
      </c>
      <c r="F495" s="51" t="n">
        <v>2</v>
      </c>
      <c r="G495" s="51" t="n">
        <v>2024</v>
      </c>
      <c r="H495" s="52" t="inlineStr">
        <is>
          <t>https://web.archive.org/web/2024/https://www.farmers.com/</t>
        </is>
      </c>
      <c r="I495" s="52" t="inlineStr">
        <is>
          <t>Archive</t>
        </is>
      </c>
      <c r="J495" s="51" t="inlineStr">
        <is>
          <t>No</t>
        </is>
      </c>
      <c r="K495" s="52" t="inlineStr"/>
    </row>
    <row r="496" ht="23.25" customHeight="1" s="42">
      <c r="A496" s="52" t="inlineStr">
        <is>
          <t>Electronic Arts</t>
        </is>
      </c>
      <c r="B496" s="52" t="inlineStr">
        <is>
          <t>p_generic_post</t>
        </is>
      </c>
      <c r="C496" s="52" t="inlineStr">
        <is>
          <t>Annual Pride campaigns and posts</t>
        </is>
      </c>
      <c r="D496" s="51" t="inlineStr">
        <is>
          <t>Cosmetic</t>
        </is>
      </c>
      <c r="E496" s="51" t="inlineStr">
        <is>
          <t>Positive</t>
        </is>
      </c>
      <c r="F496" s="51" t="n">
        <v>2</v>
      </c>
      <c r="G496" s="51" t="n">
        <v>2024</v>
      </c>
      <c r="H496" s="52" t="inlineStr">
        <is>
          <t>https://web.archive.org/web/2024/https://www.ea.com/</t>
        </is>
      </c>
      <c r="I496" s="52" t="inlineStr">
        <is>
          <t>Archive</t>
        </is>
      </c>
      <c r="J496" s="51" t="inlineStr">
        <is>
          <t>No</t>
        </is>
      </c>
      <c r="K496" s="52" t="inlineStr"/>
    </row>
    <row r="497" ht="23.25" customHeight="1" s="42">
      <c r="A497" s="52" t="inlineStr">
        <is>
          <t>Electronic Arts</t>
        </is>
      </c>
      <c r="B497" s="52" t="inlineStr">
        <is>
          <t>p_collab</t>
        </is>
      </c>
      <c r="C497" s="52" t="inlineStr">
        <is>
          <t>Inclusive game content: The Sims same-sex relationships (2000—), customizable pronouns (2022—), queer characters across franchises</t>
        </is>
      </c>
      <c r="D497" s="51" t="inlineStr">
        <is>
          <t>Commercial</t>
        </is>
      </c>
      <c r="E497" s="51" t="inlineStr">
        <is>
          <t>Positive</t>
        </is>
      </c>
      <c r="F497" s="51" t="n">
        <v>8</v>
      </c>
      <c r="G497" s="51" t="n">
        <v>2022</v>
      </c>
      <c r="H497" s="52" t="inlineStr">
        <is>
          <t>https://en.wikipedia.org/wiki/LGBT_themes_in_video_games</t>
        </is>
      </c>
      <c r="I497" s="52" t="inlineStr">
        <is>
          <t>News</t>
        </is>
      </c>
      <c r="J497" s="51" t="inlineStr">
        <is>
          <t>No</t>
        </is>
      </c>
      <c r="K497" s="52" t="inlineStr"/>
    </row>
    <row r="498" ht="23.25" customHeight="1" s="42">
      <c r="A498" s="52" t="inlineStr">
        <is>
          <t>Electronic Arts</t>
        </is>
      </c>
      <c r="B498" s="52" t="inlineStr">
        <is>
          <t>p_erg_support</t>
        </is>
      </c>
      <c r="C498" s="52" t="inlineStr">
        <is>
          <t>Funded Pride employee resource group</t>
        </is>
      </c>
      <c r="D498" s="51" t="inlineStr">
        <is>
          <t>Civic</t>
        </is>
      </c>
      <c r="E498" s="51" t="inlineStr">
        <is>
          <t>Positive</t>
        </is>
      </c>
      <c r="F498" s="51" t="n">
        <v>15</v>
      </c>
      <c r="G498" s="51" t="n">
        <v>2024</v>
      </c>
      <c r="H498" s="52" t="inlineStr">
        <is>
          <t>https://web.archive.org/web/2024/https://www.ea.com/commitments/inclusion-and-diversity</t>
        </is>
      </c>
      <c r="I498" s="52" t="inlineStr">
        <is>
          <t>Archive</t>
        </is>
      </c>
      <c r="J498" s="51" t="inlineStr">
        <is>
          <t>No</t>
        </is>
      </c>
      <c r="K498" s="52" t="inlineStr"/>
    </row>
    <row r="499" ht="23.25" customHeight="1" s="42">
      <c r="A499" s="52" t="inlineStr">
        <is>
          <t>Take-Two Interactive</t>
        </is>
      </c>
      <c r="B499" s="52" t="inlineStr">
        <is>
          <t>p_generic_post</t>
        </is>
      </c>
      <c r="C499" s="52" t="inlineStr">
        <is>
          <t>Occasional Pride posts</t>
        </is>
      </c>
      <c r="D499" s="51" t="inlineStr">
        <is>
          <t>Cosmetic</t>
        </is>
      </c>
      <c r="E499" s="51" t="inlineStr">
        <is>
          <t>Positive</t>
        </is>
      </c>
      <c r="F499" s="51" t="n">
        <v>2</v>
      </c>
      <c r="G499" s="51" t="n">
        <v>2024</v>
      </c>
      <c r="H499" s="52" t="inlineStr">
        <is>
          <t>https://web.archive.org/web/2024/https://www.take2games.com/</t>
        </is>
      </c>
      <c r="I499" s="52" t="inlineStr">
        <is>
          <t>Archive</t>
        </is>
      </c>
      <c r="J499" s="51" t="inlineStr">
        <is>
          <t>No</t>
        </is>
      </c>
      <c r="K499" s="52" t="inlineStr"/>
    </row>
    <row r="500" ht="23.25" customHeight="1" s="42">
      <c r="A500" s="52" t="inlineStr">
        <is>
          <t>The New York Times Company</t>
        </is>
      </c>
      <c r="B500" s="52" t="inlineStr">
        <is>
          <t>p_generic_post</t>
        </is>
      </c>
      <c r="C500" s="52" t="inlineStr">
        <is>
          <t>Pride engagement and inclusive workplace programs</t>
        </is>
      </c>
      <c r="D500" s="51" t="inlineStr">
        <is>
          <t>Cosmetic</t>
        </is>
      </c>
      <c r="E500" s="51" t="inlineStr">
        <is>
          <t>Positive</t>
        </is>
      </c>
      <c r="F500" s="51" t="n">
        <v>2</v>
      </c>
      <c r="G500" s="51" t="n">
        <v>2024</v>
      </c>
      <c r="H500" s="52" t="inlineStr">
        <is>
          <t>https://web.archive.org/web/2024/https://www.nytco.com/</t>
        </is>
      </c>
      <c r="I500" s="52" t="inlineStr">
        <is>
          <t>Archive</t>
        </is>
      </c>
      <c r="J500" s="51" t="inlineStr">
        <is>
          <t>No</t>
        </is>
      </c>
      <c r="K500" s="52" t="inlineStr"/>
    </row>
    <row r="501" ht="23.25" customHeight="1" s="42">
      <c r="A501" s="52" t="inlineStr">
        <is>
          <t>The New York Times Company</t>
        </is>
      </c>
      <c r="B501" s="52" t="inlineStr">
        <is>
          <t>p_erg_support</t>
        </is>
      </c>
      <c r="C501" s="52" t="inlineStr">
        <is>
          <t>Funded LGBTQ+ employee resource group</t>
        </is>
      </c>
      <c r="D501" s="51" t="inlineStr">
        <is>
          <t>Civic</t>
        </is>
      </c>
      <c r="E501" s="51" t="inlineStr">
        <is>
          <t>Positive</t>
        </is>
      </c>
      <c r="F501" s="51" t="n">
        <v>15</v>
      </c>
      <c r="G501" s="51" t="n">
        <v>2024</v>
      </c>
      <c r="H501" s="52" t="inlineStr">
        <is>
          <t>https://web.archive.org/web/2024/https://www.nytco.com/careers/</t>
        </is>
      </c>
      <c r="I501" s="52" t="inlineStr">
        <is>
          <t>Archive</t>
        </is>
      </c>
      <c r="J501" s="51" t="inlineStr">
        <is>
          <t>No</t>
        </is>
      </c>
      <c r="K501" s="52" t="inlineStr"/>
    </row>
    <row r="502" ht="23.25" customHeight="1" s="42">
      <c r="A502" s="52" t="inlineStr">
        <is>
          <t>The New York Times Company</t>
        </is>
      </c>
      <c r="B502" s="52" t="inlineStr">
        <is>
          <t>n_selective</t>
        </is>
      </c>
      <c r="C502" s="52" t="inlineStr">
        <is>
          <t>Trans coverage criticized in 2023 open letter from GLAAD and 1,000+ contributors; leadership defended the coverage</t>
        </is>
      </c>
      <c r="D502" s="51" t="inlineStr">
        <is>
          <t>—</t>
        </is>
      </c>
      <c r="E502" s="51" t="inlineStr">
        <is>
          <t>Negative</t>
        </is>
      </c>
      <c r="F502" s="51" t="n">
        <v>-10</v>
      </c>
      <c r="G502" s="51" t="n">
        <v>2023</v>
      </c>
      <c r="H502" s="52" t="inlineStr">
        <is>
          <t>https://en.wikipedia.org/wiki/New_York_Times_contributor_letter</t>
        </is>
      </c>
      <c r="I502" s="52" t="inlineStr">
        <is>
          <t>News</t>
        </is>
      </c>
      <c r="J502" s="51" t="inlineStr">
        <is>
          <t>No</t>
        </is>
      </c>
      <c r="K502" s="52" t="inlineStr"/>
    </row>
    <row r="503" ht="23.25" customHeight="1" s="42">
      <c r="A503" s="52" t="inlineStr">
        <is>
          <t>iHeartMedia</t>
        </is>
      </c>
      <c r="B503" s="52" t="inlineStr">
        <is>
          <t>p_generic_post</t>
        </is>
      </c>
      <c r="C503" s="52" t="inlineStr">
        <is>
          <t>Pride programming and posts</t>
        </is>
      </c>
      <c r="D503" s="51" t="inlineStr">
        <is>
          <t>Cosmetic</t>
        </is>
      </c>
      <c r="E503" s="51" t="inlineStr">
        <is>
          <t>Positive</t>
        </is>
      </c>
      <c r="F503" s="51" t="n">
        <v>2</v>
      </c>
      <c r="G503" s="51" t="n">
        <v>2024</v>
      </c>
      <c r="H503" s="52" t="inlineStr">
        <is>
          <t>https://web.archive.org/web/2024/https://www.iheartmedia.com/</t>
        </is>
      </c>
      <c r="I503" s="52" t="inlineStr">
        <is>
          <t>Archive</t>
        </is>
      </c>
      <c r="J503" s="51" t="inlineStr">
        <is>
          <t>No</t>
        </is>
      </c>
      <c r="K503" s="52" t="inlineStr"/>
    </row>
    <row r="504" ht="23.25" customHeight="1" s="42">
      <c r="A504" s="52" t="inlineStr">
        <is>
          <t>Kaiser Permanente</t>
        </is>
      </c>
      <c r="B504" s="52" t="inlineStr">
        <is>
          <t>p_generic_post</t>
        </is>
      </c>
      <c r="C504" s="52" t="inlineStr">
        <is>
          <t>Pride posts and regional Pride sponsorships</t>
        </is>
      </c>
      <c r="D504" s="51" t="inlineStr">
        <is>
          <t>Cosmetic</t>
        </is>
      </c>
      <c r="E504" s="51" t="inlineStr">
        <is>
          <t>Positive</t>
        </is>
      </c>
      <c r="F504" s="51" t="n">
        <v>2</v>
      </c>
      <c r="G504" s="51" t="n">
        <v>2024</v>
      </c>
      <c r="H504" s="52" t="inlineStr">
        <is>
          <t>https://web.archive.org/web/2024/https://about.kaiserpermanente.org/</t>
        </is>
      </c>
      <c r="I504" s="52" t="inlineStr">
        <is>
          <t>Archive</t>
        </is>
      </c>
      <c r="J504" s="51" t="inlineStr">
        <is>
          <t>No</t>
        </is>
      </c>
      <c r="K504" s="52" t="inlineStr"/>
    </row>
    <row r="505" ht="23.25" customHeight="1" s="42">
      <c r="A505" s="52" t="inlineStr">
        <is>
          <t>Kaiser Permanente</t>
        </is>
      </c>
      <c r="B505" s="52" t="inlineStr">
        <is>
          <t>p_erg_support</t>
        </is>
      </c>
      <c r="C505" s="52" t="inlineStr">
        <is>
          <t>Funded LGBTQ+ employee resource group</t>
        </is>
      </c>
      <c r="D505" s="51" t="inlineStr">
        <is>
          <t>Civic</t>
        </is>
      </c>
      <c r="E505" s="51" t="inlineStr">
        <is>
          <t>Positive</t>
        </is>
      </c>
      <c r="F505" s="51" t="n">
        <v>15</v>
      </c>
      <c r="G505" s="51" t="n">
        <v>2024</v>
      </c>
      <c r="H505" s="52" t="inlineStr">
        <is>
          <t>https://web.archive.org/web/2024/https://about.kaiserpermanente.org/commitments-and-impact/equity-inclusion-and-diversity</t>
        </is>
      </c>
      <c r="I505" s="52" t="inlineStr">
        <is>
          <t>Archive</t>
        </is>
      </c>
      <c r="J505" s="51" t="inlineStr">
        <is>
          <t>No</t>
        </is>
      </c>
      <c r="K505" s="52" t="inlineStr"/>
    </row>
    <row r="506" ht="23.25" customHeight="1" s="42">
      <c r="A506" s="52" t="inlineStr">
        <is>
          <t>Kaiser Permanente</t>
        </is>
      </c>
      <c r="B506" s="52" t="inlineStr">
        <is>
          <t>p_benefits</t>
        </is>
      </c>
      <c r="C506" s="52" t="inlineStr">
        <is>
          <t>Provider and insurer of gender-affirming care with dedicated transgender health programs; HEI top ratings</t>
        </is>
      </c>
      <c r="D506" s="51" t="inlineStr">
        <is>
          <t>Structural</t>
        </is>
      </c>
      <c r="E506" s="51" t="inlineStr">
        <is>
          <t>Positive</t>
        </is>
      </c>
      <c r="F506" s="51" t="n">
        <v>22</v>
      </c>
      <c r="G506" s="51" t="n">
        <v>2024</v>
      </c>
      <c r="H506" s="52" t="inlineStr">
        <is>
          <t>https://about.kaiserpermanente.org/health-and-wellness/health-equity/lgbtq-health</t>
        </is>
      </c>
      <c r="I506" s="52" t="inlineStr">
        <is>
          <t>Company</t>
        </is>
      </c>
      <c r="J506" s="51" t="inlineStr">
        <is>
          <t>No</t>
        </is>
      </c>
      <c r="K506" s="52" t="inlineStr"/>
    </row>
    <row r="507" ht="23.25" customHeight="1" s="42">
      <c r="A507" s="52" t="inlineStr">
        <is>
          <t>Quest Diagnostics</t>
        </is>
      </c>
      <c r="B507" s="52" t="inlineStr">
        <is>
          <t>p_generic_post</t>
        </is>
      </c>
      <c r="C507" s="52" t="inlineStr">
        <is>
          <t>Occasional Pride posts</t>
        </is>
      </c>
      <c r="D507" s="51" t="inlineStr">
        <is>
          <t>Cosmetic</t>
        </is>
      </c>
      <c r="E507" s="51" t="inlineStr">
        <is>
          <t>Positive</t>
        </is>
      </c>
      <c r="F507" s="51" t="n">
        <v>2</v>
      </c>
      <c r="G507" s="51" t="n">
        <v>2024</v>
      </c>
      <c r="H507" s="52" t="inlineStr">
        <is>
          <t>https://web.archive.org/web/2024/https://www.questdiagnostics.com/</t>
        </is>
      </c>
      <c r="I507" s="52" t="inlineStr">
        <is>
          <t>Archive</t>
        </is>
      </c>
      <c r="J507" s="51" t="inlineStr">
        <is>
          <t>No</t>
        </is>
      </c>
      <c r="K507" s="52" t="inlineStr"/>
    </row>
    <row r="508" ht="23.25" customHeight="1" s="42">
      <c r="A508" s="52" t="inlineStr">
        <is>
          <t>AMD</t>
        </is>
      </c>
      <c r="B508" s="52" t="inlineStr">
        <is>
          <t>p_generic_post</t>
        </is>
      </c>
      <c r="C508" s="52" t="inlineStr">
        <is>
          <t>Pride posts and engagement</t>
        </is>
      </c>
      <c r="D508" s="51" t="inlineStr">
        <is>
          <t>Cosmetic</t>
        </is>
      </c>
      <c r="E508" s="51" t="inlineStr">
        <is>
          <t>Positive</t>
        </is>
      </c>
      <c r="F508" s="51" t="n">
        <v>2</v>
      </c>
      <c r="G508" s="51" t="n">
        <v>2024</v>
      </c>
      <c r="H508" s="52" t="inlineStr">
        <is>
          <t>https://web.archive.org/web/2024/https://www.amd.com/en/corporate/corporate-responsibility/diversity-belonging.html</t>
        </is>
      </c>
      <c r="I508" s="52" t="inlineStr">
        <is>
          <t>Archive</t>
        </is>
      </c>
      <c r="J508" s="51" t="inlineStr">
        <is>
          <t>No</t>
        </is>
      </c>
      <c r="K508" s="52" t="inlineStr"/>
    </row>
    <row r="509" ht="23.25" customHeight="1" s="42">
      <c r="A509" s="52" t="inlineStr">
        <is>
          <t>AMD</t>
        </is>
      </c>
      <c r="B509" s="52" t="inlineStr">
        <is>
          <t>p_benefits</t>
        </is>
      </c>
      <c r="C509" s="52" t="inlineStr">
        <is>
          <t>Inclusive partner and gender-affirming benefits (CEI-verified)</t>
        </is>
      </c>
      <c r="D509" s="51" t="inlineStr">
        <is>
          <t>Structural</t>
        </is>
      </c>
      <c r="E509" s="51" t="inlineStr">
        <is>
          <t>Positive</t>
        </is>
      </c>
      <c r="F509" s="51" t="n">
        <v>22</v>
      </c>
      <c r="G509" s="51" t="n">
        <v>2024</v>
      </c>
      <c r="H509" s="52" t="inlineStr">
        <is>
          <t>https://reports.hrc.org/corporate-equality-index-2025</t>
        </is>
      </c>
      <c r="I509" s="52" t="inlineStr">
        <is>
          <t>HRC</t>
        </is>
      </c>
      <c r="J509" s="51" t="inlineStr">
        <is>
          <t>No</t>
        </is>
      </c>
      <c r="K509" s="52" t="inlineStr"/>
    </row>
    <row r="510" ht="23.25" customHeight="1" s="42">
      <c r="A510" s="52" t="inlineStr">
        <is>
          <t>Booz Allen Hamilton</t>
        </is>
      </c>
      <c r="B510" s="52" t="inlineStr">
        <is>
          <t>p_generic_post</t>
        </is>
      </c>
      <c r="C510" s="52" t="inlineStr">
        <is>
          <t>Pride posts and engagement (through 2024)</t>
        </is>
      </c>
      <c r="D510" s="51" t="inlineStr">
        <is>
          <t>Cosmetic</t>
        </is>
      </c>
      <c r="E510" s="51" t="inlineStr">
        <is>
          <t>Positive</t>
        </is>
      </c>
      <c r="F510" s="51" t="n">
        <v>2</v>
      </c>
      <c r="G510" s="51" t="n">
        <v>2024</v>
      </c>
      <c r="H510" s="52" t="inlineStr">
        <is>
          <t>https://web.archive.org/web/2024/https://www.boozallen.com/about/diversity-equity-and-inclusion.html</t>
        </is>
      </c>
      <c r="I510" s="52" t="inlineStr">
        <is>
          <t>Archive</t>
        </is>
      </c>
      <c r="J510" s="51" t="inlineStr">
        <is>
          <t>No</t>
        </is>
      </c>
      <c r="K510" s="52" t="inlineStr"/>
    </row>
    <row r="511" ht="23.25" customHeight="1" s="42">
      <c r="A511" s="52" t="inlineStr">
        <is>
          <t>Booz Allen Hamilton</t>
        </is>
      </c>
      <c r="B511" s="52" t="inlineStr">
        <is>
          <t>p_parade_sponsor</t>
        </is>
      </c>
      <c r="C511" s="52" t="inlineStr">
        <is>
          <t>WorldPride/Capital Pride sponsorship (dropped 2025)</t>
        </is>
      </c>
      <c r="D511" s="51" t="inlineStr">
        <is>
          <t>Civic</t>
        </is>
      </c>
      <c r="E511" s="51" t="inlineStr">
        <is>
          <t>Positive</t>
        </is>
      </c>
      <c r="F511" s="51" t="n">
        <v>12</v>
      </c>
      <c r="G511" s="51" t="n">
        <v>2024</v>
      </c>
      <c r="H511" s="52" t="inlineStr">
        <is>
          <t>https://www.advocate.com/news/booz-allen-hamilton-worldpride-sponsorship</t>
        </is>
      </c>
      <c r="I511" s="52" t="inlineStr">
        <is>
          <t>News</t>
        </is>
      </c>
      <c r="J511" s="51" t="inlineStr">
        <is>
          <t>No</t>
        </is>
      </c>
      <c r="K511" s="52" t="inlineStr"/>
    </row>
    <row r="512" ht="23.25" customHeight="1" s="42">
      <c r="A512" s="52" t="inlineStr">
        <is>
          <t>Booz Allen Hamilton</t>
        </is>
      </c>
      <c r="B512" s="52" t="inlineStr">
        <is>
          <t>p_erg_support</t>
        </is>
      </c>
      <c r="C512" s="52" t="inlineStr">
        <is>
          <t>Funded LGBTQ+ employee resource group</t>
        </is>
      </c>
      <c r="D512" s="51" t="inlineStr">
        <is>
          <t>Civic</t>
        </is>
      </c>
      <c r="E512" s="51" t="inlineStr">
        <is>
          <t>Positive</t>
        </is>
      </c>
      <c r="F512" s="51" t="n">
        <v>15</v>
      </c>
      <c r="G512" s="51" t="n">
        <v>2024</v>
      </c>
      <c r="H512" s="52" t="inlineStr">
        <is>
          <t>https://web.archive.org/web/2024/https://www.boozallen.com/about/diversity-equity-and-inclusion.html</t>
        </is>
      </c>
      <c r="I512" s="52" t="inlineStr">
        <is>
          <t>Archive</t>
        </is>
      </c>
      <c r="J512" s="51" t="inlineStr">
        <is>
          <t>No</t>
        </is>
      </c>
      <c r="K512" s="52" t="inlineStr"/>
    </row>
    <row r="513" ht="23.25" customHeight="1" s="42">
      <c r="A513" s="52" t="inlineStr">
        <is>
          <t>Booz Allen Hamilton</t>
        </is>
      </c>
      <c r="B513" s="52" t="inlineStr">
        <is>
          <t>n_dei_removal</t>
        </is>
      </c>
      <c r="C513" s="52" t="inlineStr">
        <is>
          <t>Scrapped DEI programs citing federal contract eligibility risk (CPO town hall, Bloomberg)</t>
        </is>
      </c>
      <c r="D513" s="51" t="inlineStr">
        <is>
          <t>—</t>
        </is>
      </c>
      <c r="E513" s="51" t="inlineStr">
        <is>
          <t>Negative</t>
        </is>
      </c>
      <c r="F513" s="51" t="n">
        <v>-32</v>
      </c>
      <c r="G513" s="51" t="n">
        <v>2025</v>
      </c>
      <c r="H513" s="52" t="inlineStr">
        <is>
          <t>https://www.bloomberg.com/news/articles/2025-02-07/booz-allen-scraps-dei-programs-in-reaction-to-trump-orders</t>
        </is>
      </c>
      <c r="I513" s="52" t="inlineStr">
        <is>
          <t>News</t>
        </is>
      </c>
      <c r="J513" s="51" t="inlineStr">
        <is>
          <t>Yes</t>
        </is>
      </c>
      <c r="K513" s="52" t="inlineStr"/>
    </row>
    <row r="514" ht="23.25" customHeight="1" s="42">
      <c r="A514" s="52" t="inlineStr">
        <is>
          <t>Booz Allen Hamilton</t>
        </is>
      </c>
      <c r="B514" s="52" t="inlineStr">
        <is>
          <t>n_pride_retreat</t>
        </is>
      </c>
      <c r="C514" s="52" t="inlineStr">
        <is>
          <t>Dropped WorldPride 2025 sponsorship in Washington DC after ending DEI</t>
        </is>
      </c>
      <c r="D514" s="51" t="inlineStr">
        <is>
          <t>—</t>
        </is>
      </c>
      <c r="E514" s="51" t="inlineStr">
        <is>
          <t>Negative</t>
        </is>
      </c>
      <c r="F514" s="51" t="n">
        <v>-22</v>
      </c>
      <c r="G514" s="51" t="n">
        <v>2025</v>
      </c>
      <c r="H514" s="52" t="inlineStr">
        <is>
          <t>https://www.advocate.com/news/booz-allen-hamilton-worldpride-sponsorship</t>
        </is>
      </c>
      <c r="I514" s="52" t="inlineStr">
        <is>
          <t>News</t>
        </is>
      </c>
      <c r="J514" s="51" t="inlineStr">
        <is>
          <t>Yes</t>
        </is>
      </c>
      <c r="K514" s="52" t="inlineStr"/>
    </row>
    <row r="515">
      <c r="A515" s="52" t="inlineStr">
        <is>
          <t>AT&amp;T</t>
        </is>
      </c>
      <c r="B515" s="52" t="inlineStr">
        <is>
          <t>n_anti_lgbtq_donations</t>
        </is>
      </c>
      <c r="C515" s="52" t="inlineStr">
        <is>
          <t>Documented $307,138 to 67 anti-LGBTQ+ bill sponsors across 6 states (2019-2022, Data for Progress); plus $1,269,650 to anti-LGBTQ+ federal/state politicians, RGA, RSLC and RAGA since Nov 2022 (Popular Information)</t>
        </is>
      </c>
      <c r="D515" s="51" t="inlineStr">
        <is>
          <t>—</t>
        </is>
      </c>
      <c r="E515" s="51" t="inlineStr">
        <is>
          <t>Negative</t>
        </is>
      </c>
      <c r="F515" s="51" t="n">
        <v>-30</v>
      </c>
      <c r="G515" s="51" t="n">
        <v>2021</v>
      </c>
      <c r="H515" s="52" t="inlineStr">
        <is>
          <t>https://popular.info/p/these-25-rainbow-flag-waving-companies</t>
        </is>
      </c>
      <c r="I515" s="52" t="inlineStr">
        <is>
          <t>FEC/State records</t>
        </is>
      </c>
      <c r="J515" s="51" t="inlineStr">
        <is>
          <t>No</t>
        </is>
      </c>
      <c r="K515" s="52" t="inlineStr">
        <is>
          <t>DFP dataset: https://www.filesforprogress.org/datasets/2022/5/AccountableAllies-Data.pdf</t>
        </is>
      </c>
    </row>
    <row r="516">
      <c r="A516" s="52" t="inlineStr">
        <is>
          <t>Comcast / Xfinity</t>
        </is>
      </c>
      <c r="B516" s="52" t="inlineStr">
        <is>
          <t>n_anti_lgbtq_donations</t>
        </is>
      </c>
      <c r="C516" s="52" t="inlineStr">
        <is>
          <t>Documented $121,350 to 40 anti-LGBTQ+ bill sponsors across 4 states (2019-2022, DFP); plus $1,224,000 to anti-LGBTQ+ politicians and RGA/RSLC/RAGA since Nov 2022 (Popular Information)</t>
        </is>
      </c>
      <c r="D516" s="51" t="inlineStr">
        <is>
          <t>—</t>
        </is>
      </c>
      <c r="E516" s="51" t="inlineStr">
        <is>
          <t>Negative</t>
        </is>
      </c>
      <c r="F516" s="51" t="n">
        <v>-30</v>
      </c>
      <c r="G516" s="51" t="n">
        <v>2021</v>
      </c>
      <c r="H516" s="52" t="inlineStr">
        <is>
          <t>https://popular.info/p/these-25-rainbow-flag-waving-companies</t>
        </is>
      </c>
      <c r="I516" s="52" t="inlineStr">
        <is>
          <t>FEC/State records</t>
        </is>
      </c>
      <c r="J516" s="51" t="inlineStr">
        <is>
          <t>No</t>
        </is>
      </c>
      <c r="K516" s="52" t="inlineStr">
        <is>
          <t>DFP dataset: https://www.filesforprogress.org/datasets/2022/5/AccountableAllies-Data.pdf</t>
        </is>
      </c>
    </row>
    <row r="517">
      <c r="A517" s="52" t="inlineStr">
        <is>
          <t>Walmart</t>
        </is>
      </c>
      <c r="B517" s="52" t="inlineStr">
        <is>
          <t>n_anti_lgbtq_donations</t>
        </is>
      </c>
      <c r="C517" s="52" t="inlineStr">
        <is>
          <t>Documented $965,000 since Nov 2022 to anti-LGBTQ+ politicians: $280,500 to 79 zero-HRC-rated members of Congress, $535,000 to RGA, $135,000 to RSLC, plus state sponsors of anti-trans laws (Popular Information)</t>
        </is>
      </c>
      <c r="D517" s="51" t="inlineStr">
        <is>
          <t>—</t>
        </is>
      </c>
      <c r="E517" s="51" t="inlineStr">
        <is>
          <t>Negative</t>
        </is>
      </c>
      <c r="F517" s="51" t="n">
        <v>-30</v>
      </c>
      <c r="G517" s="51" t="n">
        <v>2023</v>
      </c>
      <c r="H517" s="52" t="inlineStr">
        <is>
          <t>https://popular.info/p/these-25-rainbow-flag-waving-companies</t>
        </is>
      </c>
      <c r="I517" s="52" t="inlineStr">
        <is>
          <t>FEC/State records</t>
        </is>
      </c>
      <c r="J517" s="51" t="inlineStr">
        <is>
          <t>No</t>
        </is>
      </c>
      <c r="K517" s="52" t="inlineStr"/>
    </row>
    <row r="518">
      <c r="A518" s="52" t="inlineStr">
        <is>
          <t>UnitedHealth Group</t>
        </is>
      </c>
      <c r="B518" s="52" t="inlineStr">
        <is>
          <t>n_anti_lgbtq_donations</t>
        </is>
      </c>
      <c r="C518" s="52" t="inlineStr">
        <is>
          <t>Documented $1,028,750 since Nov 2022: $188,000 to 35 zero-HRC-rated members of Congress, $650,000 to RGA, $150,000 to RSLC, $40,750 to state sponsors of anti-LGBTQ+ laws incl. Idaho gender-affirming-care funding ban (Popular Information)</t>
        </is>
      </c>
      <c r="D518" s="51" t="inlineStr">
        <is>
          <t>—</t>
        </is>
      </c>
      <c r="E518" s="51" t="inlineStr">
        <is>
          <t>Negative</t>
        </is>
      </c>
      <c r="F518" s="51" t="n">
        <v>-30</v>
      </c>
      <c r="G518" s="51" t="n">
        <v>2023</v>
      </c>
      <c r="H518" s="52" t="inlineStr">
        <is>
          <t>https://popular.info/p/these-25-rainbow-flag-waving-companies</t>
        </is>
      </c>
      <c r="I518" s="52" t="inlineStr">
        <is>
          <t>FEC/State records</t>
        </is>
      </c>
      <c r="J518" s="51" t="inlineStr">
        <is>
          <t>No</t>
        </is>
      </c>
      <c r="K518" s="52" t="inlineStr"/>
    </row>
    <row r="519">
      <c r="A519" s="52" t="inlineStr">
        <is>
          <t>CVS Health</t>
        </is>
      </c>
      <c r="B519" s="52" t="inlineStr">
        <is>
          <t>n_anti_lgbtq_donations</t>
        </is>
      </c>
      <c r="C519" s="52" t="inlineStr">
        <is>
          <t>Documented $1,079,485 since Nov 2022: $127,000 to 23 zero-HRC-rated members of Congress, $550,000 to RGA, $260,000 to RSLC, $125,325 to RAGA, plus state sponsors (Popular Information)</t>
        </is>
      </c>
      <c r="D519" s="51" t="inlineStr">
        <is>
          <t>—</t>
        </is>
      </c>
      <c r="E519" s="51" t="inlineStr">
        <is>
          <t>Negative</t>
        </is>
      </c>
      <c r="F519" s="51" t="n">
        <v>-30</v>
      </c>
      <c r="G519" s="51" t="n">
        <v>2023</v>
      </c>
      <c r="H519" s="52" t="inlineStr">
        <is>
          <t>https://popular.info/p/these-25-rainbow-flag-waving-companies</t>
        </is>
      </c>
      <c r="I519" s="52" t="inlineStr">
        <is>
          <t>FEC/State records</t>
        </is>
      </c>
      <c r="J519" s="51" t="inlineStr">
        <is>
          <t>No</t>
        </is>
      </c>
      <c r="K519" s="52" t="inlineStr"/>
    </row>
    <row r="520">
      <c r="A520" s="52" t="inlineStr">
        <is>
          <t>Toyota USA</t>
        </is>
      </c>
      <c r="B520" s="52" t="inlineStr">
        <is>
          <t>n_anti_lgbtq_donations</t>
        </is>
      </c>
      <c r="C520" s="52" t="inlineStr">
        <is>
          <t>Documented $601,500 to 7 anti-LGBTQ+ bill sponsors across 3 states, 2019-2022 — the largest corporate total in the Data for Progress analysis</t>
        </is>
      </c>
      <c r="D520" s="51" t="inlineStr">
        <is>
          <t>—</t>
        </is>
      </c>
      <c r="E520" s="51" t="inlineStr">
        <is>
          <t>Negative</t>
        </is>
      </c>
      <c r="F520" s="51" t="n">
        <v>-30</v>
      </c>
      <c r="G520" s="51" t="n">
        <v>2021</v>
      </c>
      <c r="H520" s="52" t="inlineStr">
        <is>
          <t>https://www.filesforprogress.org/datasets/2022/5/AccountableAllies-Data.pdf</t>
        </is>
      </c>
      <c r="I520" s="52" t="inlineStr">
        <is>
          <t>FEC/State records</t>
        </is>
      </c>
      <c r="J520" s="51" t="inlineStr">
        <is>
          <t>No</t>
        </is>
      </c>
      <c r="K520" s="52" t="inlineStr"/>
    </row>
    <row r="521">
      <c r="A521" s="52" t="inlineStr">
        <is>
          <t>Charter / Spectrum</t>
        </is>
      </c>
      <c r="B521" s="52" t="inlineStr">
        <is>
          <t>n_anti_lgbtq_donations</t>
        </is>
      </c>
      <c r="C521" s="52" t="inlineStr">
        <is>
          <t>Documented $168,077 to 34 anti-LGBTQ+ bill sponsors across 5 states, 2019-2022 (Data for Progress)</t>
        </is>
      </c>
      <c r="D521" s="51" t="inlineStr">
        <is>
          <t>—</t>
        </is>
      </c>
      <c r="E521" s="51" t="inlineStr">
        <is>
          <t>Negative</t>
        </is>
      </c>
      <c r="F521" s="51" t="n">
        <v>-30</v>
      </c>
      <c r="G521" s="51" t="n">
        <v>2021</v>
      </c>
      <c r="H521" s="52" t="inlineStr">
        <is>
          <t>https://www.filesforprogress.org/datasets/2022/5/AccountableAllies-Data.pdf</t>
        </is>
      </c>
      <c r="I521" s="52" t="inlineStr">
        <is>
          <t>FEC/State records</t>
        </is>
      </c>
      <c r="J521" s="51" t="inlineStr">
        <is>
          <t>No</t>
        </is>
      </c>
      <c r="K521" s="52" t="inlineStr"/>
    </row>
    <row r="522">
      <c r="A522" s="52" t="inlineStr">
        <is>
          <t>Amazon</t>
        </is>
      </c>
      <c r="B522" s="52" t="inlineStr">
        <is>
          <t>n_anti_lgbtq_donations</t>
        </is>
      </c>
      <c r="C522" s="52" t="inlineStr">
        <is>
          <t>Documented $87,900 to 17 anti-LGBTQ+ bill sponsors, 2019-2022 (Data for Progress)</t>
        </is>
      </c>
      <c r="D522" s="51" t="inlineStr">
        <is>
          <t>—</t>
        </is>
      </c>
      <c r="E522" s="51" t="inlineStr">
        <is>
          <t>Negative</t>
        </is>
      </c>
      <c r="F522" s="51" t="n">
        <v>-30</v>
      </c>
      <c r="G522" s="51" t="n">
        <v>2021</v>
      </c>
      <c r="H522" s="52" t="inlineStr">
        <is>
          <t>https://www.filesforprogress.org/datasets/2022/5/AccountableAllies-Data.pdf</t>
        </is>
      </c>
      <c r="I522" s="52" t="inlineStr">
        <is>
          <t>FEC/State records</t>
        </is>
      </c>
      <c r="J522" s="51" t="inlineStr">
        <is>
          <t>No</t>
        </is>
      </c>
      <c r="K522" s="52" t="inlineStr"/>
    </row>
    <row r="523">
      <c r="A523" s="52" t="inlineStr">
        <is>
          <t>FedEx</t>
        </is>
      </c>
      <c r="B523" s="52" t="inlineStr">
        <is>
          <t>n_anti_lgbtq_donations</t>
        </is>
      </c>
      <c r="C523" s="52" t="inlineStr">
        <is>
          <t>Documented $79,700 to 24 anti-LGBTQ+ bill sponsors across 2 states, 2019-2022 (Data for Progress)</t>
        </is>
      </c>
      <c r="D523" s="51" t="inlineStr">
        <is>
          <t>—</t>
        </is>
      </c>
      <c r="E523" s="51" t="inlineStr">
        <is>
          <t>Negative</t>
        </is>
      </c>
      <c r="F523" s="51" t="n">
        <v>-30</v>
      </c>
      <c r="G523" s="51" t="n">
        <v>2021</v>
      </c>
      <c r="H523" s="52" t="inlineStr">
        <is>
          <t>https://www.filesforprogress.org/datasets/2022/5/AccountableAllies-Data.pdf</t>
        </is>
      </c>
      <c r="I523" s="52" t="inlineStr">
        <is>
          <t>FEC/State records</t>
        </is>
      </c>
      <c r="J523" s="51" t="inlineStr">
        <is>
          <t>No</t>
        </is>
      </c>
      <c r="K523" s="52" t="inlineStr"/>
    </row>
    <row r="524">
      <c r="A524" s="52" t="inlineStr">
        <is>
          <t>State Farm</t>
        </is>
      </c>
      <c r="B524" s="52" t="inlineStr">
        <is>
          <t>n_anti_lgbtq_donations</t>
        </is>
      </c>
      <c r="C524" s="52" t="inlineStr">
        <is>
          <t>Documented $79,550 to 32 anti-LGBTQ+ bill sponsors across 3 states, 2019-2022 (Data for Progress)</t>
        </is>
      </c>
      <c r="D524" s="51" t="inlineStr">
        <is>
          <t>—</t>
        </is>
      </c>
      <c r="E524" s="51" t="inlineStr">
        <is>
          <t>Negative</t>
        </is>
      </c>
      <c r="F524" s="51" t="n">
        <v>-30</v>
      </c>
      <c r="G524" s="51" t="n">
        <v>2021</v>
      </c>
      <c r="H524" s="52" t="inlineStr">
        <is>
          <t>https://www.filesforprogress.org/datasets/2022/5/AccountableAllies-Data.pdf</t>
        </is>
      </c>
      <c r="I524" s="52" t="inlineStr">
        <is>
          <t>FEC/State records</t>
        </is>
      </c>
      <c r="J524" s="51" t="inlineStr">
        <is>
          <t>No</t>
        </is>
      </c>
      <c r="K524" s="52" t="inlineStr"/>
    </row>
    <row r="525">
      <c r="A525" s="52" t="inlineStr">
        <is>
          <t>General Motors</t>
        </is>
      </c>
      <c r="B525" s="52" t="inlineStr">
        <is>
          <t>n_anti_lgbtq_donations</t>
        </is>
      </c>
      <c r="C525" s="52" t="inlineStr">
        <is>
          <t>Documented $48,500 to 10 anti-LGBTQ+ bill sponsors across 4 states, 2019-2022 (Data for Progress)</t>
        </is>
      </c>
      <c r="D525" s="51" t="inlineStr">
        <is>
          <t>—</t>
        </is>
      </c>
      <c r="E525" s="51" t="inlineStr">
        <is>
          <t>Negative</t>
        </is>
      </c>
      <c r="F525" s="51" t="n">
        <v>-30</v>
      </c>
      <c r="G525" s="51" t="n">
        <v>2021</v>
      </c>
      <c r="H525" s="52" t="inlineStr">
        <is>
          <t>https://www.filesforprogress.org/datasets/2022/5/AccountableAllies-Data.pdf</t>
        </is>
      </c>
      <c r="I525" s="52" t="inlineStr">
        <is>
          <t>FEC/State records</t>
        </is>
      </c>
      <c r="J525" s="51" t="inlineStr">
        <is>
          <t>No</t>
        </is>
      </c>
      <c r="K525" s="52" t="inlineStr"/>
    </row>
    <row r="526">
      <c r="A526" s="52" t="inlineStr">
        <is>
          <t>Farmers Insurance</t>
        </is>
      </c>
      <c r="B526" s="52" t="inlineStr">
        <is>
          <t>n_anti_lgbtq_donations</t>
        </is>
      </c>
      <c r="C526" s="52" t="inlineStr">
        <is>
          <t>Documented $47,100 to 16 anti-LGBTQ+ bill sponsors across 3 states, 2019-2022 (Data for Progress)</t>
        </is>
      </c>
      <c r="D526" s="51" t="inlineStr">
        <is>
          <t>—</t>
        </is>
      </c>
      <c r="E526" s="51" t="inlineStr">
        <is>
          <t>Negative</t>
        </is>
      </c>
      <c r="F526" s="51" t="n">
        <v>-30</v>
      </c>
      <c r="G526" s="51" t="n">
        <v>2021</v>
      </c>
      <c r="H526" s="52" t="inlineStr">
        <is>
          <t>https://www.filesforprogress.org/datasets/2022/5/AccountableAllies-Data.pdf</t>
        </is>
      </c>
      <c r="I526" s="52" t="inlineStr">
        <is>
          <t>FEC/State records</t>
        </is>
      </c>
      <c r="J526" s="51" t="inlineStr">
        <is>
          <t>No</t>
        </is>
      </c>
      <c r="K526" s="52" t="inlineStr"/>
    </row>
    <row r="527">
      <c r="A527" s="52" t="inlineStr">
        <is>
          <t>Anheuser-Busch InBev</t>
        </is>
      </c>
      <c r="B527" s="52" t="inlineStr">
        <is>
          <t>n_anti_lgbtq_donations</t>
        </is>
      </c>
      <c r="C527" s="52" t="inlineStr">
        <is>
          <t>Documented $45,250 (as Budweiser) to 24 anti-LGBTQ+ bill sponsors across 4 states, 2019-2022 (Data for Progress)</t>
        </is>
      </c>
      <c r="D527" s="51" t="inlineStr">
        <is>
          <t>—</t>
        </is>
      </c>
      <c r="E527" s="51" t="inlineStr">
        <is>
          <t>Negative</t>
        </is>
      </c>
      <c r="F527" s="51" t="n">
        <v>-30</v>
      </c>
      <c r="G527" s="51" t="n">
        <v>2021</v>
      </c>
      <c r="H527" s="52" t="inlineStr">
        <is>
          <t>https://www.filesforprogress.org/datasets/2022/5/AccountableAllies-Data.pdf</t>
        </is>
      </c>
      <c r="I527" s="52" t="inlineStr">
        <is>
          <t>FEC/State records</t>
        </is>
      </c>
      <c r="J527" s="51" t="inlineStr">
        <is>
          <t>No</t>
        </is>
      </c>
      <c r="K527" s="52" t="inlineStr"/>
    </row>
    <row r="528">
      <c r="A528" s="52" t="inlineStr">
        <is>
          <t>Marathon Petroleum</t>
        </is>
      </c>
      <c r="B528" s="52" t="inlineStr">
        <is>
          <t>n_anti_lgbtq_donations</t>
        </is>
      </c>
      <c r="C528" s="52" t="inlineStr">
        <is>
          <t>Documented $42,000 to 7 anti-LGBTQ+ bill sponsors across 3 states, 2019-2022 (Data for Progress)</t>
        </is>
      </c>
      <c r="D528" s="51" t="inlineStr">
        <is>
          <t>—</t>
        </is>
      </c>
      <c r="E528" s="51" t="inlineStr">
        <is>
          <t>Negative</t>
        </is>
      </c>
      <c r="F528" s="51" t="n">
        <v>-30</v>
      </c>
      <c r="G528" s="51" t="n">
        <v>2021</v>
      </c>
      <c r="H528" s="52" t="inlineStr">
        <is>
          <t>https://www.filesforprogress.org/datasets/2022/5/AccountableAllies-Data.pdf</t>
        </is>
      </c>
      <c r="I528" s="52" t="inlineStr">
        <is>
          <t>FEC/State records</t>
        </is>
      </c>
      <c r="J528" s="51" t="inlineStr">
        <is>
          <t>No</t>
        </is>
      </c>
      <c r="K528" s="52" t="inlineStr"/>
    </row>
    <row r="529">
      <c r="A529" s="52" t="inlineStr">
        <is>
          <t>Pfizer</t>
        </is>
      </c>
      <c r="B529" s="52" t="inlineStr">
        <is>
          <t>n_anti_lgbtq_donations</t>
        </is>
      </c>
      <c r="C529" s="52" t="inlineStr">
        <is>
          <t>Documented $41,450 to 20 anti-LGBTQ+ bill sponsors across 5 states, 2019-2022 (Data for Progress)</t>
        </is>
      </c>
      <c r="D529" s="51" t="inlineStr">
        <is>
          <t>—</t>
        </is>
      </c>
      <c r="E529" s="51" t="inlineStr">
        <is>
          <t>Negative</t>
        </is>
      </c>
      <c r="F529" s="51" t="n">
        <v>-30</v>
      </c>
      <c r="G529" s="51" t="n">
        <v>2021</v>
      </c>
      <c r="H529" s="52" t="inlineStr">
        <is>
          <t>https://www.filesforprogress.org/datasets/2022/5/AccountableAllies-Data.pdf</t>
        </is>
      </c>
      <c r="I529" s="52" t="inlineStr">
        <is>
          <t>FEC/State records</t>
        </is>
      </c>
      <c r="J529" s="51" t="inlineStr">
        <is>
          <t>No</t>
        </is>
      </c>
      <c r="K529" s="52" t="inlineStr"/>
    </row>
    <row r="530">
      <c r="A530" s="52" t="inlineStr">
        <is>
          <t>Wells Fargo</t>
        </is>
      </c>
      <c r="B530" s="52" t="inlineStr">
        <is>
          <t>n_anti_lgbtq_donations</t>
        </is>
      </c>
      <c r="C530" s="52" t="inlineStr">
        <is>
          <t>Documented $40,500 to anti-LGBTQ+ bill sponsors across 2 states, 2019-2022 (Data for Progress)</t>
        </is>
      </c>
      <c r="D530" s="51" t="inlineStr">
        <is>
          <t>—</t>
        </is>
      </c>
      <c r="E530" s="51" t="inlineStr">
        <is>
          <t>Negative</t>
        </is>
      </c>
      <c r="F530" s="51" t="n">
        <v>-30</v>
      </c>
      <c r="G530" s="51" t="n">
        <v>2021</v>
      </c>
      <c r="H530" s="52" t="inlineStr">
        <is>
          <t>https://www.filesforprogress.org/datasets/2022/5/AccountableAllies-Data.pdf</t>
        </is>
      </c>
      <c r="I530" s="52" t="inlineStr">
        <is>
          <t>FEC/State records</t>
        </is>
      </c>
      <c r="J530" s="51" t="inlineStr">
        <is>
          <t>No</t>
        </is>
      </c>
      <c r="K530" s="52" t="inlineStr"/>
    </row>
    <row r="531">
      <c r="A531" s="52" t="inlineStr">
        <is>
          <t>Cigna</t>
        </is>
      </c>
      <c r="B531" s="52" t="inlineStr">
        <is>
          <t>n_anti_lgbtq_donations</t>
        </is>
      </c>
      <c r="C531" s="52" t="inlineStr">
        <is>
          <t>Documented $40,000 to 21 anti-LGBTQ+ bill sponsors across 3 states, 2019-2022 (Data for Progress)</t>
        </is>
      </c>
      <c r="D531" s="51" t="inlineStr">
        <is>
          <t>—</t>
        </is>
      </c>
      <c r="E531" s="51" t="inlineStr">
        <is>
          <t>Negative</t>
        </is>
      </c>
      <c r="F531" s="51" t="n">
        <v>-30</v>
      </c>
      <c r="G531" s="51" t="n">
        <v>2021</v>
      </c>
      <c r="H531" s="52" t="inlineStr">
        <is>
          <t>https://www.filesforprogress.org/datasets/2022/5/AccountableAllies-Data.pdf</t>
        </is>
      </c>
      <c r="I531" s="52" t="inlineStr">
        <is>
          <t>FEC/State records</t>
        </is>
      </c>
      <c r="J531" s="51" t="inlineStr">
        <is>
          <t>No</t>
        </is>
      </c>
      <c r="K531" s="52" t="inlineStr"/>
    </row>
    <row r="532">
      <c r="A532" s="52" t="inlineStr">
        <is>
          <t>Boeing</t>
        </is>
      </c>
      <c r="B532" s="52" t="inlineStr">
        <is>
          <t>n_anti_lgbtq_donations</t>
        </is>
      </c>
      <c r="C532" s="52" t="inlineStr">
        <is>
          <t>Documented $31,000 to 9 anti-LGBTQ+ bill sponsors across 4 states, 2019-2022 (Data for Progress)</t>
        </is>
      </c>
      <c r="D532" s="51" t="inlineStr">
        <is>
          <t>—</t>
        </is>
      </c>
      <c r="E532" s="51" t="inlineStr">
        <is>
          <t>Negative</t>
        </is>
      </c>
      <c r="F532" s="51" t="n">
        <v>-30</v>
      </c>
      <c r="G532" s="51" t="n">
        <v>2021</v>
      </c>
      <c r="H532" s="52" t="inlineStr">
        <is>
          <t>https://www.filesforprogress.org/datasets/2022/5/AccountableAllies-Data.pdf</t>
        </is>
      </c>
      <c r="I532" s="52" t="inlineStr">
        <is>
          <t>FEC/State records</t>
        </is>
      </c>
      <c r="J532" s="51" t="inlineStr">
        <is>
          <t>No</t>
        </is>
      </c>
      <c r="K532" s="52" t="inlineStr"/>
    </row>
    <row r="533">
      <c r="A533" s="52" t="inlineStr">
        <is>
          <t>ConocoPhillips</t>
        </is>
      </c>
      <c r="B533" s="52" t="inlineStr">
        <is>
          <t>n_anti_lgbtq_donations</t>
        </is>
      </c>
      <c r="C533" s="52" t="inlineStr">
        <is>
          <t>Documented $27,503 to anti-LGBTQ+ bill sponsors, 2019-2022 (Data for Progress)</t>
        </is>
      </c>
      <c r="D533" s="51" t="inlineStr">
        <is>
          <t>—</t>
        </is>
      </c>
      <c r="E533" s="51" t="inlineStr">
        <is>
          <t>Negative</t>
        </is>
      </c>
      <c r="F533" s="51" t="n">
        <v>-30</v>
      </c>
      <c r="G533" s="51" t="n">
        <v>2021</v>
      </c>
      <c r="H533" s="52" t="inlineStr">
        <is>
          <t>https://www.filesforprogress.org/datasets/2022/5/AccountableAllies-Data.pdf</t>
        </is>
      </c>
      <c r="I533" s="52" t="inlineStr">
        <is>
          <t>FEC/State records</t>
        </is>
      </c>
      <c r="J533" s="51" t="inlineStr">
        <is>
          <t>No</t>
        </is>
      </c>
      <c r="K533" s="52" t="inlineStr"/>
    </row>
    <row r="534">
      <c r="A534" s="52" t="inlineStr">
        <is>
          <t>NextEra Energy</t>
        </is>
      </c>
      <c r="B534" s="52" t="inlineStr">
        <is>
          <t>n_anti_lgbtq_donations</t>
        </is>
      </c>
      <c r="C534" s="52" t="inlineStr">
        <is>
          <t>Documented $27,500 to 9 anti-LGBTQ+ bill sponsors across 3 states, 2019-2022 (Data for Progress)</t>
        </is>
      </c>
      <c r="D534" s="51" t="inlineStr">
        <is>
          <t>—</t>
        </is>
      </c>
      <c r="E534" s="51" t="inlineStr">
        <is>
          <t>Negative</t>
        </is>
      </c>
      <c r="F534" s="51" t="n">
        <v>-30</v>
      </c>
      <c r="G534" s="51" t="n">
        <v>2021</v>
      </c>
      <c r="H534" s="52" t="inlineStr">
        <is>
          <t>https://www.filesforprogress.org/datasets/2022/5/AccountableAllies-Data.pdf</t>
        </is>
      </c>
      <c r="I534" s="52" t="inlineStr">
        <is>
          <t>FEC/State records</t>
        </is>
      </c>
      <c r="J534" s="51" t="inlineStr">
        <is>
          <t>No</t>
        </is>
      </c>
      <c r="K534" s="52" t="inlineStr"/>
    </row>
    <row r="535">
      <c r="A535" s="52" t="inlineStr">
        <is>
          <t>Merck &amp; Co.</t>
        </is>
      </c>
      <c r="B535" s="52" t="inlineStr">
        <is>
          <t>n_anti_lgbtq_donations</t>
        </is>
      </c>
      <c r="C535" s="52" t="inlineStr">
        <is>
          <t>Documented $26,300 to 22 anti-LGBTQ+ bill sponsors across 3 states, 2019-2022 (Data for Progress)</t>
        </is>
      </c>
      <c r="D535" s="51" t="inlineStr">
        <is>
          <t>—</t>
        </is>
      </c>
      <c r="E535" s="51" t="inlineStr">
        <is>
          <t>Negative</t>
        </is>
      </c>
      <c r="F535" s="51" t="n">
        <v>-30</v>
      </c>
      <c r="G535" s="51" t="n">
        <v>2021</v>
      </c>
      <c r="H535" s="52" t="inlineStr">
        <is>
          <t>https://www.filesforprogress.org/datasets/2022/5/AccountableAllies-Data.pdf</t>
        </is>
      </c>
      <c r="I535" s="52" t="inlineStr">
        <is>
          <t>FEC/State records</t>
        </is>
      </c>
      <c r="J535" s="51" t="inlineStr">
        <is>
          <t>No</t>
        </is>
      </c>
      <c r="K535" s="52" t="inlineStr"/>
    </row>
    <row r="53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4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4" customWidth="1" style="41" min="2" max="2"/>
    <col width="12" customWidth="1" style="41" min="3" max="3"/>
    <col width="48" customWidth="1" style="41" min="4" max="4"/>
    <col width="42" customWidth="1" style="41" min="5" max="5"/>
    <col width="16" customWidth="1" style="41" min="6" max="6"/>
    <col width="12" customWidth="1" style="41" min="7" max="7"/>
    <col width="30" customWidth="1" style="41" min="8" max="8"/>
  </cols>
  <sheetData>
    <row r="1" ht="23.25" customHeight="1" s="42">
      <c r="A1" s="49" t="inlineStr">
        <is>
          <t>Company</t>
        </is>
      </c>
      <c r="B1" s="49" t="inlineStr">
        <is>
          <t>Platform</t>
        </is>
      </c>
      <c r="C1" s="49" t="inlineStr">
        <is>
          <t>Post Date</t>
        </is>
      </c>
      <c r="D1" s="49" t="inlineStr">
        <is>
          <t>Description</t>
        </is>
      </c>
      <c r="E1" s="49" t="inlineStr">
        <is>
          <t>Post URL / Archive</t>
        </is>
      </c>
      <c r="F1" s="49" t="inlineStr">
        <is>
          <t>Engagement (if noted)</t>
        </is>
      </c>
      <c r="G1" s="49" t="inlineStr">
        <is>
          <t>Later Deleted?</t>
        </is>
      </c>
      <c r="H1" s="49" t="inlineStr">
        <is>
          <t>Notes</t>
        </is>
      </c>
    </row>
    <row r="2" ht="23.25" customHeight="1" s="42">
      <c r="A2" s="52" t="inlineStr">
        <is>
          <t>Verizon</t>
        </is>
      </c>
      <c r="B2" s="51" t="inlineStr">
        <is>
          <t>Twitter/X</t>
        </is>
      </c>
      <c r="C2" s="51" t="inlineStr">
        <is>
          <t>2024-06-01</t>
        </is>
      </c>
      <c r="D2" s="52" t="inlineStr">
        <is>
          <t>Rainbow Verizon logo + Pride Month welcome post</t>
        </is>
      </c>
      <c r="E2" s="52" t="inlineStr">
        <is>
          <t>https://web.archive.org/web/2024/https://twitter.com/Verizon</t>
        </is>
      </c>
      <c r="F2" s="51" t="inlineStr"/>
      <c r="G2" s="51" t="inlineStr">
        <is>
          <t>Yes</t>
        </is>
      </c>
      <c r="H2" s="52" t="inlineStr">
        <is>
          <t>Pride branding absent after 2025 reversal</t>
        </is>
      </c>
    </row>
    <row r="3" ht="23.25" customHeight="1" s="42">
      <c r="A3" s="52" t="inlineStr">
        <is>
          <t>Apple</t>
        </is>
      </c>
      <c r="B3" s="51" t="inlineStr">
        <is>
          <t>Instagram</t>
        </is>
      </c>
      <c r="C3" s="51" t="inlineStr">
        <is>
          <t>2025-06-01</t>
        </is>
      </c>
      <c r="D3" s="52" t="inlineStr">
        <is>
          <t>Apple Pride 2025 campaign featuring Pride Edition band</t>
        </is>
      </c>
      <c r="E3" s="52" t="inlineStr">
        <is>
          <t>https://www.apple.com/newsroom/</t>
        </is>
      </c>
      <c r="F3" s="51" t="inlineStr"/>
      <c r="G3" s="51" t="inlineStr">
        <is>
          <t>No</t>
        </is>
      </c>
      <c r="H3" s="52" t="inlineStr"/>
    </row>
    <row r="4" ht="23.25" customHeight="1" s="42">
      <c r="A4" s="52" t="inlineStr">
        <is>
          <t>Target</t>
        </is>
      </c>
      <c r="B4" s="51" t="inlineStr">
        <is>
          <t>Instagram</t>
        </is>
      </c>
      <c r="C4" s="51" t="inlineStr">
        <is>
          <t>2023-05-01</t>
        </is>
      </c>
      <c r="D4" s="52" t="inlineStr">
        <is>
          <t>Target Pride 2023 collection launch posts</t>
        </is>
      </c>
      <c r="E4" s="52" t="inlineStr">
        <is>
          <t>https://web.archive.org/web/2023/https://www.instagram.com/target/</t>
        </is>
      </c>
      <c r="F4" s="51" t="inlineStr"/>
      <c r="G4" s="51" t="inlineStr">
        <is>
          <t>Yes</t>
        </is>
      </c>
      <c r="H4" s="52" t="inlineStr">
        <is>
          <t>Collection partially pulled weeks later under threats</t>
        </is>
      </c>
    </row>
    <row r="5" ht="23.25" customHeight="1" s="42">
      <c r="A5" s="52" t="inlineStr">
        <is>
          <t>Anheuser-Busch InBev</t>
        </is>
      </c>
      <c r="B5" s="51" t="inlineStr">
        <is>
          <t>Instagram</t>
        </is>
      </c>
      <c r="C5" s="51" t="inlineStr">
        <is>
          <t>2023-04-01</t>
        </is>
      </c>
      <c r="D5" s="52" t="inlineStr">
        <is>
          <t>Dylan Mulvaney Bud Light March Madness promo post</t>
        </is>
      </c>
      <c r="E5" s="52" t="inlineStr">
        <is>
          <t>https://en.wikipedia.org/wiki/Bud_Light_boycott</t>
        </is>
      </c>
      <c r="F5" s="51" t="inlineStr">
        <is>
          <t>Massive; triggered national boycott</t>
        </is>
      </c>
      <c r="G5" s="51" t="inlineStr">
        <is>
          <t>No</t>
        </is>
      </c>
      <c r="H5" s="52" t="inlineStr">
        <is>
          <t>Company distanced itself rather than defending the partnership</t>
        </is>
      </c>
    </row>
    <row r="6" ht="15" customHeight="1" s="42">
      <c r="A6" s="52" t="n"/>
      <c r="B6" s="51" t="n"/>
      <c r="C6" s="51" t="n"/>
      <c r="D6" s="52" t="n"/>
      <c r="E6" s="52" t="n"/>
      <c r="F6" s="51" t="n"/>
      <c r="G6" s="51" t="n"/>
      <c r="H6" s="52" t="n"/>
    </row>
    <row r="7" ht="15" customHeight="1" s="42">
      <c r="A7" s="59" t="n"/>
      <c r="B7" s="58" t="n"/>
      <c r="C7" s="58" t="n"/>
      <c r="D7" s="59" t="n"/>
      <c r="E7" s="59" t="n"/>
      <c r="F7" s="58" t="n"/>
      <c r="G7" s="58" t="n"/>
      <c r="H7" s="59" t="n"/>
    </row>
    <row r="8" ht="15" customHeight="1" s="42">
      <c r="A8" s="52" t="n"/>
      <c r="B8" s="51" t="n"/>
      <c r="C8" s="51" t="n"/>
      <c r="D8" s="52" t="n"/>
      <c r="E8" s="52" t="n"/>
      <c r="F8" s="51" t="n"/>
      <c r="G8" s="51" t="n"/>
      <c r="H8" s="52" t="n"/>
    </row>
    <row r="9" ht="15" customHeight="1" s="42">
      <c r="A9" s="59" t="n"/>
      <c r="B9" s="58" t="n"/>
      <c r="C9" s="58" t="n"/>
      <c r="D9" s="59" t="n"/>
      <c r="E9" s="59" t="n"/>
      <c r="F9" s="58" t="n"/>
      <c r="G9" s="58" t="n"/>
      <c r="H9" s="59" t="n"/>
    </row>
    <row r="10" ht="15" customHeight="1" s="42">
      <c r="A10" s="52" t="n"/>
      <c r="B10" s="51" t="n"/>
      <c r="C10" s="51" t="n"/>
      <c r="D10" s="52" t="n"/>
      <c r="E10" s="52" t="n"/>
      <c r="F10" s="51" t="n"/>
      <c r="G10" s="51" t="n"/>
      <c r="H10" s="52" t="n"/>
    </row>
    <row r="11" ht="15" customHeight="1" s="42">
      <c r="A11" s="59" t="n"/>
      <c r="B11" s="58" t="n"/>
      <c r="C11" s="58" t="n"/>
      <c r="D11" s="59" t="n"/>
      <c r="E11" s="59" t="n"/>
      <c r="F11" s="58" t="n"/>
      <c r="G11" s="58" t="n"/>
      <c r="H11" s="59" t="n"/>
    </row>
    <row r="12" ht="15" customHeight="1" s="42">
      <c r="A12" s="52" t="n"/>
      <c r="B12" s="51" t="n"/>
      <c r="C12" s="51" t="n"/>
      <c r="D12" s="52" t="n"/>
      <c r="E12" s="52" t="n"/>
      <c r="F12" s="51" t="n"/>
      <c r="G12" s="51" t="n"/>
      <c r="H12" s="52" t="n"/>
    </row>
    <row r="13" ht="15" customHeight="1" s="42">
      <c r="A13" s="59" t="n"/>
      <c r="B13" s="58" t="n"/>
      <c r="C13" s="58" t="n"/>
      <c r="D13" s="59" t="n"/>
      <c r="E13" s="59" t="n"/>
      <c r="F13" s="58" t="n"/>
      <c r="G13" s="58" t="n"/>
      <c r="H13" s="59" t="n"/>
    </row>
    <row r="14" ht="15" customHeight="1" s="42">
      <c r="A14" s="52" t="n"/>
      <c r="B14" s="51" t="n"/>
      <c r="C14" s="51" t="n"/>
      <c r="D14" s="52" t="n"/>
      <c r="E14" s="52" t="n"/>
      <c r="F14" s="51" t="n"/>
      <c r="G14" s="51" t="n"/>
      <c r="H14" s="52" t="n"/>
    </row>
    <row r="15" ht="15" customHeight="1" s="42">
      <c r="A15" s="59" t="n"/>
      <c r="B15" s="58" t="n"/>
      <c r="C15" s="58" t="n"/>
      <c r="D15" s="59" t="n"/>
      <c r="E15" s="59" t="n"/>
      <c r="F15" s="58" t="n"/>
      <c r="G15" s="58" t="n"/>
      <c r="H15" s="59" t="n"/>
    </row>
    <row r="16" ht="15" customHeight="1" s="42">
      <c r="A16" s="52" t="n"/>
      <c r="B16" s="51" t="n"/>
      <c r="C16" s="51" t="n"/>
      <c r="D16" s="52" t="n"/>
      <c r="E16" s="52" t="n"/>
      <c r="F16" s="51" t="n"/>
      <c r="G16" s="51" t="n"/>
      <c r="H16" s="52" t="n"/>
    </row>
    <row r="17" ht="15" customHeight="1" s="42">
      <c r="A17" s="59" t="n"/>
      <c r="B17" s="58" t="n"/>
      <c r="C17" s="58" t="n"/>
      <c r="D17" s="59" t="n"/>
      <c r="E17" s="59" t="n"/>
      <c r="F17" s="58" t="n"/>
      <c r="G17" s="58" t="n"/>
      <c r="H17" s="59" t="n"/>
    </row>
    <row r="18" ht="15" customHeight="1" s="42">
      <c r="A18" s="52" t="n"/>
      <c r="B18" s="51" t="n"/>
      <c r="C18" s="51" t="n"/>
      <c r="D18" s="52" t="n"/>
      <c r="E18" s="52" t="n"/>
      <c r="F18" s="51" t="n"/>
      <c r="G18" s="51" t="n"/>
      <c r="H18" s="52" t="n"/>
    </row>
    <row r="19" ht="15" customHeight="1" s="42">
      <c r="A19" s="59" t="n"/>
      <c r="B19" s="58" t="n"/>
      <c r="C19" s="58" t="n"/>
      <c r="D19" s="59" t="n"/>
      <c r="E19" s="59" t="n"/>
      <c r="F19" s="58" t="n"/>
      <c r="G19" s="58" t="n"/>
      <c r="H19" s="59" t="n"/>
    </row>
    <row r="20" ht="15" customHeight="1" s="42">
      <c r="A20" s="52" t="n"/>
      <c r="B20" s="51" t="n"/>
      <c r="C20" s="51" t="n"/>
      <c r="D20" s="52" t="n"/>
      <c r="E20" s="52" t="n"/>
      <c r="F20" s="51" t="n"/>
      <c r="G20" s="51" t="n"/>
      <c r="H20" s="52" t="n"/>
    </row>
    <row r="21" ht="15" customHeight="1" s="42">
      <c r="A21" s="59" t="n"/>
      <c r="B21" s="58" t="n"/>
      <c r="C21" s="58" t="n"/>
      <c r="D21" s="59" t="n"/>
      <c r="E21" s="59" t="n"/>
      <c r="F21" s="58" t="n"/>
      <c r="G21" s="58" t="n"/>
      <c r="H21" s="59" t="n"/>
    </row>
    <row r="22" ht="15" customHeight="1" s="42">
      <c r="A22" s="52" t="n"/>
      <c r="B22" s="51" t="n"/>
      <c r="C22" s="51" t="n"/>
      <c r="D22" s="52" t="n"/>
      <c r="E22" s="52" t="n"/>
      <c r="F22" s="51" t="n"/>
      <c r="G22" s="51" t="n"/>
      <c r="H22" s="52" t="n"/>
    </row>
    <row r="23" ht="15" customHeight="1" s="42">
      <c r="A23" s="59" t="n"/>
      <c r="B23" s="58" t="n"/>
      <c r="C23" s="58" t="n"/>
      <c r="D23" s="59" t="n"/>
      <c r="E23" s="59" t="n"/>
      <c r="F23" s="58" t="n"/>
      <c r="G23" s="58" t="n"/>
      <c r="H23" s="59" t="n"/>
    </row>
    <row r="24" ht="15" customHeight="1" s="42">
      <c r="A24" s="52" t="n"/>
      <c r="B24" s="51" t="n"/>
      <c r="C24" s="51" t="n"/>
      <c r="D24" s="52" t="n"/>
      <c r="E24" s="52" t="n"/>
      <c r="F24" s="51" t="n"/>
      <c r="G24" s="51" t="n"/>
      <c r="H24" s="52" t="n"/>
    </row>
    <row r="25" ht="15" customHeight="1" s="42">
      <c r="A25" s="59" t="n"/>
      <c r="B25" s="58" t="n"/>
      <c r="C25" s="58" t="n"/>
      <c r="D25" s="59" t="n"/>
      <c r="E25" s="59" t="n"/>
      <c r="F25" s="58" t="n"/>
      <c r="G25" s="58" t="n"/>
      <c r="H25" s="59" t="n"/>
    </row>
    <row r="26" ht="15" customHeight="1" s="42">
      <c r="A26" s="52" t="n"/>
      <c r="B26" s="51" t="n"/>
      <c r="C26" s="51" t="n"/>
      <c r="D26" s="52" t="n"/>
      <c r="E26" s="52" t="n"/>
      <c r="F26" s="51" t="n"/>
      <c r="G26" s="51" t="n"/>
      <c r="H26" s="52" t="n"/>
    </row>
    <row r="27" ht="15" customHeight="1" s="42">
      <c r="A27" s="59" t="n"/>
      <c r="B27" s="58" t="n"/>
      <c r="C27" s="58" t="n"/>
      <c r="D27" s="59" t="n"/>
      <c r="E27" s="59" t="n"/>
      <c r="F27" s="58" t="n"/>
      <c r="G27" s="58" t="n"/>
      <c r="H27" s="59" t="n"/>
    </row>
    <row r="28" ht="15" customHeight="1" s="42">
      <c r="A28" s="52" t="n"/>
      <c r="B28" s="51" t="n"/>
      <c r="C28" s="51" t="n"/>
      <c r="D28" s="52" t="n"/>
      <c r="E28" s="52" t="n"/>
      <c r="F28" s="51" t="n"/>
      <c r="G28" s="51" t="n"/>
      <c r="H28" s="52" t="n"/>
    </row>
    <row r="29" ht="15" customHeight="1" s="42">
      <c r="A29" s="59" t="n"/>
      <c r="B29" s="58" t="n"/>
      <c r="C29" s="58" t="n"/>
      <c r="D29" s="59" t="n"/>
      <c r="E29" s="59" t="n"/>
      <c r="F29" s="58" t="n"/>
      <c r="G29" s="58" t="n"/>
      <c r="H29" s="59" t="n"/>
    </row>
    <row r="30" ht="15" customHeight="1" s="42">
      <c r="A30" s="52" t="n"/>
      <c r="B30" s="51" t="n"/>
      <c r="C30" s="51" t="n"/>
      <c r="D30" s="52" t="n"/>
      <c r="E30" s="52" t="n"/>
      <c r="F30" s="51" t="n"/>
      <c r="G30" s="51" t="n"/>
      <c r="H30" s="52" t="n"/>
    </row>
    <row r="31" ht="15" customHeight="1" s="42">
      <c r="A31" s="59" t="n"/>
      <c r="B31" s="58" t="n"/>
      <c r="C31" s="58" t="n"/>
      <c r="D31" s="59" t="n"/>
      <c r="E31" s="59" t="n"/>
      <c r="F31" s="58" t="n"/>
      <c r="G31" s="58" t="n"/>
      <c r="H31" s="59" t="n"/>
    </row>
    <row r="32" ht="15" customHeight="1" s="42">
      <c r="A32" s="52" t="n"/>
      <c r="B32" s="51" t="n"/>
      <c r="C32" s="51" t="n"/>
      <c r="D32" s="52" t="n"/>
      <c r="E32" s="52" t="n"/>
      <c r="F32" s="51" t="n"/>
      <c r="G32" s="51" t="n"/>
      <c r="H32" s="52" t="n"/>
    </row>
    <row r="33" ht="15" customHeight="1" s="42">
      <c r="A33" s="59" t="n"/>
      <c r="B33" s="58" t="n"/>
      <c r="C33" s="58" t="n"/>
      <c r="D33" s="59" t="n"/>
      <c r="E33" s="59" t="n"/>
      <c r="F33" s="58" t="n"/>
      <c r="G33" s="58" t="n"/>
      <c r="H33" s="59" t="n"/>
    </row>
    <row r="34" ht="15" customHeight="1" s="42">
      <c r="A34" s="52" t="n"/>
      <c r="B34" s="51" t="n"/>
      <c r="C34" s="51" t="n"/>
      <c r="D34" s="52" t="n"/>
      <c r="E34" s="52" t="n"/>
      <c r="F34" s="51" t="n"/>
      <c r="G34" s="51" t="n"/>
      <c r="H34" s="52" t="n"/>
    </row>
    <row r="35" ht="15" customHeight="1" s="42">
      <c r="A35" s="59" t="n"/>
      <c r="B35" s="58" t="n"/>
      <c r="C35" s="58" t="n"/>
      <c r="D35" s="59" t="n"/>
      <c r="E35" s="59" t="n"/>
      <c r="F35" s="58" t="n"/>
      <c r="G35" s="58" t="n"/>
      <c r="H35" s="59" t="n"/>
    </row>
    <row r="36" ht="15" customHeight="1" s="42">
      <c r="A36" s="52" t="n"/>
      <c r="B36" s="51" t="n"/>
      <c r="C36" s="51" t="n"/>
      <c r="D36" s="52" t="n"/>
      <c r="E36" s="52" t="n"/>
      <c r="F36" s="51" t="n"/>
      <c r="G36" s="51" t="n"/>
      <c r="H36" s="52" t="n"/>
    </row>
    <row r="37" ht="15" customHeight="1" s="42">
      <c r="A37" s="59" t="n"/>
      <c r="B37" s="58" t="n"/>
      <c r="C37" s="58" t="n"/>
      <c r="D37" s="59" t="n"/>
      <c r="E37" s="59" t="n"/>
      <c r="F37" s="58" t="n"/>
      <c r="G37" s="58" t="n"/>
      <c r="H37" s="59" t="n"/>
    </row>
    <row r="38" ht="15" customHeight="1" s="42">
      <c r="A38" s="52" t="n"/>
      <c r="B38" s="51" t="n"/>
      <c r="C38" s="51" t="n"/>
      <c r="D38" s="52" t="n"/>
      <c r="E38" s="52" t="n"/>
      <c r="F38" s="51" t="n"/>
      <c r="G38" s="51" t="n"/>
      <c r="H38" s="52" t="n"/>
    </row>
    <row r="39" ht="15" customHeight="1" s="42">
      <c r="A39" s="59" t="n"/>
      <c r="B39" s="58" t="n"/>
      <c r="C39" s="58" t="n"/>
      <c r="D39" s="59" t="n"/>
      <c r="E39" s="59" t="n"/>
      <c r="F39" s="58" t="n"/>
      <c r="G39" s="58" t="n"/>
      <c r="H39" s="59" t="n"/>
    </row>
    <row r="40" ht="15" customHeight="1" s="42">
      <c r="A40" s="52" t="n"/>
      <c r="B40" s="51" t="n"/>
      <c r="C40" s="51" t="n"/>
      <c r="D40" s="52" t="n"/>
      <c r="E40" s="52" t="n"/>
      <c r="F40" s="51" t="n"/>
      <c r="G40" s="51" t="n"/>
      <c r="H40" s="52" t="n"/>
    </row>
    <row r="41" ht="15" customHeight="1" s="42">
      <c r="A41" s="59" t="n"/>
      <c r="B41" s="58" t="n"/>
      <c r="C41" s="58" t="n"/>
      <c r="D41" s="59" t="n"/>
      <c r="E41" s="59" t="n"/>
      <c r="F41" s="58" t="n"/>
      <c r="G41" s="58" t="n"/>
      <c r="H41" s="59" t="n"/>
    </row>
    <row r="42" ht="15" customHeight="1" s="42">
      <c r="A42" s="52" t="n"/>
      <c r="B42" s="51" t="n"/>
      <c r="C42" s="51" t="n"/>
      <c r="D42" s="52" t="n"/>
      <c r="E42" s="52" t="n"/>
      <c r="F42" s="51" t="n"/>
      <c r="G42" s="51" t="n"/>
      <c r="H42" s="52" t="n"/>
    </row>
    <row r="43" ht="15" customHeight="1" s="42">
      <c r="A43" s="59" t="n"/>
      <c r="B43" s="58" t="n"/>
      <c r="C43" s="58" t="n"/>
      <c r="D43" s="59" t="n"/>
      <c r="E43" s="59" t="n"/>
      <c r="F43" s="58" t="n"/>
      <c r="G43" s="58" t="n"/>
      <c r="H43" s="59" t="n"/>
    </row>
    <row r="44" ht="15" customHeight="1" s="42">
      <c r="A44" s="52" t="n"/>
      <c r="B44" s="51" t="n"/>
      <c r="C44" s="51" t="n"/>
      <c r="D44" s="52" t="n"/>
      <c r="E44" s="52" t="n"/>
      <c r="F44" s="51" t="n"/>
      <c r="G44" s="51" t="n"/>
      <c r="H44" s="52" t="n"/>
    </row>
    <row r="45" ht="15" customHeight="1" s="42">
      <c r="A45" s="59" t="n"/>
      <c r="B45" s="58" t="n"/>
      <c r="C45" s="58" t="n"/>
      <c r="D45" s="59" t="n"/>
      <c r="E45" s="59" t="n"/>
      <c r="F45" s="58" t="n"/>
      <c r="G45" s="58" t="n"/>
      <c r="H45" s="59" t="n"/>
    </row>
    <row r="46" ht="15" customHeight="1" s="42">
      <c r="A46" s="52" t="n"/>
      <c r="B46" s="51" t="n"/>
      <c r="C46" s="51" t="n"/>
      <c r="D46" s="52" t="n"/>
      <c r="E46" s="52" t="n"/>
      <c r="F46" s="51" t="n"/>
      <c r="G46" s="51" t="n"/>
      <c r="H46" s="52" t="n"/>
    </row>
    <row r="47" ht="15" customHeight="1" s="42">
      <c r="A47" s="59" t="n"/>
      <c r="B47" s="58" t="n"/>
      <c r="C47" s="58" t="n"/>
      <c r="D47" s="59" t="n"/>
      <c r="E47" s="59" t="n"/>
      <c r="F47" s="58" t="n"/>
      <c r="G47" s="58" t="n"/>
      <c r="H47" s="59" t="n"/>
    </row>
    <row r="48" ht="15" customHeight="1" s="42">
      <c r="A48" s="52" t="n"/>
      <c r="B48" s="51" t="n"/>
      <c r="C48" s="51" t="n"/>
      <c r="D48" s="52" t="n"/>
      <c r="E48" s="52" t="n"/>
      <c r="F48" s="51" t="n"/>
      <c r="G48" s="51" t="n"/>
      <c r="H48" s="52" t="n"/>
    </row>
    <row r="49" ht="15" customHeight="1" s="42">
      <c r="A49" s="59" t="n"/>
      <c r="B49" s="58" t="n"/>
      <c r="C49" s="58" t="n"/>
      <c r="D49" s="59" t="n"/>
      <c r="E49" s="59" t="n"/>
      <c r="F49" s="58" t="n"/>
      <c r="G49" s="58" t="n"/>
      <c r="H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4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8" customWidth="1" style="41" min="2" max="2"/>
    <col width="12" customWidth="1" style="41" min="3" max="3"/>
    <col width="36" customWidth="1" style="41" min="4" max="4"/>
    <col width="55" customWidth="1" style="41" min="5" max="5"/>
    <col width="20" customWidth="1" style="41" min="6" max="6"/>
    <col width="42" customWidth="1" style="41" min="7" max="7"/>
  </cols>
  <sheetData>
    <row r="1" ht="15" customHeight="1" s="42">
      <c r="A1" s="49" t="inlineStr">
        <is>
          <t>Company</t>
        </is>
      </c>
      <c r="B1" s="49" t="inlineStr">
        <is>
          <t>Record Type</t>
        </is>
      </c>
      <c r="C1" s="49" t="inlineStr">
        <is>
          <t>Date</t>
        </is>
      </c>
      <c r="D1" s="49" t="inlineStr">
        <is>
          <t>Title / Context</t>
        </is>
      </c>
      <c r="E1" s="49" t="inlineStr">
        <is>
          <t>Excerpt / Summary</t>
        </is>
      </c>
      <c r="F1" s="49" t="inlineStr">
        <is>
          <t>Speaker / Author</t>
        </is>
      </c>
      <c r="G1" s="49" t="inlineStr">
        <is>
          <t>Source URL</t>
        </is>
      </c>
    </row>
    <row r="2" ht="53.25" customHeight="1" s="42">
      <c r="A2" s="67" t="inlineStr">
        <is>
          <t>(Record Type options:)</t>
        </is>
      </c>
      <c r="B2" s="64" t="inlineStr">
        <is>
          <t>DEI Policy / Press Release / Exec Quote / ESG Report / Mission Statement / Legal Filing</t>
        </is>
      </c>
      <c r="C2" s="68" t="n"/>
      <c r="D2" s="68" t="n"/>
      <c r="E2" s="68" t="n"/>
      <c r="F2" s="68" t="n"/>
      <c r="G2" s="68" t="n"/>
    </row>
    <row r="3" ht="23.25" customHeight="1" s="42">
      <c r="A3" s="59" t="inlineStr">
        <is>
          <t>Verizon</t>
        </is>
      </c>
      <c r="B3" s="59" t="inlineStr">
        <is>
          <t>Exec Quote</t>
        </is>
      </c>
      <c r="C3" s="58" t="inlineStr">
        <is>
          <t>2020-06-06</t>
        </is>
      </c>
      <c r="D3" s="59" t="inlineStr">
        <is>
          <t>CEO statement on diversity (later deleted)</t>
        </is>
      </c>
      <c r="E3" s="59" t="inlineStr">
        <is>
          <t>"Verizon is fiercely committed to diversity and inclusion across all spectrums because it makes us and the world better." — removed from verizon.com after May 2025</t>
        </is>
      </c>
      <c r="F3" s="59" t="inlineStr">
        <is>
          <t>Hans Vestberg, CEO</t>
        </is>
      </c>
      <c r="G3" s="59" t="inlineStr">
        <is>
          <t>https://popular.info/p/verizon-said-it-was-fiercely-committed</t>
        </is>
      </c>
    </row>
    <row r="4" ht="23.25" customHeight="1" s="42">
      <c r="A4" s="59" t="inlineStr">
        <is>
          <t>Verizon</t>
        </is>
      </c>
      <c r="B4" s="59" t="inlineStr">
        <is>
          <t>Legal Filing</t>
        </is>
      </c>
      <c r="C4" s="58" t="inlineStr">
        <is>
          <t>2025-05-15</t>
        </is>
      </c>
      <c r="D4" s="59" t="inlineStr">
        <is>
          <t>Letter to FCC ending DEI policies</t>
        </is>
      </c>
      <c r="E4" s="59" t="inlineStr">
        <is>
          <t>Verizon committed to ending DEI-related policies, removing 'diversity, equity and inclusion' references from training and public messaging, and ending certain sponsorships; FCC approved the Frontier acquisition the following day.</t>
        </is>
      </c>
      <c r="F4" s="59" t="inlineStr">
        <is>
          <t>Verizon Chief Legal Officer</t>
        </is>
      </c>
      <c r="G4" s="59" t="inlineStr">
        <is>
          <t>https://www.npr.org/2025/05/19/nx-s1-5402863/verizon-fcc-frontier-dei-trump</t>
        </is>
      </c>
    </row>
    <row r="5" ht="23.25" customHeight="1" s="42">
      <c r="A5" s="59" t="inlineStr">
        <is>
          <t>AT&amp;T</t>
        </is>
      </c>
      <c r="B5" s="59" t="inlineStr">
        <is>
          <t>Legal Filing</t>
        </is>
      </c>
      <c r="C5" s="58" t="inlineStr">
        <is>
          <t>2025-12-01</t>
        </is>
      </c>
      <c r="D5" s="59" t="inlineStr">
        <is>
          <t>AT&amp;T letter to FCC</t>
        </is>
      </c>
      <c r="E5" s="59" t="inlineStr">
        <is>
          <t>AT&amp;T 'will not pursue DEI programs' and frames hiring/advancement as merit-based, in a letter submitted while seeking FCC approval of its UScellular spectrum acquisition.</t>
        </is>
      </c>
      <c r="F5" s="59" t="inlineStr">
        <is>
          <t>AT&amp;T</t>
        </is>
      </c>
      <c r="G5" s="59" t="inlineStr">
        <is>
          <t>https://www.hr-brew.com/stories/2025/12/04/at-and-t-promised-it-will-not-pursue-dei-programs-in-a-new-letter-to-the-fcc</t>
        </is>
      </c>
    </row>
    <row r="6" ht="23.25" customHeight="1" s="42">
      <c r="A6" s="59" t="inlineStr">
        <is>
          <t>T-Mobile</t>
        </is>
      </c>
      <c r="B6" s="59" t="inlineStr">
        <is>
          <t>Legal Filing</t>
        </is>
      </c>
      <c r="C6" s="58" t="inlineStr">
        <is>
          <t>2025-07</t>
        </is>
      </c>
      <c r="D6" s="59" t="inlineStr">
        <is>
          <t>T-Mobile letter to FCC</t>
        </is>
      </c>
      <c r="E6" s="59" t="inlineStr">
        <is>
          <t>T-Mobile is 'ending its DEI programs, not just in name, but in substance' — submitted while seeking approval of UScellular and Metronet transactions.</t>
        </is>
      </c>
      <c r="F6" s="59" t="inlineStr">
        <is>
          <t>T-Mobile</t>
        </is>
      </c>
      <c r="G6" s="59" t="inlineStr">
        <is>
          <t>https://deadline.com/2025/07/t-mobile-dei-fcc-brendan-carr-1236453389/</t>
        </is>
      </c>
    </row>
    <row r="7" ht="23.25" customHeight="1" s="42">
      <c r="A7" s="59" t="inlineStr">
        <is>
          <t>Charter / Spectrum</t>
        </is>
      </c>
      <c r="B7" s="59" t="inlineStr">
        <is>
          <t>DEI Policy</t>
        </is>
      </c>
      <c r="C7" s="58" t="inlineStr">
        <is>
          <t>2024</t>
        </is>
      </c>
      <c r="D7" s="59" t="inlineStr">
        <is>
          <t>Careers EEO language</t>
        </is>
      </c>
      <c r="E7" s="59" t="inlineStr">
        <is>
          <t>Charter's employment policy includes sexual orientation and gender identity — standard compliance language with no broader public LGBTQ+ program attached.</t>
        </is>
      </c>
      <c r="F7" s="59" t="inlineStr">
        <is>
          <t>Charter Communications</t>
        </is>
      </c>
      <c r="G7" s="59" t="inlineStr">
        <is>
          <t>https://web.archive.org/web/2024/https://jobs.spectrum.com/diversity-and-inclusion</t>
        </is>
      </c>
    </row>
    <row r="8" ht="23.25" customHeight="1" s="42">
      <c r="A8" s="59" t="inlineStr">
        <is>
          <t>Apple</t>
        </is>
      </c>
      <c r="B8" s="59" t="inlineStr">
        <is>
          <t>Press Release</t>
        </is>
      </c>
      <c r="C8" s="58" t="inlineStr">
        <is>
          <t>2025-02-25</t>
        </is>
      </c>
      <c r="D8" s="59" t="inlineStr">
        <is>
          <t>Shareholder meeting result</t>
        </is>
      </c>
      <c r="E8" s="59" t="inlineStr">
        <is>
          <t>Apple shareholders rejected a proposal to end DEI policies by 97.3%, with the board recommending against it.</t>
        </is>
      </c>
      <c r="F8" s="59" t="inlineStr">
        <is>
          <t>Apple Inc.</t>
        </is>
      </c>
      <c r="G8" s="59" t="inlineStr">
        <is>
          <t>https://www.reuters.com/technology/apple-investors-reject-proposal-against-dei-policies-2025-02-25/</t>
        </is>
      </c>
    </row>
    <row r="9" ht="23.25" customHeight="1" s="42">
      <c r="A9" s="59" t="inlineStr">
        <is>
          <t>Google / Alphabet</t>
        </is>
      </c>
      <c r="B9" s="59" t="inlineStr">
        <is>
          <t>Press Release</t>
        </is>
      </c>
      <c r="C9" s="58" t="inlineStr">
        <is>
          <t>2025-02</t>
        </is>
      </c>
      <c r="D9" s="59" t="inlineStr">
        <is>
          <t>Google statement on calendar changes</t>
        </is>
      </c>
      <c r="E9" s="59" t="inlineStr">
        <is>
          <t>Google said maintaining 'hundreds of moments manually and consistently globally wasn't scalable or sustainable' — explanation widely criticized as cover for DEI retreat.</t>
        </is>
      </c>
      <c r="F9" s="59" t="inlineStr">
        <is>
          <t>Google spokesperson</t>
        </is>
      </c>
      <c r="G9" s="59" t="inlineStr">
        <is>
          <t>https://www.axios.com/2025/02/12/google-calendar-holidays-heritage-months-remove-diversity</t>
        </is>
      </c>
    </row>
    <row r="10" ht="23.25" customHeight="1" s="42">
      <c r="A10" s="59" t="inlineStr">
        <is>
          <t>Meta</t>
        </is>
      </c>
      <c r="B10" s="59" t="inlineStr">
        <is>
          <t>DEI Policy</t>
        </is>
      </c>
      <c r="C10" s="58" t="inlineStr">
        <is>
          <t>2025-01-07</t>
        </is>
      </c>
      <c r="D10" s="59" t="inlineStr">
        <is>
          <t>Revised Hateful Conduct policy</t>
        </is>
      </c>
      <c r="E10" s="59" t="inlineStr">
        <is>
          <t>Policy now permits 'allegations of mental illness or abnormality when based on gender or sexual orientation, given political and religious discourse about transgenderism and homosexuality.'</t>
        </is>
      </c>
      <c r="F10" s="59" t="inlineStr">
        <is>
          <t>Meta</t>
        </is>
      </c>
      <c r="G10" s="59" t="inlineStr">
        <is>
          <t>https://web.archive.org/web/2025/https://transparency.meta.com/policies/community-standards/hateful-conduct/</t>
        </is>
      </c>
    </row>
    <row r="11" ht="23.25" customHeight="1" s="42">
      <c r="A11" s="59" t="inlineStr">
        <is>
          <t>Microsoft</t>
        </is>
      </c>
      <c r="B11" s="59" t="inlineStr">
        <is>
          <t>ESG Report</t>
        </is>
      </c>
      <c r="C11" s="58" t="inlineStr">
        <is>
          <t>2024-10-23</t>
        </is>
      </c>
      <c r="D11" s="59" t="inlineStr">
        <is>
          <t>2024 Global Diversity &amp; Inclusion Report</t>
        </is>
      </c>
      <c r="E11" s="59" t="inlineStr">
        <is>
          <t>CEO Satya Nadella reiterated the importance of a diverse workforce in Microsoft's most transparent global report to date — published amid industry-wide retreat.</t>
        </is>
      </c>
      <c r="F11" s="59" t="inlineStr">
        <is>
          <t>Satya Nadella, CEO</t>
        </is>
      </c>
      <c r="G11" s="59" t="inlineStr">
        <is>
          <t>https://blogs.microsoft.com/blog/2024/10/23/microsofts-2024-global-diversity-inclusion-report-our-most-global-transparent-report-yet/</t>
        </is>
      </c>
    </row>
    <row r="12" ht="23.25" customHeight="1" s="42">
      <c r="A12" s="59" t="inlineStr">
        <is>
          <t>Microsoft</t>
        </is>
      </c>
      <c r="B12" s="59" t="inlineStr">
        <is>
          <t>Press Release</t>
        </is>
      </c>
      <c r="C12" s="58" t="inlineStr">
        <is>
          <t>2024-07</t>
        </is>
      </c>
      <c r="D12" s="59" t="inlineStr">
        <is>
          <t>Internal DEI team layoff</t>
        </is>
      </c>
      <c r="E12" s="59" t="inlineStr">
        <is>
          <t>Microsoft laid off its internal DEI team citing 'changing business needs' per a memo leaked to Business Insider; public commitments continued.</t>
        </is>
      </c>
      <c r="F12" s="59" t="inlineStr">
        <is>
          <t>Microsoft</t>
        </is>
      </c>
      <c r="G12" s="59" t="inlineStr">
        <is>
          <t>https://www.businessinsider.com/microsoft-layoffs-dei-leader-email-2024-7</t>
        </is>
      </c>
    </row>
    <row r="13" ht="23.25" customHeight="1" s="42">
      <c r="A13" s="59" t="inlineStr">
        <is>
          <t>Amazon</t>
        </is>
      </c>
      <c r="B13" s="59" t="inlineStr">
        <is>
          <t>Mission Statement</t>
        </is>
      </c>
      <c r="C13" s="58" t="inlineStr">
        <is>
          <t>2025-01</t>
        </is>
      </c>
      <c r="D13" s="59" t="inlineStr">
        <is>
          <t>Positions page edits</t>
        </is>
      </c>
      <c r="E13" s="59" t="inlineStr">
        <is>
          <t>Removed: pledge of commitment to 'LGBTQ+ rights,' description of gender-affirming care benefits per WPATH standards, and support for trans anti-discrimination legislation. Before-state preserved at the Wayback Machine.</t>
        </is>
      </c>
      <c r="F13" s="59" t="inlineStr">
        <is>
          <t>Amazon</t>
        </is>
      </c>
      <c r="G13" s="59" t="inlineStr">
        <is>
          <t>https://www.metroweekly.com/2025/01/amazon-erases-lgbtq-rights-support-from-website/</t>
        </is>
      </c>
    </row>
    <row r="14" ht="23.25" customHeight="1" s="42">
      <c r="A14" s="59" t="inlineStr">
        <is>
          <t>Walmart</t>
        </is>
      </c>
      <c r="B14" s="59" t="inlineStr">
        <is>
          <t>Press Release</t>
        </is>
      </c>
      <c r="C14" s="58" t="inlineStr">
        <is>
          <t>2025-05-28</t>
        </is>
      </c>
      <c r="D14" s="59" t="inlineStr">
        <is>
          <t>Spokesperson on Columbus Pride withdrawal</t>
        </is>
      </c>
      <c r="E14" s="59" t="inlineStr">
        <is>
          <t>Walmart said it is focused on 'creating an environment where our associates and customers feel they belong' while ending its Pride sponsorship.</t>
        </is>
      </c>
      <c r="F14" s="59" t="inlineStr">
        <is>
          <t>Jimmy Carter, Walmart spokesperson</t>
        </is>
      </c>
      <c r="G14" s="59" t="inlineStr">
        <is>
          <t>https://www.dispatch.com/story/news/local/2025/05/28/stonewall-columbus-pride-corporate-sponsors-anheuser-busch-lowes-nissan-walmart-back-out/83898020007/</t>
        </is>
      </c>
    </row>
    <row r="15" ht="23.25" customHeight="1" s="42">
      <c r="A15" s="59" t="inlineStr">
        <is>
          <t>Target</t>
        </is>
      </c>
      <c r="B15" s="59" t="inlineStr">
        <is>
          <t>Press Release</t>
        </is>
      </c>
      <c r="C15" s="58" t="inlineStr">
        <is>
          <t>2025-01-24</t>
        </is>
      </c>
      <c r="D15" s="59" t="inlineStr">
        <is>
          <t>'Belonging at the Bullseye' memo ending DEI goals</t>
        </is>
      </c>
      <c r="E15" s="59" t="inlineStr">
        <is>
          <t>Target cited an 'evolving external landscape' in ending its DEI goals and external survey reporting, including HRC's CEI.</t>
        </is>
      </c>
      <c r="F15" s="59" t="inlineStr">
        <is>
          <t>Kiera Fernandez, Chief Community Impact Officer</t>
        </is>
      </c>
      <c r="G15" s="59" t="inlineStr">
        <is>
          <t>https://www.pbs.org/newshour/politics/target-says-it-is-ending-its-dei-goals-and-programs-citing-an-evolving-external-landscape</t>
        </is>
      </c>
    </row>
    <row r="16" ht="23.25" customHeight="1" s="42">
      <c r="A16" s="59" t="inlineStr">
        <is>
          <t>Costco</t>
        </is>
      </c>
      <c r="B16" s="59" t="inlineStr">
        <is>
          <t>Press Release</t>
        </is>
      </c>
      <c r="C16" s="58" t="inlineStr">
        <is>
          <t>2025-01-23</t>
        </is>
      </c>
      <c r="D16" s="59" t="inlineStr">
        <is>
          <t>Board statement opposing anti-DEI proposal</t>
        </is>
      </c>
      <c r="E16" s="59" t="inlineStr">
        <is>
          <t>Costco's board unanimously recommended shareholders vote against the proposal, stating its diversity efforts are integral to its business and culture.</t>
        </is>
      </c>
      <c r="F16" s="59" t="inlineStr">
        <is>
          <t>Costco Board of Directors</t>
        </is>
      </c>
      <c r="G16" s="59" t="inlineStr">
        <is>
          <t>https://www.cbsnews.com/news/costco-dei-policy-board-statement-shareholder-meeting-vote/</t>
        </is>
      </c>
    </row>
    <row r="17" ht="23.25" customHeight="1" s="42">
      <c r="A17" s="59" t="inlineStr">
        <is>
          <t>Home Depot</t>
        </is>
      </c>
      <c r="B17" s="59" t="inlineStr">
        <is>
          <t>DEI Policy</t>
        </is>
      </c>
      <c r="C17" s="58" t="inlineStr">
        <is>
          <t>2024</t>
        </is>
      </c>
      <c r="D17" s="59" t="inlineStr">
        <is>
          <t>Careers EEO language</t>
        </is>
      </c>
      <c r="E17" s="59" t="inlineStr">
        <is>
          <t>Home Depot's employment policy includes sexual orientation and gender identity — standard compliance language with no broader public LGBTQ+ program attached.</t>
        </is>
      </c>
      <c r="F17" s="59" t="inlineStr">
        <is>
          <t>Home Depot</t>
        </is>
      </c>
      <c r="G17" s="59" t="inlineStr">
        <is>
          <t>https://web.archive.org/web/2024/https://careers.homedepot.com/diversity-equity-inclusion/</t>
        </is>
      </c>
    </row>
    <row r="18" ht="23.25" customHeight="1" s="42">
      <c r="A18" s="59" t="inlineStr">
        <is>
          <t>Best Buy</t>
        </is>
      </c>
      <c r="B18" s="59" t="inlineStr">
        <is>
          <t>ESG Report</t>
        </is>
      </c>
      <c r="C18" s="58" t="inlineStr">
        <is>
          <t>2024</t>
        </is>
      </c>
      <c r="D18" s="59" t="inlineStr">
        <is>
          <t>2024 corporate report drops measurable DEI goals</t>
        </is>
      </c>
      <c r="E18" s="59" t="inlineStr">
        <is>
          <t>Measurable diversity hiring targets present in the 2023 report (e.g., 37% BIPOC for new salaried corporate roles) are absent from the 2024 report.</t>
        </is>
      </c>
      <c r="F18" s="59" t="inlineStr">
        <is>
          <t>Best Buy</t>
        </is>
      </c>
      <c r="G18" s="59" t="inlineStr">
        <is>
          <t>https://buildremote.co/dei/best-buy/</t>
        </is>
      </c>
    </row>
    <row r="19" ht="23.25" customHeight="1" s="42">
      <c r="A19" s="59" t="inlineStr">
        <is>
          <t>Vineyard Vines</t>
        </is>
      </c>
      <c r="B19" s="59" t="inlineStr">
        <is>
          <t>Press Release</t>
        </is>
      </c>
      <c r="C19" s="58" t="inlineStr">
        <is>
          <t>2026-06</t>
        </is>
      </c>
      <c r="D19" s="59" t="inlineStr">
        <is>
          <t>Research note</t>
        </is>
      </c>
      <c r="E19" s="59" t="inlineStr">
        <is>
          <t>No Pride collections, LGBTQ+ donations, sponsorships, CEI participation, or reversals located in news archives, HRC records, or company materials as of June 2026.</t>
        </is>
      </c>
      <c r="F19" s="59" t="inlineStr">
        <is>
          <t>Index research</t>
        </is>
      </c>
      <c r="G19" s="59" t="inlineStr">
        <is>
          <t>https://www.hrc.org/resources/corporate-equality-index</t>
        </is>
      </c>
    </row>
    <row r="20" ht="23.25" customHeight="1" s="42">
      <c r="A20" s="59" t="inlineStr">
        <is>
          <t>Levi Strauss &amp; Co.</t>
        </is>
      </c>
      <c r="B20" s="59" t="inlineStr">
        <is>
          <t>Press Release</t>
        </is>
      </c>
      <c r="C20" s="58" t="inlineStr">
        <is>
          <t>2025-05</t>
        </is>
      </c>
      <c r="D20" s="59" t="inlineStr">
        <is>
          <t>Shareholder vote</t>
        </is>
      </c>
      <c r="E20" s="59" t="inlineStr">
        <is>
          <t>Levi Strauss shareholders overwhelmingly rejected a proposal targeting the company's DEI programs.</t>
        </is>
      </c>
      <c r="F20" s="59" t="inlineStr">
        <is>
          <t>Levi Strauss &amp; Co.</t>
        </is>
      </c>
      <c r="G20" s="59" t="inlineStr">
        <is>
          <t>https://www.cnn.com/2025/05/02/business/costco-apple-levi-shareholders-dei</t>
        </is>
      </c>
    </row>
    <row r="21" ht="23.25" customHeight="1" s="42">
      <c r="A21" s="59" t="inlineStr">
        <is>
          <t>Starbucks</t>
        </is>
      </c>
      <c r="B21" s="59" t="inlineStr">
        <is>
          <t>Press Release</t>
        </is>
      </c>
      <c r="C21" s="58" t="inlineStr">
        <is>
          <t>2025-03-13</t>
        </is>
      </c>
      <c r="D21" s="59" t="inlineStr">
        <is>
          <t>Executive pay restructuring</t>
        </is>
      </c>
      <c r="E21" s="59" t="inlineStr">
        <is>
          <t>Shareholders approved dropping the 7.5% executive bonus tied to DEI goals, replaced with a general workforce metric; company affirmed its 30%/40% diversity goals remain in place.</t>
        </is>
      </c>
      <c r="F21" s="59" t="inlineStr">
        <is>
          <t>Starbucks</t>
        </is>
      </c>
      <c r="G21" s="59" t="inlineStr">
        <is>
          <t>https://www.seattletimes.com/business/starbucks/starbucks-drops-executive-pay-package-tied-to-dei-amid-conservative-pressure/</t>
        </is>
      </c>
    </row>
    <row r="22" ht="23.25" customHeight="1" s="42">
      <c r="A22" s="59" t="inlineStr">
        <is>
          <t>Chick-fil-A</t>
        </is>
      </c>
      <c r="B22" s="59" t="inlineStr">
        <is>
          <t>Exec Quote</t>
        </is>
      </c>
      <c r="C22" s="58" t="inlineStr">
        <is>
          <t>2012-07</t>
        </is>
      </c>
      <c r="D22" s="59" t="inlineStr">
        <is>
          <t>Dan Cathy on marriage equality</t>
        </is>
      </c>
      <c r="E22" s="59" t="inlineStr">
        <is>
          <t>'We are very much supportive of the family — the biblical definition of the family unit... I think we are inviting God's judgment on our nation when we shake our fist at Him and say, we know better than you.'</t>
        </is>
      </c>
      <c r="F22" s="59" t="inlineStr">
        <is>
          <t>Dan Cathy, CEO</t>
        </is>
      </c>
      <c r="G22" s="59" t="inlineStr">
        <is>
          <t>https://en.wikipedia.org/wiki/Chick-fil-A_and_LGBT_people</t>
        </is>
      </c>
    </row>
    <row r="23" ht="23.25" customHeight="1" s="42">
      <c r="A23" s="59" t="inlineStr">
        <is>
          <t>Subway</t>
        </is>
      </c>
      <c r="B23" s="59" t="inlineStr">
        <is>
          <t>Press Release</t>
        </is>
      </c>
      <c r="C23" s="58" t="inlineStr">
        <is>
          <t>2026-06</t>
        </is>
      </c>
      <c r="D23" s="59" t="inlineStr">
        <is>
          <t>Research note</t>
        </is>
      </c>
      <c r="E23" s="59" t="inlineStr">
        <is>
          <t>No Pride campaigns, LGBTQ+ donations, sponsorships, CEI participation, or reversals located in news archives or company materials as of June 2026.</t>
        </is>
      </c>
      <c r="F23" s="59" t="inlineStr">
        <is>
          <t>Index research</t>
        </is>
      </c>
      <c r="G23" s="59" t="inlineStr">
        <is>
          <t>https://www.hrc.org/resources/corporate-equality-index</t>
        </is>
      </c>
    </row>
    <row r="24" ht="23.25" customHeight="1" s="42">
      <c r="A24" s="59" t="inlineStr">
        <is>
          <t>Anheuser-Busch InBev</t>
        </is>
      </c>
      <c r="B24" s="59" t="inlineStr">
        <is>
          <t>Press Release</t>
        </is>
      </c>
      <c r="C24" s="58" t="inlineStr">
        <is>
          <t>2023-04-14</t>
        </is>
      </c>
      <c r="D24" s="59" t="inlineStr">
        <is>
          <t>CEO statement amid boycott</t>
        </is>
      </c>
      <c r="E24" s="59" t="inlineStr">
        <is>
          <t>Brendan Whitworth's 'We never intended to be part of a discussion that divides people' statement — widely read as an apology to boycotters rather than a defense of the trans community.</t>
        </is>
      </c>
      <c r="F24" s="59" t="inlineStr">
        <is>
          <t>Brendan Whitworth, CEO Anheuser-Busch</t>
        </is>
      </c>
      <c r="G24" s="59" t="inlineStr">
        <is>
          <t>https://en.wikipedia.org/wiki/Bud_Light_boycott</t>
        </is>
      </c>
    </row>
    <row r="25" ht="23.25" customHeight="1" s="42">
      <c r="A25" s="59" t="inlineStr">
        <is>
          <t>Tyson Foods</t>
        </is>
      </c>
      <c r="B25" s="59" t="inlineStr">
        <is>
          <t>Press Release</t>
        </is>
      </c>
      <c r="C25" s="58" t="inlineStr">
        <is>
          <t>2026-06</t>
        </is>
      </c>
      <c r="D25" s="59" t="inlineStr">
        <is>
          <t>Research note</t>
        </is>
      </c>
      <c r="E25" s="59" t="inlineStr">
        <is>
          <t>No Pride campaigns, LGBTQ+ donations, sponsorships, CEI participation, or reversals located in news archives or company materials as of June 2026.</t>
        </is>
      </c>
      <c r="F25" s="59" t="inlineStr">
        <is>
          <t>Index research</t>
        </is>
      </c>
      <c r="G25" s="59" t="inlineStr">
        <is>
          <t>https://www.hrc.org/resources/corporate-equality-index</t>
        </is>
      </c>
    </row>
    <row r="26" ht="23.25" customHeight="1" s="42">
      <c r="A26" s="59" t="inlineStr">
        <is>
          <t>JPMorgan Chase</t>
        </is>
      </c>
      <c r="B26" s="59" t="inlineStr">
        <is>
          <t>Press Release</t>
        </is>
      </c>
      <c r="C26" s="58" t="inlineStr">
        <is>
          <t>2025-03</t>
        </is>
      </c>
      <c r="D26" s="59" t="inlineStr">
        <is>
          <t>DEI renamed 'Diversity, Opportunity &amp; Inclusion'</t>
        </is>
      </c>
      <c r="E26" s="59" t="inlineStr">
        <is>
          <t>JPMorgan renamed its DEI program to 'Diversity, Opportunity &amp; Inclusion,' dropping 'equity,' and folded some programs into other units — a symbolic concession while programs continued.</t>
        </is>
      </c>
      <c r="F26" s="59" t="inlineStr">
        <is>
          <t>JPMorgan Chase</t>
        </is>
      </c>
      <c r="G26" s="59" t="inlineStr">
        <is>
          <t>https://www.bankingdive.com/news/goldman-dei-diversity-equity-inclusion-solomon-gnodde-moynihan-fraser-dimon/741251/</t>
        </is>
      </c>
    </row>
    <row r="27" ht="23.25" customHeight="1" s="42">
      <c r="A27" s="59" t="inlineStr">
        <is>
          <t>Walt Disney Co.</t>
        </is>
      </c>
      <c r="B27" s="59" t="inlineStr">
        <is>
          <t>Press Release</t>
        </is>
      </c>
      <c r="C27" s="58" t="inlineStr">
        <is>
          <t>2025-03-28</t>
        </is>
      </c>
      <c r="D27" s="59" t="inlineStr">
        <is>
          <t>FCC investigation notice</t>
        </is>
      </c>
      <c r="E27" s="59" t="inlineStr">
        <is>
          <t>FCC chairman Brendan Carr opened an investigation into Disney/ABC DEI practices despite the company's February rollback.</t>
        </is>
      </c>
      <c r="F27" s="59" t="inlineStr">
        <is>
          <t>FCC / news coverage</t>
        </is>
      </c>
      <c r="G27" s="59" t="inlineStr">
        <is>
          <t>https://www.cnbc.com/2025/03/28/dei-disney-abc-fcc-investigation-notice.html</t>
        </is>
      </c>
    </row>
    <row r="28" ht="23.25" customHeight="1" s="42">
      <c r="A28" s="59" t="inlineStr">
        <is>
          <t>NBCUniversal</t>
        </is>
      </c>
      <c r="B28" s="59" t="inlineStr">
        <is>
          <t>Press Release</t>
        </is>
      </c>
      <c r="C28" s="58" t="inlineStr">
        <is>
          <t>2025-02</t>
        </is>
      </c>
      <c r="D28" s="59" t="inlineStr">
        <is>
          <t>FCC probe of parent Comcast/NBCU</t>
        </is>
      </c>
      <c r="E28" s="59" t="inlineStr">
        <is>
          <t>FCC chairman Brendan Carr opened an investigation into Comcast and NBCUniversal DEI practices in early February 2025.</t>
        </is>
      </c>
      <c r="F28" s="59" t="inlineStr">
        <is>
          <t>News coverage</t>
        </is>
      </c>
      <c r="G28" s="59" t="inlineStr">
        <is>
          <t>https://www.cnbc.com/2025/03/28/dei-disney-abc-fcc-investigation-notice.html</t>
        </is>
      </c>
    </row>
    <row r="29" ht="23.25" customHeight="1" s="42">
      <c r="A29" s="59" t="inlineStr">
        <is>
          <t>Tesla</t>
        </is>
      </c>
      <c r="B29" s="59" t="inlineStr">
        <is>
          <t>Exec Quote</t>
        </is>
      </c>
      <c r="C29" s="58" t="inlineStr">
        <is>
          <t>2023-06</t>
        </is>
      </c>
      <c r="D29" s="59" t="inlineStr">
        <is>
          <t>Musk on X re: 'cisgender'</t>
        </is>
      </c>
      <c r="E29" s="59" t="inlineStr">
        <is>
          <t>Musk declared 'cis'/'cisgender' slurs subject to suspension on X and has repeatedly amplified anti-trans content — leadership rhetoric inseparable from the brand.</t>
        </is>
      </c>
      <c r="F29" s="59" t="inlineStr">
        <is>
          <t>Elon Musk, CEO</t>
        </is>
      </c>
      <c r="G29" s="59" t="inlineStr">
        <is>
          <t>https://en.wikipedia.org/wiki/Views_of_Elon_Musk</t>
        </is>
      </c>
    </row>
    <row r="30" ht="23.25" customHeight="1" s="42">
      <c r="A30" s="59" t="inlineStr">
        <is>
          <t>NextEra Energy</t>
        </is>
      </c>
      <c r="B30" s="59" t="inlineStr">
        <is>
          <t>Press Release</t>
        </is>
      </c>
      <c r="C30" s="58" t="inlineStr">
        <is>
          <t>2026-06</t>
        </is>
      </c>
      <c r="D30" s="59" t="inlineStr">
        <is>
          <t>Research note</t>
        </is>
      </c>
      <c r="E30" s="59" t="inlineStr">
        <is>
          <t>No Pride campaigns, LGBTQ+ donations, sponsorships, CEI participation, or reversals located in news archives or company materials as of June 2026.</t>
        </is>
      </c>
      <c r="F30" s="59" t="inlineStr">
        <is>
          <t>Index research</t>
        </is>
      </c>
      <c r="G30" s="59" t="inlineStr">
        <is>
          <t>https://www.hrc.org/resources/corporate-equality-index</t>
        </is>
      </c>
    </row>
    <row r="31" ht="23.25" customHeight="1" s="42">
      <c r="A31" s="59" t="inlineStr">
        <is>
          <t>Southern Company</t>
        </is>
      </c>
      <c r="B31" s="59" t="inlineStr">
        <is>
          <t>Press Release</t>
        </is>
      </c>
      <c r="C31" s="58" t="inlineStr">
        <is>
          <t>2026-06</t>
        </is>
      </c>
      <c r="D31" s="59" t="inlineStr">
        <is>
          <t>Research note</t>
        </is>
      </c>
      <c r="E31" s="59" t="inlineStr">
        <is>
          <t>No Pride campaigns, LGBTQ+ donations, sponsorships, CEI participation, or reversals located in news archives or company materials as of June 2026.</t>
        </is>
      </c>
      <c r="F31" s="59" t="inlineStr">
        <is>
          <t>Index research</t>
        </is>
      </c>
      <c r="G31" s="59" t="inlineStr">
        <is>
          <t>https://www.hrc.org/resources/corporate-equality-index</t>
        </is>
      </c>
    </row>
    <row r="32" ht="23.25" customHeight="1" s="42">
      <c r="A32" s="59" t="inlineStr">
        <is>
          <t>Palantir Technologies</t>
        </is>
      </c>
      <c r="B32" s="59" t="inlineStr">
        <is>
          <t>Exec Quote</t>
        </is>
      </c>
      <c r="C32" s="58" t="inlineStr">
        <is>
          <t>2025-11-03</t>
        </is>
      </c>
      <c r="D32" s="59" t="inlineStr">
        <is>
          <t>Q3 2025 earnings call</t>
        </is>
      </c>
      <c r="E32" s="59" t="inlineStr">
        <is>
          <t>CEO Alex Karp: Palantir 'was really the first company to be completely anti-woke,' having previously called wokeness a 'central risk' to the company and country.</t>
        </is>
      </c>
      <c r="F32" s="59" t="inlineStr">
        <is>
          <t>Alex Karp, CEO</t>
        </is>
      </c>
      <c r="G32" s="59" t="inlineStr">
        <is>
          <t>https://fortune.com/2025/11/04/palantir-ceo-anti-woke-investment-trump-government-technology-ai-worker-rich/</t>
        </is>
      </c>
    </row>
    <row r="33" ht="23.25" customHeight="1" s="42">
      <c r="A33" s="59" t="inlineStr">
        <is>
          <t>Block (Square)</t>
        </is>
      </c>
      <c r="B33" s="59" t="inlineStr">
        <is>
          <t>Press Release</t>
        </is>
      </c>
      <c r="C33" s="58" t="inlineStr">
        <is>
          <t>2026-06</t>
        </is>
      </c>
      <c r="D33" s="59" t="inlineStr">
        <is>
          <t>Research note</t>
        </is>
      </c>
      <c r="E33" s="59" t="inlineStr">
        <is>
          <t>No Pride campaigns, LGBTQ+ donations, sponsorships, recent CEI participation, or reversals located as of June 2026.</t>
        </is>
      </c>
      <c r="F33" s="59" t="inlineStr">
        <is>
          <t>Index research</t>
        </is>
      </c>
      <c r="G33" s="59" t="inlineStr">
        <is>
          <t>https://www.hrc.org/resources/corporate-equality-index</t>
        </is>
      </c>
    </row>
    <row r="34" ht="23.25" customHeight="1" s="42">
      <c r="A34" s="59" t="inlineStr">
        <is>
          <t>Dollar General</t>
        </is>
      </c>
      <c r="B34" s="59" t="inlineStr">
        <is>
          <t>Press Release</t>
        </is>
      </c>
      <c r="C34" s="58" t="inlineStr">
        <is>
          <t>2026-06</t>
        </is>
      </c>
      <c r="D34" s="59" t="inlineStr">
        <is>
          <t>Research note</t>
        </is>
      </c>
      <c r="E34" s="59" t="inlineStr">
        <is>
          <t>No Pride campaigns, LGBTQ+ donations, sponsorships, CEI participation, or reversals located as of June 2026.</t>
        </is>
      </c>
      <c r="F34" s="59" t="inlineStr">
        <is>
          <t>Index research</t>
        </is>
      </c>
      <c r="G34" s="59" t="inlineStr">
        <is>
          <t>https://www.hrc.org/resources/corporate-equality-index</t>
        </is>
      </c>
    </row>
    <row r="35" ht="23.25" customHeight="1" s="42">
      <c r="A35" s="59" t="inlineStr">
        <is>
          <t>Dollar Tree</t>
        </is>
      </c>
      <c r="B35" s="59" t="inlineStr">
        <is>
          <t>Press Release</t>
        </is>
      </c>
      <c r="C35" s="58" t="inlineStr">
        <is>
          <t>2026-06</t>
        </is>
      </c>
      <c r="D35" s="59" t="inlineStr">
        <is>
          <t>Research note</t>
        </is>
      </c>
      <c r="E35" s="59" t="inlineStr">
        <is>
          <t>No Pride campaigns, LGBTQ+ donations, sponsorships, CEI participation, or reversals located as of June 2026.</t>
        </is>
      </c>
      <c r="F35" s="59" t="inlineStr">
        <is>
          <t>Index research</t>
        </is>
      </c>
      <c r="G35" s="59" t="inlineStr">
        <is>
          <t>https://www.hrc.org/resources/corporate-equality-index</t>
        </is>
      </c>
    </row>
    <row r="36" ht="23.25" customHeight="1" s="42">
      <c r="A36" s="59" t="inlineStr">
        <is>
          <t>Domino's Pizza</t>
        </is>
      </c>
      <c r="B36" s="59" t="inlineStr">
        <is>
          <t>Press Release</t>
        </is>
      </c>
      <c r="C36" s="58" t="inlineStr">
        <is>
          <t>2026-06</t>
        </is>
      </c>
      <c r="D36" s="59" t="inlineStr">
        <is>
          <t>Research note</t>
        </is>
      </c>
      <c r="E36" s="59" t="inlineStr">
        <is>
          <t>No Pride campaigns, LGBTQ+ donations, sponsorships, CEI participation, or reversals located as of June 2026.</t>
        </is>
      </c>
      <c r="F36" s="59" t="inlineStr">
        <is>
          <t>Index research</t>
        </is>
      </c>
      <c r="G36" s="59" t="inlineStr">
        <is>
          <t>https://www.hrc.org/resources/corporate-equality-index</t>
        </is>
      </c>
    </row>
    <row r="37" ht="23.25" customHeight="1" s="42">
      <c r="A37" s="59" t="inlineStr">
        <is>
          <t>ConocoPhillips</t>
        </is>
      </c>
      <c r="B37" s="59" t="inlineStr">
        <is>
          <t>Press Release</t>
        </is>
      </c>
      <c r="C37" s="58" t="inlineStr">
        <is>
          <t>2026-06</t>
        </is>
      </c>
      <c r="D37" s="59" t="inlineStr">
        <is>
          <t>Research note</t>
        </is>
      </c>
      <c r="E37" s="59" t="inlineStr">
        <is>
          <t>No Pride campaigns, LGBTQ+ donations, sponsorships, CEI participation, or reversals located as of June 2026.</t>
        </is>
      </c>
      <c r="F37" s="59" t="inlineStr">
        <is>
          <t>Index research</t>
        </is>
      </c>
      <c r="G37" s="59" t="inlineStr">
        <is>
          <t>https://www.hrc.org/resources/corporate-equality-index</t>
        </is>
      </c>
    </row>
    <row r="38" ht="23.25" customHeight="1" s="42">
      <c r="A38" s="59" t="inlineStr">
        <is>
          <t>Phillips 66</t>
        </is>
      </c>
      <c r="B38" s="59" t="inlineStr">
        <is>
          <t>Press Release</t>
        </is>
      </c>
      <c r="C38" s="58" t="inlineStr">
        <is>
          <t>2026-06</t>
        </is>
      </c>
      <c r="D38" s="59" t="inlineStr">
        <is>
          <t>Research note</t>
        </is>
      </c>
      <c r="E38" s="59" t="inlineStr">
        <is>
          <t>No Pride campaigns, LGBTQ+ donations, sponsorships, CEI participation, or reversals located as of June 2026.</t>
        </is>
      </c>
      <c r="F38" s="59" t="inlineStr">
        <is>
          <t>Index research</t>
        </is>
      </c>
      <c r="G38" s="59" t="inlineStr">
        <is>
          <t>https://www.hrc.org/resources/corporate-equality-index</t>
        </is>
      </c>
    </row>
    <row r="39" ht="23.25" customHeight="1" s="42">
      <c r="A39" s="59" t="inlineStr">
        <is>
          <t>Marathon Petroleum</t>
        </is>
      </c>
      <c r="B39" s="59" t="inlineStr">
        <is>
          <t>Press Release</t>
        </is>
      </c>
      <c r="C39" s="58" t="inlineStr">
        <is>
          <t>2026-06</t>
        </is>
      </c>
      <c r="D39" s="59" t="inlineStr">
        <is>
          <t>Research note</t>
        </is>
      </c>
      <c r="E39" s="59" t="inlineStr">
        <is>
          <t>No Pride campaigns, LGBTQ+ donations, sponsorships, CEI participation, or reversals located as of June 2026.</t>
        </is>
      </c>
      <c r="F39" s="59" t="inlineStr">
        <is>
          <t>Index research</t>
        </is>
      </c>
      <c r="G39" s="59" t="inlineStr">
        <is>
          <t>https://www.hrc.org/resources/corporate-equality-index</t>
        </is>
      </c>
    </row>
    <row r="40" ht="23.25" customHeight="1" s="42">
      <c r="A40" s="59" t="inlineStr">
        <is>
          <t>Rivian</t>
        </is>
      </c>
      <c r="B40" s="59" t="inlineStr">
        <is>
          <t>Press Release</t>
        </is>
      </c>
      <c r="C40" s="58" t="inlineStr">
        <is>
          <t>2026-06</t>
        </is>
      </c>
      <c r="D40" s="59" t="inlineStr">
        <is>
          <t>Research note</t>
        </is>
      </c>
      <c r="E40" s="59" t="inlineStr">
        <is>
          <t>No Pride campaigns, LGBTQ+ donations, sponsorships, CEI participation, or reversals located as of June 2026.</t>
        </is>
      </c>
      <c r="F40" s="59" t="inlineStr">
        <is>
          <t>Index research</t>
        </is>
      </c>
      <c r="G40" s="59" t="inlineStr">
        <is>
          <t>https://www.hrc.org/resources/corporate-equality-index</t>
        </is>
      </c>
    </row>
    <row r="41" ht="23.25" customHeight="1" s="42">
      <c r="A41" s="59" t="inlineStr">
        <is>
          <t>Lucid Group</t>
        </is>
      </c>
      <c r="B41" s="59" t="inlineStr">
        <is>
          <t>Press Release</t>
        </is>
      </c>
      <c r="C41" s="58" t="inlineStr">
        <is>
          <t>2026-06</t>
        </is>
      </c>
      <c r="D41" s="59" t="inlineStr">
        <is>
          <t>Research note</t>
        </is>
      </c>
      <c r="E41" s="59" t="inlineStr">
        <is>
          <t>No Pride campaigns, LGBTQ+ donations, sponsorships, CEI participation, or reversals located as of June 2026. Majority shareholder is Saudi Arabia's Public Investment Fund.</t>
        </is>
      </c>
      <c r="F41" s="59" t="inlineStr">
        <is>
          <t>Index research</t>
        </is>
      </c>
      <c r="G41" s="59" t="inlineStr">
        <is>
          <t>https://www.hrc.org/resources/corporate-equality-index</t>
        </is>
      </c>
    </row>
    <row r="42" ht="23.25" customHeight="1" s="42">
      <c r="A42" s="59" t="inlineStr">
        <is>
          <t>AutoZone</t>
        </is>
      </c>
      <c r="B42" s="59" t="inlineStr">
        <is>
          <t>Press Release</t>
        </is>
      </c>
      <c r="C42" s="58" t="inlineStr">
        <is>
          <t>2026-06</t>
        </is>
      </c>
      <c r="D42" s="59" t="inlineStr">
        <is>
          <t>Research note</t>
        </is>
      </c>
      <c r="E42" s="59" t="inlineStr">
        <is>
          <t>No Pride campaigns, LGBTQ+ donations, sponsorships, CEI participation, or reversals located as of June 2026.</t>
        </is>
      </c>
      <c r="F42" s="59" t="inlineStr">
        <is>
          <t>Index research</t>
        </is>
      </c>
      <c r="G42" s="59" t="inlineStr">
        <is>
          <t>https://www.hrc.org/resources/corporate-equality-index</t>
        </is>
      </c>
    </row>
    <row r="43" ht="23.25" customHeight="1" s="42">
      <c r="A43" s="59" t="inlineStr">
        <is>
          <t>Ross Stores / Ross Dress for Less</t>
        </is>
      </c>
      <c r="B43" s="59" t="inlineStr">
        <is>
          <t>Press Release</t>
        </is>
      </c>
      <c r="C43" s="58" t="inlineStr">
        <is>
          <t>2026-06</t>
        </is>
      </c>
      <c r="D43" s="59" t="inlineStr">
        <is>
          <t>Research note</t>
        </is>
      </c>
      <c r="E43" s="59" t="inlineStr">
        <is>
          <t>No Pride campaigns, LGBTQ+ donations, sponsorships, CEI participation, or reversals located as of June 2026.</t>
        </is>
      </c>
      <c r="F43" s="59" t="inlineStr">
        <is>
          <t>Index research</t>
        </is>
      </c>
      <c r="G43" s="59" t="inlineStr">
        <is>
          <t>https://www.hrc.org/resources/corporate-equality-index</t>
        </is>
      </c>
    </row>
    <row r="44" ht="23.25" customHeight="1" s="42">
      <c r="A44" s="59" t="inlineStr">
        <is>
          <t>Burlington Stores</t>
        </is>
      </c>
      <c r="B44" s="59" t="inlineStr">
        <is>
          <t>Press Release</t>
        </is>
      </c>
      <c r="C44" s="58" t="inlineStr">
        <is>
          <t>2026-06</t>
        </is>
      </c>
      <c r="D44" s="59" t="inlineStr">
        <is>
          <t>Research note</t>
        </is>
      </c>
      <c r="E44" s="59" t="inlineStr">
        <is>
          <t>No Pride campaigns, LGBTQ+ donations, sponsorships, CEI participation, or reversals located as of June 2026.</t>
        </is>
      </c>
      <c r="F44" s="59" t="inlineStr">
        <is>
          <t>Index research</t>
        </is>
      </c>
      <c r="G44" s="59" t="inlineStr">
        <is>
          <t>https://www.hrc.org/resources/corporate-equality-index</t>
        </is>
      </c>
    </row>
    <row r="45" ht="23.25" customHeight="1" s="42">
      <c r="A45" s="59" t="inlineStr">
        <is>
          <t>Chewy</t>
        </is>
      </c>
      <c r="B45" s="59" t="inlineStr">
        <is>
          <t>Press Release</t>
        </is>
      </c>
      <c r="C45" s="58" t="inlineStr">
        <is>
          <t>2026-06</t>
        </is>
      </c>
      <c r="D45" s="59" t="inlineStr">
        <is>
          <t>Research note</t>
        </is>
      </c>
      <c r="E45" s="59" t="inlineStr">
        <is>
          <t>No Pride campaigns, LGBTQ+ donations, sponsorships, CEI participation, or reversals located as of June 2026.</t>
        </is>
      </c>
      <c r="F45" s="59" t="inlineStr">
        <is>
          <t>Index research</t>
        </is>
      </c>
      <c r="G45" s="59" t="inlineStr">
        <is>
          <t>https://www.hrc.org/resources/corporate-equality-index</t>
        </is>
      </c>
    </row>
    <row r="46" ht="23.25" customHeight="1" s="42">
      <c r="A46" s="59" t="inlineStr">
        <is>
          <t>Mars, Inc.</t>
        </is>
      </c>
      <c r="B46" s="59" t="inlineStr">
        <is>
          <t>Press Release</t>
        </is>
      </c>
      <c r="C46" s="58" t="inlineStr">
        <is>
          <t>2023-01-23</t>
        </is>
      </c>
      <c r="D46" s="59" t="inlineStr">
        <is>
          <t>M&amp;M's spokescandies pause</t>
        </is>
      </c>
      <c r="E46" s="59" t="inlineStr">
        <is>
          <t>Mars paused its M&amp;M's spokescandies ('an indefinite pause from the spokescandies') after sustained Fox News mockery of inclusive redesigns — widely read as a capitulation reflex; characters later returned.</t>
        </is>
      </c>
      <c r="F46" s="59" t="inlineStr">
        <is>
          <t>M&amp;M's (Mars)</t>
        </is>
      </c>
      <c r="G46" s="59" t="inlineStr">
        <is>
          <t>https://en.wikipedia.org/wiki/M%26M%27s</t>
        </is>
      </c>
    </row>
    <row r="47" ht="15" customHeight="1" s="42">
      <c r="A47" s="59" t="n"/>
      <c r="B47" s="59" t="n"/>
      <c r="C47" s="58" t="n"/>
      <c r="D47" s="59" t="n"/>
      <c r="E47" s="59" t="n"/>
      <c r="F47" s="59" t="n"/>
      <c r="G47" s="59" t="n"/>
    </row>
    <row r="48" ht="15" customHeight="1" s="42">
      <c r="A48" s="52" t="n"/>
      <c r="B48" s="52" t="n"/>
      <c r="C48" s="51" t="n"/>
      <c r="D48" s="52" t="n"/>
      <c r="E48" s="52" t="n"/>
      <c r="F48" s="52" t="n"/>
      <c r="G48" s="52" t="n"/>
    </row>
    <row r="49" ht="15" customHeight="1" s="42">
      <c r="A49" s="59" t="n"/>
      <c r="B49" s="59" t="n"/>
      <c r="C49" s="58" t="n"/>
      <c r="D49" s="59" t="n"/>
      <c r="E49" s="59" t="n"/>
      <c r="F49" s="59" t="n"/>
      <c r="G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6" customWidth="1" style="41" min="2" max="2"/>
    <col width="12" customWidth="1" style="41" min="3" max="3"/>
    <col width="9" customWidth="1" style="41" min="4" max="4"/>
    <col width="50" customWidth="1" style="41" min="5" max="5"/>
  </cols>
  <sheetData>
    <row r="1" ht="15" customHeight="1" s="42">
      <c r="A1" s="49" t="inlineStr">
        <is>
          <t>Action ID</t>
        </is>
      </c>
      <c r="B1" s="49" t="inlineStr">
        <is>
          <t>Tier / Category</t>
        </is>
      </c>
      <c r="C1" s="49" t="inlineStr">
        <is>
          <t>Polarity</t>
        </is>
      </c>
      <c r="D1" s="49" t="inlineStr">
        <is>
          <t>Points</t>
        </is>
      </c>
      <c r="E1" s="49" t="inlineStr">
        <is>
          <t>Description</t>
        </is>
      </c>
    </row>
    <row r="2" ht="15" customHeight="1" s="42">
      <c r="A2" s="69" t="inlineStr">
        <is>
          <t>p_logo_rainbow</t>
        </is>
      </c>
      <c r="B2" s="69" t="inlineStr">
        <is>
          <t>Cosmetic</t>
        </is>
      </c>
      <c r="C2" s="70" t="inlineStr">
        <is>
          <t>Positive</t>
        </is>
      </c>
      <c r="D2" s="71" t="n">
        <v>3</v>
      </c>
      <c r="E2" s="52" t="inlineStr">
        <is>
          <t>Rainbow logo / social profile filter</t>
        </is>
      </c>
    </row>
    <row r="3" ht="15" customHeight="1" s="42">
      <c r="A3" s="72" t="inlineStr">
        <is>
          <t>p_generic_post</t>
        </is>
      </c>
      <c r="B3" s="72" t="inlineStr">
        <is>
          <t>Cosmetic</t>
        </is>
      </c>
      <c r="C3" s="73" t="inlineStr">
        <is>
          <t>Positive</t>
        </is>
      </c>
      <c r="D3" s="74" t="n">
        <v>2</v>
      </c>
      <c r="E3" s="59" t="inlineStr">
        <is>
          <t>Generic 'we support Pride' post</t>
        </is>
      </c>
    </row>
    <row r="4" ht="15" customHeight="1" s="42">
      <c r="A4" s="69" t="inlineStr">
        <is>
          <t>p_flag_display</t>
        </is>
      </c>
      <c r="B4" s="69" t="inlineStr">
        <is>
          <t>Cosmetic</t>
        </is>
      </c>
      <c r="C4" s="70" t="inlineStr">
        <is>
          <t>Positive</t>
        </is>
      </c>
      <c r="D4" s="71" t="n">
        <v>4</v>
      </c>
      <c r="E4" s="52" t="inlineStr">
        <is>
          <t>Pride flag at offices / HQ</t>
        </is>
      </c>
    </row>
    <row r="5" ht="15" customHeight="1" s="42">
      <c r="A5" s="72" t="inlineStr">
        <is>
          <t>p_merch_collection</t>
        </is>
      </c>
      <c r="B5" s="72" t="inlineStr">
        <is>
          <t>Commercial</t>
        </is>
      </c>
      <c r="C5" s="73" t="inlineStr">
        <is>
          <t>Positive</t>
        </is>
      </c>
      <c r="D5" s="74" t="n">
        <v>6</v>
      </c>
      <c r="E5" s="59" t="inlineStr">
        <is>
          <t>Pride merchandise collection</t>
        </is>
      </c>
    </row>
    <row r="6" ht="15" customHeight="1" s="42">
      <c r="A6" s="69" t="inlineStr">
        <is>
          <t>p_merch_proceeds</t>
        </is>
      </c>
      <c r="B6" s="69" t="inlineStr">
        <is>
          <t>Commercial</t>
        </is>
      </c>
      <c r="C6" s="70" t="inlineStr">
        <is>
          <t>Positive</t>
        </is>
      </c>
      <c r="D6" s="71" t="n">
        <v>10</v>
      </c>
      <c r="E6" s="52" t="inlineStr">
        <is>
          <t>Merch proceeds donated to LGBTQ+ orgs</t>
        </is>
      </c>
    </row>
    <row r="7" ht="15" customHeight="1" s="42">
      <c r="A7" s="72" t="inlineStr">
        <is>
          <t>p_collab</t>
        </is>
      </c>
      <c r="B7" s="72" t="inlineStr">
        <is>
          <t>Commercial</t>
        </is>
      </c>
      <c r="C7" s="73" t="inlineStr">
        <is>
          <t>Positive</t>
        </is>
      </c>
      <c r="D7" s="74" t="n">
        <v>8</v>
      </c>
      <c r="E7" s="59" t="inlineStr">
        <is>
          <t>Collaboration with queer artists/brands</t>
        </is>
      </c>
    </row>
    <row r="8" ht="15" customHeight="1" s="42">
      <c r="A8" s="69" t="inlineStr">
        <is>
          <t>p_parade_sponsor</t>
        </is>
      </c>
      <c r="B8" s="69" t="inlineStr">
        <is>
          <t>Civic</t>
        </is>
      </c>
      <c r="C8" s="70" t="inlineStr">
        <is>
          <t>Positive</t>
        </is>
      </c>
      <c r="D8" s="71" t="n">
        <v>12</v>
      </c>
      <c r="E8" s="52" t="inlineStr">
        <is>
          <t>Pride parade / event sponsorship</t>
        </is>
      </c>
    </row>
    <row r="9" ht="15" customHeight="1" s="42">
      <c r="A9" s="72" t="inlineStr">
        <is>
          <t>p_parade_march</t>
        </is>
      </c>
      <c r="B9" s="72" t="inlineStr">
        <is>
          <t>Civic</t>
        </is>
      </c>
      <c r="C9" s="73" t="inlineStr">
        <is>
          <t>Positive</t>
        </is>
      </c>
      <c r="D9" s="74" t="n">
        <v>10</v>
      </c>
      <c r="E9" s="59" t="inlineStr">
        <is>
          <t>Employees march (organized)</t>
        </is>
      </c>
    </row>
    <row r="10" ht="15" customHeight="1" s="42">
      <c r="A10" s="69" t="inlineStr">
        <is>
          <t>p_erg_support</t>
        </is>
      </c>
      <c r="B10" s="69" t="inlineStr">
        <is>
          <t>Civic</t>
        </is>
      </c>
      <c r="C10" s="70" t="inlineStr">
        <is>
          <t>Positive</t>
        </is>
      </c>
      <c r="D10" s="71" t="n">
        <v>15</v>
      </c>
      <c r="E10" s="52" t="inlineStr">
        <is>
          <t>LGBTQ+ ERG funded</t>
        </is>
      </c>
    </row>
    <row r="11" ht="15" customHeight="1" s="42">
      <c r="A11" s="72" t="inlineStr">
        <is>
          <t>p_community_events</t>
        </is>
      </c>
      <c r="B11" s="72" t="inlineStr">
        <is>
          <t>Civic</t>
        </is>
      </c>
      <c r="C11" s="73" t="inlineStr">
        <is>
          <t>Positive</t>
        </is>
      </c>
      <c r="D11" s="74" t="n">
        <v>12</v>
      </c>
      <c r="E11" s="59" t="inlineStr">
        <is>
          <t>Hosts / joins community events</t>
        </is>
      </c>
    </row>
    <row r="12" ht="15" customHeight="1" s="42">
      <c r="A12" s="69" t="inlineStr">
        <is>
          <t>p_donation_small</t>
        </is>
      </c>
      <c r="B12" s="69" t="inlineStr">
        <is>
          <t>Financial</t>
        </is>
      </c>
      <c r="C12" s="70" t="inlineStr">
        <is>
          <t>Positive</t>
        </is>
      </c>
      <c r="D12" s="71" t="n">
        <v>15</v>
      </c>
      <c r="E12" s="52" t="inlineStr">
        <is>
          <t>Donation &lt; $100K</t>
        </is>
      </c>
    </row>
    <row r="13" ht="15" customHeight="1" s="42">
      <c r="A13" s="72" t="inlineStr">
        <is>
          <t>p_donation_large</t>
        </is>
      </c>
      <c r="B13" s="72" t="inlineStr">
        <is>
          <t>Financial</t>
        </is>
      </c>
      <c r="C13" s="73" t="inlineStr">
        <is>
          <t>Positive</t>
        </is>
      </c>
      <c r="D13" s="74" t="n">
        <v>22</v>
      </c>
      <c r="E13" s="59" t="inlineStr">
        <is>
          <t>Donation $100K–$1M+</t>
        </is>
      </c>
    </row>
    <row r="14" ht="15" customHeight="1" s="42">
      <c r="A14" s="69" t="inlineStr">
        <is>
          <t>p_matching</t>
        </is>
      </c>
      <c r="B14" s="69" t="inlineStr">
        <is>
          <t>Financial</t>
        </is>
      </c>
      <c r="C14" s="70" t="inlineStr">
        <is>
          <t>Positive</t>
        </is>
      </c>
      <c r="D14" s="71" t="n">
        <v>18</v>
      </c>
      <c r="E14" s="52" t="inlineStr">
        <is>
          <t>Employee donation matching</t>
        </is>
      </c>
    </row>
    <row r="15" ht="15" customHeight="1" s="42">
      <c r="A15" s="72" t="inlineStr">
        <is>
          <t>p_recurring</t>
        </is>
      </c>
      <c r="B15" s="72" t="inlineStr">
        <is>
          <t>Financial</t>
        </is>
      </c>
      <c r="C15" s="73" t="inlineStr">
        <is>
          <t>Positive</t>
        </is>
      </c>
      <c r="D15" s="74" t="n">
        <v>25</v>
      </c>
      <c r="E15" s="59" t="inlineStr">
        <is>
          <t>Multi-year recurring commitment</t>
        </is>
      </c>
    </row>
    <row r="16" ht="15" customHeight="1" s="42">
      <c r="A16" s="69" t="inlineStr">
        <is>
          <t>p_dei_explicit</t>
        </is>
      </c>
      <c r="B16" s="69" t="inlineStr">
        <is>
          <t>Structural</t>
        </is>
      </c>
      <c r="C16" s="70" t="inlineStr">
        <is>
          <t>Positive</t>
        </is>
      </c>
      <c r="D16" s="71" t="n">
        <v>20</v>
      </c>
      <c r="E16" s="52" t="inlineStr">
        <is>
          <t>Explicit DEI policy naming LGBTQ+</t>
        </is>
      </c>
    </row>
    <row r="17" ht="15" customHeight="1" s="42">
      <c r="A17" s="72" t="inlineStr">
        <is>
          <t>p_benefits</t>
        </is>
      </c>
      <c r="B17" s="72" t="inlineStr">
        <is>
          <t>Structural</t>
        </is>
      </c>
      <c r="C17" s="73" t="inlineStr">
        <is>
          <t>Positive</t>
        </is>
      </c>
      <c r="D17" s="74" t="n">
        <v>22</v>
      </c>
      <c r="E17" s="59" t="inlineStr">
        <is>
          <t>Partner / transition health benefits</t>
        </is>
      </c>
    </row>
    <row r="18" ht="15" customHeight="1" s="42">
      <c r="A18" s="69" t="inlineStr">
        <is>
          <t>p_consistent_history</t>
        </is>
      </c>
      <c r="B18" s="69" t="inlineStr">
        <is>
          <t>Structural</t>
        </is>
      </c>
      <c r="C18" s="70" t="inlineStr">
        <is>
          <t>Positive</t>
        </is>
      </c>
      <c r="D18" s="71" t="n">
        <v>28</v>
      </c>
      <c r="E18" s="52" t="inlineStr">
        <is>
          <t>5+ year consistent support record</t>
        </is>
      </c>
    </row>
    <row r="19" ht="15" customHeight="1" s="42">
      <c r="A19" s="72" t="inlineStr">
        <is>
          <t>p_leadership_vocal</t>
        </is>
      </c>
      <c r="B19" s="72" t="inlineStr">
        <is>
          <t>Structural</t>
        </is>
      </c>
      <c r="C19" s="73" t="inlineStr">
        <is>
          <t>Positive</t>
        </is>
      </c>
      <c r="D19" s="74" t="n">
        <v>18</v>
      </c>
      <c r="E19" s="59" t="inlineStr">
        <is>
          <t>C-suite publicly advocates</t>
        </is>
      </c>
    </row>
    <row r="20" ht="15" customHeight="1" s="42">
      <c r="A20" s="69" t="inlineStr">
        <is>
          <t>p_anti_discrim_policy</t>
        </is>
      </c>
      <c r="B20" s="69" t="inlineStr">
        <is>
          <t>Structural</t>
        </is>
      </c>
      <c r="C20" s="70" t="inlineStr">
        <is>
          <t>Positive</t>
        </is>
      </c>
      <c r="D20" s="71" t="n">
        <v>25</v>
      </c>
      <c r="E20" s="52" t="inlineStr">
        <is>
          <t>Anti-discrim policy (orientation + identity)</t>
        </is>
      </c>
    </row>
    <row r="21" ht="15" customHeight="1" s="42">
      <c r="A21" s="72" t="inlineStr">
        <is>
          <t>n_anti_lgbtq_donations</t>
        </is>
      </c>
      <c r="B21" s="72" t="inlineStr">
        <is>
          <t>—</t>
        </is>
      </c>
      <c r="C21" s="73" t="inlineStr">
        <is>
          <t>Negative</t>
        </is>
      </c>
      <c r="D21" s="75" t="n">
        <v>-30</v>
      </c>
      <c r="E21" s="59" t="inlineStr">
        <is>
          <t>Donations to anti-LGBTQ+ politicians/PACs</t>
        </is>
      </c>
    </row>
    <row r="22" ht="15" customHeight="1" s="42">
      <c r="A22" s="69" t="inlineStr">
        <is>
          <t>n_anti_lgbtq_orgs</t>
        </is>
      </c>
      <c r="B22" s="69" t="inlineStr">
        <is>
          <t>—</t>
        </is>
      </c>
      <c r="C22" s="70" t="inlineStr">
        <is>
          <t>Negative</t>
        </is>
      </c>
      <c r="D22" s="76" t="n">
        <v>-35</v>
      </c>
      <c r="E22" s="52" t="inlineStr">
        <is>
          <t>Funding anti-LGBTQ+ organizations</t>
        </is>
      </c>
    </row>
    <row r="23" ht="15" customHeight="1" s="42">
      <c r="A23" s="72" t="inlineStr">
        <is>
          <t>n_lobbying</t>
        </is>
      </c>
      <c r="B23" s="72" t="inlineStr">
        <is>
          <t>—</t>
        </is>
      </c>
      <c r="C23" s="73" t="inlineStr">
        <is>
          <t>Negative</t>
        </is>
      </c>
      <c r="D23" s="75" t="n">
        <v>-40</v>
      </c>
      <c r="E23" s="59" t="inlineStr">
        <is>
          <t>Lobbying against LGBTQ+ legislation</t>
        </is>
      </c>
    </row>
    <row r="24" ht="15" customHeight="1" s="42">
      <c r="A24" s="69" t="inlineStr">
        <is>
          <t>n_benefits_rollback</t>
        </is>
      </c>
      <c r="B24" s="69" t="inlineStr">
        <is>
          <t>—</t>
        </is>
      </c>
      <c r="C24" s="70" t="inlineStr">
        <is>
          <t>Negative</t>
        </is>
      </c>
      <c r="D24" s="76" t="n">
        <v>-28</v>
      </c>
      <c r="E24" s="52" t="inlineStr">
        <is>
          <t>Rolled back LGBTQ+ employee benefits</t>
        </is>
      </c>
    </row>
    <row r="25" ht="15" customHeight="1" s="42">
      <c r="A25" s="72" t="inlineStr">
        <is>
          <t>n_dei_removal</t>
        </is>
      </c>
      <c r="B25" s="72" t="inlineStr">
        <is>
          <t>—</t>
        </is>
      </c>
      <c r="C25" s="73" t="inlineStr">
        <is>
          <t>Negative</t>
        </is>
      </c>
      <c r="D25" s="75" t="n">
        <v>-32</v>
      </c>
      <c r="E25" s="59" t="inlineStr">
        <is>
          <t>Removed LGBTQ+ language from DEI policy</t>
        </is>
      </c>
    </row>
    <row r="26" ht="15" customHeight="1" s="42">
      <c r="A26" s="69" t="inlineStr">
        <is>
          <t>n_pride_retreat</t>
        </is>
      </c>
      <c r="B26" s="69" t="inlineStr">
        <is>
          <t>—</t>
        </is>
      </c>
      <c r="C26" s="70" t="inlineStr">
        <is>
          <t>Negative</t>
        </is>
      </c>
      <c r="D26" s="76" t="n">
        <v>-22</v>
      </c>
      <c r="E26" s="52" t="inlineStr">
        <is>
          <t>Publicly retreated from Pride commitments</t>
        </is>
      </c>
    </row>
    <row r="27" ht="15" customHeight="1" s="42">
      <c r="A27" s="72" t="inlineStr">
        <is>
          <t>n_us_only</t>
        </is>
      </c>
      <c r="B27" s="72" t="inlineStr">
        <is>
          <t>—</t>
        </is>
      </c>
      <c r="C27" s="73" t="inlineStr">
        <is>
          <t>Negative</t>
        </is>
      </c>
      <c r="D27" s="75" t="n">
        <v>-12</v>
      </c>
      <c r="E27" s="59" t="inlineStr">
        <is>
          <t>US support only; discriminatory abroad</t>
        </is>
      </c>
    </row>
    <row r="28" ht="15" customHeight="1" s="42">
      <c r="A28" s="69" t="inlineStr">
        <is>
          <t>n_greenwashing</t>
        </is>
      </c>
      <c r="B28" s="69" t="inlineStr">
        <is>
          <t>—</t>
        </is>
      </c>
      <c r="C28" s="70" t="inlineStr">
        <is>
          <t>Negative</t>
        </is>
      </c>
      <c r="D28" s="76" t="n">
        <v>-8</v>
      </c>
      <c r="E28" s="52" t="inlineStr">
        <is>
          <t>Pride washing — branding, no substance</t>
        </is>
      </c>
    </row>
    <row r="29" ht="15" customHeight="1" s="42">
      <c r="A29" s="72" t="inlineStr">
        <is>
          <t>n_selective</t>
        </is>
      </c>
      <c r="B29" s="72" t="inlineStr">
        <is>
          <t>—</t>
        </is>
      </c>
      <c r="C29" s="73" t="inlineStr">
        <is>
          <t>Negative</t>
        </is>
      </c>
      <c r="D29" s="75" t="n">
        <v>-10</v>
      </c>
      <c r="E29" s="59" t="inlineStr">
        <is>
          <t>Selective inclusion (excludes trans/NB)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2" customWidth="1" style="41" min="2" max="2"/>
    <col width="11" customWidth="1" style="41" min="3" max="3"/>
    <col width="8" customWidth="1" style="41" min="4" max="5"/>
    <col width="11" customWidth="1" style="41" min="6" max="7"/>
  </cols>
  <sheetData>
    <row r="1" ht="15" customHeight="1" s="42">
      <c r="A1" s="49" t="inlineStr">
        <is>
          <t>Sector</t>
        </is>
      </c>
      <c r="B1" s="49" t="inlineStr">
        <is>
          <t># Companies</t>
        </is>
      </c>
      <c r="C1" s="49" t="inlineStr">
        <is>
          <t>Avg Score</t>
        </is>
      </c>
      <c r="D1" s="49" t="inlineStr">
        <is>
          <t>Min</t>
        </is>
      </c>
      <c r="E1" s="49" t="inlineStr">
        <is>
          <t>Max</t>
        </is>
      </c>
      <c r="F1" s="49" t="inlineStr">
        <is>
          <t>Champions</t>
        </is>
      </c>
      <c r="G1" s="49" t="inlineStr">
        <is>
          <t>Harmful+</t>
        </is>
      </c>
    </row>
    <row r="2" ht="15" customHeight="1" s="42">
      <c r="A2" s="50" t="inlineStr">
        <is>
          <t>Telecommunications</t>
        </is>
      </c>
      <c r="B2" s="51">
        <f>COUNTIF(Company_Master!$C:$C,$A2)</f>
        <v/>
      </c>
      <c r="C2" s="55">
        <f>IFERROR(ROUND(AVERAGEIF(Company_Master!$C:$C,$A2,Company_Master!$J:$J),1),"-")</f>
        <v/>
      </c>
      <c r="D2" s="51">
        <f>IFERROR(minifs(Company_Master!$J:$J,Company_Master!$C:$C,$A2),"-")</f>
        <v/>
      </c>
      <c r="E2" s="51">
        <f>IFERROR(maxifs(Company_Master!$J:$J,Company_Master!$C:$C,$A2),"-")</f>
        <v/>
      </c>
      <c r="F2" s="53">
        <f>COUNTIFS(Company_Master!$C:$C,$A2,Company_Master!$J:$J,"&gt;=80")</f>
        <v/>
      </c>
      <c r="G2" s="54">
        <f>COUNTIFS(Company_Master!$C:$C,$A2,Company_Master!$J:$J,"&lt;35")</f>
        <v/>
      </c>
    </row>
    <row r="3" ht="15" customHeight="1" s="42">
      <c r="A3" s="50" t="inlineStr">
        <is>
          <t>Technology</t>
        </is>
      </c>
      <c r="B3" s="51">
        <f>COUNTIF(Company_Master!$C:$C,$A3)</f>
        <v/>
      </c>
      <c r="C3" s="55">
        <f>IFERROR(ROUND(AVERAGEIF(Company_Master!$C:$C,$A3,Company_Master!$J:$J),1),"-")</f>
        <v/>
      </c>
      <c r="D3" s="51">
        <f>IFERROR(minifs(Company_Master!$J:$J,Company_Master!$C:$C,$A3),"-")</f>
        <v/>
      </c>
      <c r="E3" s="51">
        <f>IFERROR(maxifs(Company_Master!$J:$J,Company_Master!$C:$C,$A3),"-")</f>
        <v/>
      </c>
      <c r="F3" s="53">
        <f>COUNTIFS(Company_Master!$C:$C,$A3,Company_Master!$J:$J,"&gt;=80")</f>
        <v/>
      </c>
      <c r="G3" s="54">
        <f>COUNTIFS(Company_Master!$C:$C,$A3,Company_Master!$J:$J,"&lt;35")</f>
        <v/>
      </c>
    </row>
    <row r="4" ht="15" customHeight="1" s="42">
      <c r="A4" s="50" t="inlineStr">
        <is>
          <t>Retail — Big Box</t>
        </is>
      </c>
      <c r="B4" s="51">
        <f>COUNTIF(Company_Master!$C:$C,$A4)</f>
        <v/>
      </c>
      <c r="C4" s="55">
        <f>IFERROR(ROUND(AVERAGEIF(Company_Master!$C:$C,$A4,Company_Master!$J:$J),1),"-")</f>
        <v/>
      </c>
      <c r="D4" s="51">
        <f>IFERROR(minifs(Company_Master!$J:$J,Company_Master!$C:$C,$A4),"-")</f>
        <v/>
      </c>
      <c r="E4" s="51">
        <f>IFERROR(maxifs(Company_Master!$J:$J,Company_Master!$C:$C,$A4),"-")</f>
        <v/>
      </c>
      <c r="F4" s="53">
        <f>COUNTIFS(Company_Master!$C:$C,$A4,Company_Master!$J:$J,"&gt;=80")</f>
        <v/>
      </c>
      <c r="G4" s="54">
        <f>COUNTIFS(Company_Master!$C:$C,$A4,Company_Master!$J:$J,"&lt;35")</f>
        <v/>
      </c>
    </row>
    <row r="5" ht="15" customHeight="1" s="42">
      <c r="A5" s="50" t="inlineStr">
        <is>
          <t>Fashion &amp; Apparel</t>
        </is>
      </c>
      <c r="B5" s="51">
        <f>COUNTIF(Company_Master!$C:$C,$A5)</f>
        <v/>
      </c>
      <c r="C5" s="55">
        <f>IFERROR(ROUND(AVERAGEIF(Company_Master!$C:$C,$A5,Company_Master!$J:$J),1),"-")</f>
        <v/>
      </c>
      <c r="D5" s="51">
        <f>IFERROR(minifs(Company_Master!$J:$J,Company_Master!$C:$C,$A5),"-")</f>
        <v/>
      </c>
      <c r="E5" s="51">
        <f>IFERROR(maxifs(Company_Master!$J:$J,Company_Master!$C:$C,$A5),"-")</f>
        <v/>
      </c>
      <c r="F5" s="53">
        <f>COUNTIFS(Company_Master!$C:$C,$A5,Company_Master!$J:$J,"&gt;=80")</f>
        <v/>
      </c>
      <c r="G5" s="54">
        <f>COUNTIFS(Company_Master!$C:$C,$A5,Company_Master!$J:$J,"&lt;35")</f>
        <v/>
      </c>
    </row>
    <row r="6" ht="15" customHeight="1" s="42">
      <c r="A6" s="50" t="inlineStr">
        <is>
          <t>Food &amp; Beverage</t>
        </is>
      </c>
      <c r="B6" s="51">
        <f>COUNTIF(Company_Master!$C:$C,$A6)</f>
        <v/>
      </c>
      <c r="C6" s="55">
        <f>IFERROR(ROUND(AVERAGEIF(Company_Master!$C:$C,$A6,Company_Master!$J:$J),1),"-")</f>
        <v/>
      </c>
      <c r="D6" s="51">
        <f>IFERROR(minifs(Company_Master!$J:$J,Company_Master!$C:$C,$A6),"-")</f>
        <v/>
      </c>
      <c r="E6" s="51">
        <f>IFERROR(maxifs(Company_Master!$J:$J,Company_Master!$C:$C,$A6),"-")</f>
        <v/>
      </c>
      <c r="F6" s="53">
        <f>COUNTIFS(Company_Master!$C:$C,$A6,Company_Master!$J:$J,"&gt;=80")</f>
        <v/>
      </c>
      <c r="G6" s="54">
        <f>COUNTIFS(Company_Master!$C:$C,$A6,Company_Master!$J:$J,"&lt;35")</f>
        <v/>
      </c>
    </row>
    <row r="7" ht="15" customHeight="1" s="42">
      <c r="A7" s="50" t="inlineStr">
        <is>
          <t>Financial Services</t>
        </is>
      </c>
      <c r="B7" s="51">
        <f>COUNTIF(Company_Master!$C:$C,$A7)</f>
        <v/>
      </c>
      <c r="C7" s="55">
        <f>IFERROR(ROUND(AVERAGEIF(Company_Master!$C:$C,$A7,Company_Master!$J:$J),1),"-")</f>
        <v/>
      </c>
      <c r="D7" s="51">
        <f>IFERROR(minifs(Company_Master!$J:$J,Company_Master!$C:$C,$A7),"-")</f>
        <v/>
      </c>
      <c r="E7" s="51">
        <f>IFERROR(maxifs(Company_Master!$J:$J,Company_Master!$C:$C,$A7),"-")</f>
        <v/>
      </c>
      <c r="F7" s="53">
        <f>COUNTIFS(Company_Master!$C:$C,$A7,Company_Master!$J:$J,"&gt;=80")</f>
        <v/>
      </c>
      <c r="G7" s="54">
        <f>COUNTIFS(Company_Master!$C:$C,$A7,Company_Master!$J:$J,"&lt;35")</f>
        <v/>
      </c>
    </row>
    <row r="8" ht="15" customHeight="1" s="42">
      <c r="A8" s="50" t="inlineStr">
        <is>
          <t>Media &amp; Entertainment</t>
        </is>
      </c>
      <c r="B8" s="51">
        <f>COUNTIF(Company_Master!$C:$C,$A8)</f>
        <v/>
      </c>
      <c r="C8" s="55">
        <f>IFERROR(ROUND(AVERAGEIF(Company_Master!$C:$C,$A8,Company_Master!$J:$J),1),"-")</f>
        <v/>
      </c>
      <c r="D8" s="51">
        <f>IFERROR(minifs(Company_Master!$J:$J,Company_Master!$C:$C,$A8),"-")</f>
        <v/>
      </c>
      <c r="E8" s="51">
        <f>IFERROR(maxifs(Company_Master!$J:$J,Company_Master!$C:$C,$A8),"-")</f>
        <v/>
      </c>
      <c r="F8" s="53">
        <f>COUNTIFS(Company_Master!$C:$C,$A8,Company_Master!$J:$J,"&gt;=80")</f>
        <v/>
      </c>
      <c r="G8" s="54">
        <f>COUNTIFS(Company_Master!$C:$C,$A8,Company_Master!$J:$J,"&lt;35")</f>
        <v/>
      </c>
    </row>
    <row r="9" ht="15" customHeight="1" s="42">
      <c r="A9" s="50" t="inlineStr">
        <is>
          <t>Automotive</t>
        </is>
      </c>
      <c r="B9" s="51">
        <f>COUNTIF(Company_Master!$C:$C,$A9)</f>
        <v/>
      </c>
      <c r="C9" s="55">
        <f>IFERROR(ROUND(AVERAGEIF(Company_Master!$C:$C,$A9,Company_Master!$J:$J),1),"-")</f>
        <v/>
      </c>
      <c r="D9" s="51">
        <f>IFERROR(minifs(Company_Master!$J:$J,Company_Master!$C:$C,$A9),"-")</f>
        <v/>
      </c>
      <c r="E9" s="51">
        <f>IFERROR(maxifs(Company_Master!$J:$J,Company_Master!$C:$C,$A9),"-")</f>
        <v/>
      </c>
      <c r="F9" s="53">
        <f>COUNTIFS(Company_Master!$C:$C,$A9,Company_Master!$J:$J,"&gt;=80")</f>
        <v/>
      </c>
      <c r="G9" s="54">
        <f>COUNTIFS(Company_Master!$C:$C,$A9,Company_Master!$J:$J,"&lt;35")</f>
        <v/>
      </c>
    </row>
    <row r="10" ht="15" customHeight="1" s="42">
      <c r="A10" s="50" t="inlineStr">
        <is>
          <t>Healthcare &amp; Pharma</t>
        </is>
      </c>
      <c r="B10" s="51">
        <f>COUNTIF(Company_Master!$C:$C,$A10)</f>
        <v/>
      </c>
      <c r="C10" s="55">
        <f>IFERROR(ROUND(AVERAGEIF(Company_Master!$C:$C,$A10,Company_Master!$J:$J),1),"-")</f>
        <v/>
      </c>
      <c r="D10" s="51">
        <f>IFERROR(minifs(Company_Master!$J:$J,Company_Master!$C:$C,$A10),"-")</f>
        <v/>
      </c>
      <c r="E10" s="51">
        <f>IFERROR(maxifs(Company_Master!$J:$J,Company_Master!$C:$C,$A10),"-")</f>
        <v/>
      </c>
      <c r="F10" s="53">
        <f>COUNTIFS(Company_Master!$C:$C,$A10,Company_Master!$J:$J,"&gt;=80")</f>
        <v/>
      </c>
      <c r="G10" s="54">
        <f>COUNTIFS(Company_Master!$C:$C,$A10,Company_Master!$J:$J,"&lt;35")</f>
        <v/>
      </c>
    </row>
    <row r="11" ht="15" customHeight="1" s="42">
      <c r="A11" s="50" t="inlineStr">
        <is>
          <t>Energy</t>
        </is>
      </c>
      <c r="B11" s="51">
        <f>COUNTIF(Company_Master!$C:$C,$A11)</f>
        <v/>
      </c>
      <c r="C11" s="55">
        <f>IFERROR(ROUND(AVERAGEIF(Company_Master!$C:$C,$A11,Company_Master!$J:$J),1),"-")</f>
        <v/>
      </c>
      <c r="D11" s="51">
        <f>IFERROR(minifs(Company_Master!$J:$J,Company_Master!$C:$C,$A11),"-")</f>
        <v/>
      </c>
      <c r="E11" s="51">
        <f>IFERROR(maxifs(Company_Master!$J:$J,Company_Master!$C:$C,$A11),"-")</f>
        <v/>
      </c>
      <c r="F11" s="53">
        <f>COUNTIFS(Company_Master!$C:$C,$A11,Company_Master!$J:$J,"&gt;=80")</f>
        <v/>
      </c>
      <c r="G11" s="54">
        <f>COUNTIFS(Company_Master!$C:$C,$A11,Company_Master!$J:$J,"&lt;35")</f>
        <v/>
      </c>
    </row>
    <row r="12" ht="15" customHeight="1" s="42">
      <c r="A12" s="50" t="inlineStr">
        <is>
          <t>Hospitality &amp; Travel</t>
        </is>
      </c>
      <c r="B12" s="51">
        <f>COUNTIF(Company_Master!$C:$C,$A12)</f>
        <v/>
      </c>
      <c r="C12" s="55">
        <f>IFERROR(ROUND(AVERAGEIF(Company_Master!$C:$C,$A12,Company_Master!$J:$J),1),"-")</f>
        <v/>
      </c>
      <c r="D12" s="51">
        <f>IFERROR(minifs(Company_Master!$J:$J,Company_Master!$C:$C,$A12),"-")</f>
        <v/>
      </c>
      <c r="E12" s="51">
        <f>IFERROR(maxifs(Company_Master!$J:$J,Company_Master!$C:$C,$A12),"-")</f>
        <v/>
      </c>
      <c r="F12" s="53">
        <f>COUNTIFS(Company_Master!$C:$C,$A12,Company_Master!$J:$J,"&gt;=80")</f>
        <v/>
      </c>
      <c r="G12" s="54">
        <f>COUNTIFS(Company_Master!$C:$C,$A12,Company_Master!$J:$J,"&lt;35")</f>
        <v/>
      </c>
    </row>
    <row r="13" ht="15" customHeight="1" s="42">
      <c r="A13" s="50" t="inlineStr">
        <is>
          <t>Consumer Goods</t>
        </is>
      </c>
      <c r="B13" s="51">
        <f>COUNTIF(Company_Master!$C:$C,$A13)</f>
        <v/>
      </c>
      <c r="C13" s="55">
        <f>IFERROR(ROUND(AVERAGEIF(Company_Master!$C:$C,$A13,Company_Master!$J:$J),1),"-")</f>
        <v/>
      </c>
      <c r="D13" s="51">
        <f>IFERROR(minifs(Company_Master!$J:$J,Company_Master!$C:$C,$A13),"-")</f>
        <v/>
      </c>
      <c r="E13" s="51">
        <f>IFERROR(maxifs(Company_Master!$J:$J,Company_Master!$C:$C,$A13),"-")</f>
        <v/>
      </c>
      <c r="F13" s="53">
        <f>COUNTIFS(Company_Master!$C:$C,$A13,Company_Master!$J:$J,"&gt;=80")</f>
        <v/>
      </c>
      <c r="G13" s="54">
        <f>COUNTIFS(Company_Master!$C:$C,$A13,Company_Master!$J:$J,"&lt;35")</f>
        <v/>
      </c>
    </row>
    <row r="14" ht="15" customHeight="1" s="42">
      <c r="A14" s="50" t="inlineStr">
        <is>
          <t>Defense &amp; Gov Contracting</t>
        </is>
      </c>
      <c r="B14" s="51">
        <f>COUNTIF(Company_Master!$C:$C,$A14)</f>
        <v/>
      </c>
      <c r="C14" s="55">
        <f>IFERROR(ROUND(AVERAGEIF(Company_Master!$C:$C,$A14,Company_Master!$J:$J),1),"-")</f>
        <v/>
      </c>
      <c r="D14" s="51">
        <f>IFERROR(minifs(Company_Master!$J:$J,Company_Master!$C:$C,$A14),"-")</f>
        <v/>
      </c>
      <c r="E14" s="51">
        <f>IFERROR(maxifs(Company_Master!$J:$J,Company_Master!$C:$C,$A14),"-")</f>
        <v/>
      </c>
      <c r="F14" s="53">
        <f>COUNTIFS(Company_Master!$C:$C,$A14,Company_Master!$J:$J,"&gt;=80")</f>
        <v/>
      </c>
      <c r="G14" s="54">
        <f>COUNTIFS(Company_Master!$C:$C,$A14,Company_Master!$J:$J,"&lt;35")</f>
        <v/>
      </c>
    </row>
    <row r="15" ht="15" customHeight="1" s="42">
      <c r="A15" s="50" t="inlineStr">
        <is>
          <t>Industrial &amp; Logistics</t>
        </is>
      </c>
      <c r="B15" s="51">
        <f>COUNTIF(Company_Master!$C:$C,$A15)</f>
        <v/>
      </c>
      <c r="C15" s="55">
        <f>IFERROR(ROUND(AVERAGEIF(Company_Master!$C:$C,$A15,Company_Master!$J:$J),1),"-")</f>
        <v/>
      </c>
      <c r="D15" s="51">
        <f>IFERROR(MINIFS(Company_Master!$J:$J,Company_Master!$C:$C,$A15),"-")</f>
        <v/>
      </c>
      <c r="E15" s="51">
        <f>IFERROR(MAXIFS(Company_Master!$J:$J,Company_Master!$C:$C,$A15),"-")</f>
        <v/>
      </c>
      <c r="F15" s="53">
        <f>COUNTIFS(Company_Master!$C:$C,$A15,Company_Master!$J:$J,"&gt;=80")</f>
        <v/>
      </c>
      <c r="G15" s="54">
        <f>COUNTIFS(Company_Master!$C:$C,$A15,Company_Master!$J:$J,"&lt;35")</f>
        <v/>
      </c>
    </row>
    <row r="16" ht="15" customHeight="1" s="42">
      <c r="A16" s="50" t="inlineStr">
        <is>
          <t>Retail — Automotive</t>
        </is>
      </c>
      <c r="B16" s="51">
        <f>COUNTIF(Company_Master!$C:$C,$A16)</f>
        <v/>
      </c>
      <c r="C16" s="55">
        <f>IFERROR(ROUND(AVERAGEIF(Company_Master!$C:$C,$A16,Company_Master!$J:$J),1),"-")</f>
        <v/>
      </c>
      <c r="D16" s="51">
        <f>IFERROR(MINIFS(Company_Master!$J:$J,Company_Master!$C:$C,$A16),"-")</f>
        <v/>
      </c>
      <c r="E16" s="51">
        <f>IFERROR(MAXIFS(Company_Master!$J:$J,Company_Master!$C:$C,$A16),"-")</f>
        <v/>
      </c>
      <c r="F16" s="53">
        <f>COUNTIFS(Company_Master!$C:$C,$A16,Company_Master!$J:$J,"&gt;=80")</f>
        <v/>
      </c>
      <c r="G16" s="54">
        <f>COUNTIFS(Company_Master!$C:$C,$A16,Company_Master!$J:$J,"&lt;35")</f>
        <v/>
      </c>
    </row>
    <row r="17" ht="15" customHeight="1" s="42">
      <c r="A17" s="50" t="inlineStr">
        <is>
          <t>Retail / Consumer Goods</t>
        </is>
      </c>
      <c r="B17" s="51">
        <f>COUNTIF(Company_Master!$C:$C,$A17)</f>
        <v/>
      </c>
      <c r="C17" s="55">
        <f>IFERROR(ROUND(AVERAGEIF(Company_Master!$C:$C,$A17,Company_Master!$J:$J),1),"-")</f>
        <v/>
      </c>
      <c r="D17" s="51">
        <f>IFERROR(MINIFS(Company_Master!$J:$J,Company_Master!$C:$C,$A17),"-")</f>
        <v/>
      </c>
      <c r="E17" s="51">
        <f>IFERROR(MAXIFS(Company_Master!$J:$J,Company_Master!$C:$C,$A17),"-")</f>
        <v/>
      </c>
      <c r="F17" s="53">
        <f>COUNTIFS(Company_Master!$C:$C,$A17,Company_Master!$J:$J,"&gt;=80")</f>
        <v/>
      </c>
      <c r="G17" s="54">
        <f>COUNTIFS(Company_Master!$C:$C,$A17,Company_Master!$J:$J,"&lt;35")</f>
        <v/>
      </c>
    </row>
    <row r="18" ht="15" customHeight="1" s="42">
      <c r="A18" s="50" t="inlineStr">
        <is>
          <t>Retail — Grocery</t>
        </is>
      </c>
      <c r="B18" s="51">
        <f>COUNTIF(Company_Master!$C:$C,$A18)</f>
        <v/>
      </c>
      <c r="C18" s="55">
        <f>IFERROR(ROUND(AVERAGEIF(Company_Master!$C:$C,$A18,Company_Master!$J:$J),1),"-")</f>
        <v/>
      </c>
      <c r="D18" s="51">
        <f>IFERROR(MINIFS(Company_Master!$J:$J,Company_Master!$C:$C,$A18),"-")</f>
        <v/>
      </c>
      <c r="E18" s="51">
        <f>IFERROR(MAXIFS(Company_Master!$J:$J,Company_Master!$C:$C,$A18),"-")</f>
        <v/>
      </c>
      <c r="F18" s="53">
        <f>COUNTIFS(Company_Master!$C:$C,$A18,Company_Master!$J:$J,"&gt;=80")</f>
        <v/>
      </c>
      <c r="G18" s="54">
        <f>COUNTIFS(Company_Master!$C:$C,$A18,Company_Master!$J:$J,"&lt;35")</f>
        <v/>
      </c>
    </row>
    <row r="19" ht="15" customHeight="1" s="42">
      <c r="A19" s="50" t="inlineStr">
        <is>
          <t>Retail — Big Box / Crafts</t>
        </is>
      </c>
      <c r="B19" s="51">
        <f>COUNTIF(Company_Master!$C:$C,$A19)</f>
        <v/>
      </c>
      <c r="C19" s="55">
        <f>IFERROR(ROUND(AVERAGEIF(Company_Master!$C:$C,$A19,Company_Master!$J:$J),1),"-")</f>
        <v/>
      </c>
      <c r="D19" s="51">
        <f>IFERROR(MINIFS(Company_Master!$J:$J,Company_Master!$C:$C,$A19),"-")</f>
        <v/>
      </c>
      <c r="E19" s="51">
        <f>IFERROR(MAXIFS(Company_Master!$J:$J,Company_Master!$C:$C,$A19),"-")</f>
        <v/>
      </c>
      <c r="F19" s="53">
        <f>COUNTIFS(Company_Master!$C:$C,$A19,Company_Master!$J:$J,"&gt;=80")</f>
        <v/>
      </c>
      <c r="G19" s="54">
        <f>COUNTIFS(Company_Master!$C:$C,$A19,Company_Master!$J:$J,"&lt;35")</f>
        <v/>
      </c>
    </row>
    <row r="20" ht="15" customHeight="1" s="42">
      <c r="A20" s="50" t="inlineStr">
        <is>
          <t>Retail / Apparel Retail</t>
        </is>
      </c>
      <c r="B20" s="51">
        <f>COUNTIF(Company_Master!$C:$C,$A20)</f>
        <v/>
      </c>
      <c r="C20" s="55">
        <f>IFERROR(ROUND(AVERAGEIF(Company_Master!$C:$C,$A20,Company_Master!$J:$J),1),"-")</f>
        <v/>
      </c>
      <c r="D20" s="51">
        <f>IFERROR(MINIFS(Company_Master!$J:$J,Company_Master!$C:$C,$A20),"-")</f>
        <v/>
      </c>
      <c r="E20" s="51">
        <f>IFERROR(MAXIFS(Company_Master!$J:$J,Company_Master!$C:$C,$A20),"-")</f>
        <v/>
      </c>
      <c r="F20" s="53">
        <f>COUNTIFS(Company_Master!$C:$C,$A20,Company_Master!$J:$J,"&gt;=80")</f>
        <v/>
      </c>
      <c r="G20" s="54">
        <f>COUNTIFS(Company_Master!$C:$C,$A20,Company_Master!$J:$J,"&lt;35")</f>
        <v/>
      </c>
    </row>
    <row r="21" ht="15" customHeight="1" s="42">
      <c r="A21" s="50" t="inlineStr">
        <is>
          <t>Retail / Beauty</t>
        </is>
      </c>
      <c r="B21" s="51">
        <f>COUNTIF(Company_Master!$C:$C,$A21)</f>
        <v/>
      </c>
      <c r="C21" s="55">
        <f>IFERROR(ROUND(AVERAGEIF(Company_Master!$C:$C,$A21,Company_Master!$J:$J),1),"-")</f>
        <v/>
      </c>
      <c r="D21" s="51">
        <f>IFERROR(MINIFS(Company_Master!$J:$J,Company_Master!$C:$C,$A21),"-")</f>
        <v/>
      </c>
      <c r="E21" s="51">
        <f>IFERROR(MAXIFS(Company_Master!$J:$J,Company_Master!$C:$C,$A21),"-")</f>
        <v/>
      </c>
      <c r="F21" s="53">
        <f>COUNTIFS(Company_Master!$C:$C,$A21,Company_Master!$J:$J,"&gt;=80")</f>
        <v/>
      </c>
      <c r="G21" s="54">
        <f>COUNTIFS(Company_Master!$C:$C,$A21,Company_Master!$J:$J,"&lt;35")</f>
        <v/>
      </c>
    </row>
    <row r="22" ht="15" customHeight="1" s="42">
      <c r="A22" s="50" t="inlineStr">
        <is>
          <t>Retail / E-commerce</t>
        </is>
      </c>
      <c r="B22" s="51">
        <f>COUNTIF(Company_Master!$C:$C,$A22)</f>
        <v/>
      </c>
      <c r="C22" s="55">
        <f>IFERROR(ROUND(AVERAGEIF(Company_Master!$C:$C,$A22,Company_Master!$J:$J),1),"-")</f>
        <v/>
      </c>
      <c r="D22" s="51">
        <f>IFERROR(MINIFS(Company_Master!$J:$J,Company_Master!$C:$C,$A22),"-")</f>
        <v/>
      </c>
      <c r="E22" s="51">
        <f>IFERROR(MAXIFS(Company_Master!$J:$J,Company_Master!$C:$C,$A22),"-")</f>
        <v/>
      </c>
      <c r="F22" s="53">
        <f>COUNTIFS(Company_Master!$C:$C,$A22,Company_Master!$J:$J,"&gt;=80")</f>
        <v/>
      </c>
      <c r="G22" s="54">
        <f>COUNTIFS(Company_Master!$C:$C,$A22,Company_Master!$J:$J,"&lt;35")</f>
        <v/>
      </c>
    </row>
    <row r="23" ht="15" customHeight="1" s="42">
      <c r="A23" s="50" t="inlineStr">
        <is>
          <t>Retail / E-commerce / Pet</t>
        </is>
      </c>
      <c r="B23" s="51">
        <f>COUNTIF(Company_Master!$C:$C,$A23)</f>
        <v/>
      </c>
      <c r="C23" s="55">
        <f>IFERROR(ROUND(AVERAGEIF(Company_Master!$C:$C,$A23,Company_Master!$J:$J),1),"-")</f>
        <v/>
      </c>
      <c r="D23" s="51">
        <f>IFERROR(MINIFS(Company_Master!$J:$J,Company_Master!$C:$C,$A23),"-")</f>
        <v/>
      </c>
      <c r="E23" s="51">
        <f>IFERROR(MAXIFS(Company_Master!$J:$J,Company_Master!$C:$C,$A23),"-")</f>
        <v/>
      </c>
      <c r="F23" s="53">
        <f>COUNTIFS(Company_Master!$C:$C,$A23,Company_Master!$J:$J,"&gt;=80")</f>
        <v/>
      </c>
      <c r="G23" s="54">
        <f>COUNTIFS(Company_Master!$C:$C,$A23,Company_Master!$J:$J,"&lt;35")</f>
        <v/>
      </c>
    </row>
    <row r="24" ht="15" customHeight="1" s="42">
      <c r="A24" s="50" t="inlineStr">
        <is>
          <t>Food &amp; Beverage / Technology</t>
        </is>
      </c>
      <c r="B24" s="51">
        <f>COUNTIF(Company_Master!$C:$C,$A24)</f>
        <v/>
      </c>
      <c r="C24" s="55">
        <f>IFERROR(ROUND(AVERAGEIF(Company_Master!$C:$C,$A24,Company_Master!$J:$J),1),"-")</f>
        <v/>
      </c>
      <c r="D24" s="51">
        <f>IFERROR(MINIFS(Company_Master!$J:$J,Company_Master!$C:$C,$A24),"-")</f>
        <v/>
      </c>
      <c r="E24" s="51">
        <f>IFERROR(MAXIFS(Company_Master!$J:$J,Company_Master!$C:$C,$A24),"-")</f>
        <v/>
      </c>
      <c r="F24" s="53">
        <f>COUNTIFS(Company_Master!$C:$C,$A24,Company_Master!$J:$J,"&gt;=80")</f>
        <v/>
      </c>
      <c r="G24" s="54">
        <f>COUNTIFS(Company_Master!$C:$C,$A24,Company_Master!$J:$J,"&lt;35")</f>
        <v/>
      </c>
    </row>
    <row r="25" ht="15" customHeight="1" s="42">
      <c r="A25" s="50" t="inlineStr">
        <is>
          <t>Food &amp; Beverage / Consumer Goods</t>
        </is>
      </c>
      <c r="B25" s="51">
        <f>COUNTIF(Company_Master!$C:$C,$A25)</f>
        <v/>
      </c>
      <c r="C25" s="55">
        <f>IFERROR(ROUND(AVERAGEIF(Company_Master!$C:$C,$A25,Company_Master!$J:$J),1),"-")</f>
        <v/>
      </c>
      <c r="D25" s="51">
        <f>IFERROR(MINIFS(Company_Master!$J:$J,Company_Master!$C:$C,$A25),"-")</f>
        <v/>
      </c>
      <c r="E25" s="51">
        <f>IFERROR(MAXIFS(Company_Master!$J:$J,Company_Master!$C:$C,$A25),"-")</f>
        <v/>
      </c>
      <c r="F25" s="53">
        <f>COUNTIFS(Company_Master!$C:$C,$A25,Company_Master!$J:$J,"&gt;=80")</f>
        <v/>
      </c>
      <c r="G25" s="54">
        <f>COUNTIFS(Company_Master!$C:$C,$A25,Company_Master!$J:$J,"&lt;35")</f>
        <v/>
      </c>
    </row>
    <row r="26" ht="15" customHeight="1" s="42">
      <c r="A26" s="50" t="inlineStr">
        <is>
          <t>Financial Services / Insurance</t>
        </is>
      </c>
      <c r="B26" s="51">
        <f>COUNTIF(Company_Master!$C:$C,$A26)</f>
        <v/>
      </c>
      <c r="C26" s="55">
        <f>IFERROR(ROUND(AVERAGEIF(Company_Master!$C:$C,$A26,Company_Master!$J:$J),1),"-")</f>
        <v/>
      </c>
      <c r="D26" s="51">
        <f>IFERROR(MINIFS(Company_Master!$J:$J,Company_Master!$C:$C,$A26),"-")</f>
        <v/>
      </c>
      <c r="E26" s="51">
        <f>IFERROR(MAXIFS(Company_Master!$J:$J,Company_Master!$C:$C,$A26),"-")</f>
        <v/>
      </c>
      <c r="F26" s="53">
        <f>COUNTIFS(Company_Master!$C:$C,$A26,Company_Master!$J:$J,"&gt;=80")</f>
        <v/>
      </c>
      <c r="G26" s="54">
        <f>COUNTIFS(Company_Master!$C:$C,$A26,Company_Master!$J:$J,"&lt;35")</f>
        <v/>
      </c>
    </row>
    <row r="27" ht="15" customHeight="1" s="42">
      <c r="A27" s="50" t="inlineStr">
        <is>
          <t>Media &amp; Entertainment / Gaming</t>
        </is>
      </c>
      <c r="B27" s="51">
        <f>COUNTIF(Company_Master!$C:$C,$A27)</f>
        <v/>
      </c>
      <c r="C27" s="55">
        <f>IFERROR(ROUND(AVERAGEIF(Company_Master!$C:$C,$A27,Company_Master!$J:$J),1),"-")</f>
        <v/>
      </c>
      <c r="D27" s="51">
        <f>IFERROR(MINIFS(Company_Master!$J:$J,Company_Master!$C:$C,$A27),"-")</f>
        <v/>
      </c>
      <c r="E27" s="51">
        <f>IFERROR(MAXIFS(Company_Master!$J:$J,Company_Master!$C:$C,$A27),"-")</f>
        <v/>
      </c>
      <c r="F27" s="53">
        <f>COUNTIFS(Company_Master!$C:$C,$A27,Company_Master!$J:$J,"&gt;=80")</f>
        <v/>
      </c>
      <c r="G27" s="54">
        <f>COUNTIFS(Company_Master!$C:$C,$A27,Company_Master!$J:$J,"&lt;35")</f>
        <v/>
      </c>
    </row>
    <row r="28">
      <c r="A28" s="77" t="inlineStr">
        <is>
          <t>ALL COMPANIES</t>
        </is>
      </c>
      <c r="B28" s="78">
        <f>SUM(B2:B27)</f>
        <v/>
      </c>
      <c r="C28" s="79">
        <f>ROUND(AVERAGE(Company_Master!$J$2:$J$201),1)</f>
        <v/>
      </c>
      <c r="D28" s="78">
        <f>MIN(Company_Master!$J$2:$J$201)</f>
        <v/>
      </c>
      <c r="E28" s="78">
        <f>MAX(Company_Master!$J$2:$J$201)</f>
        <v/>
      </c>
      <c r="F28" s="80">
        <f>SUM(F2:F27)</f>
        <v/>
      </c>
      <c r="G28" s="81">
        <f>SUM(G2:G27)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26" customWidth="1" style="42" min="1" max="1"/>
    <col width="16" customWidth="1" style="42" min="2" max="2"/>
    <col width="16" customWidth="1" style="42" min="3" max="3"/>
    <col width="70" customWidth="1" style="42" min="4" max="4"/>
    <col width="30" customWidth="1" style="42" min="5" max="5"/>
    <col width="50" customWidth="1" style="42" min="6" max="6"/>
    <col width="40" customWidth="1" style="42" min="7" max="7"/>
  </cols>
  <sheetData>
    <row r="1">
      <c r="A1" s="82" t="inlineStr">
        <is>
          <t>Company</t>
        </is>
      </c>
      <c r="B1" s="82" t="inlineStr">
        <is>
          <t>Amount (documented)</t>
        </is>
      </c>
      <c r="C1" s="82" t="inlineStr">
        <is>
          <t>Period</t>
        </is>
      </c>
      <c r="D1" s="82" t="inlineStr">
        <is>
          <t>Recipients / Scope</t>
        </is>
      </c>
      <c r="E1" s="82" t="inlineStr">
        <is>
          <t>Scored in Action_Log?</t>
        </is>
      </c>
      <c r="F1" s="82" t="inlineStr">
        <is>
          <t>Source URL</t>
        </is>
      </c>
      <c r="G1" s="82" t="inlineStr">
        <is>
          <t>Notes</t>
        </is>
      </c>
    </row>
    <row r="2">
      <c r="A2" s="83" t="inlineStr">
        <is>
          <t>AT&amp;T</t>
        </is>
      </c>
      <c r="B2" s="83" t="inlineStr">
        <is>
          <t>$307,138</t>
        </is>
      </c>
      <c r="C2" s="83" t="inlineStr">
        <is>
          <t>2019-2024 (see desc.)</t>
        </is>
      </c>
      <c r="D2" s="83" t="inlineStr">
        <is>
          <t>Documented $307,138 to 67 anti-LGBTQ+ bill sponsors across 6 states (2019-2022, Data for Progress); plus $1,269,650 to anti-LGBTQ+ federal/state politicians, RGA, RSLC and RAGA since Nov 2022 (Popular Information)</t>
        </is>
      </c>
      <c r="E2" s="83" t="inlineStr">
        <is>
          <t>Yes — n_anti_lgbtq_donations (-30)</t>
        </is>
      </c>
      <c r="F2" s="83" t="inlineStr">
        <is>
          <t>https://popular.info/p/these-25-rainbow-flag-waving-companies</t>
        </is>
      </c>
      <c r="G2" s="83" t="inlineStr">
        <is>
          <t>DFP dataset: https://www.filesforprogress.org/datasets/2022/5/AccountableAllies-Data.pdf</t>
        </is>
      </c>
    </row>
    <row r="3">
      <c r="A3" s="83" t="inlineStr">
        <is>
          <t>Comcast / Xfinity</t>
        </is>
      </c>
      <c r="B3" s="83" t="inlineStr">
        <is>
          <t>$121,350</t>
        </is>
      </c>
      <c r="C3" s="83" t="inlineStr">
        <is>
          <t>2019-2024 (see desc.)</t>
        </is>
      </c>
      <c r="D3" s="83" t="inlineStr">
        <is>
          <t>Documented $121,350 to 40 anti-LGBTQ+ bill sponsors across 4 states (2019-2022, DFP); plus $1,224,000 to anti-LGBTQ+ politicians and RGA/RSLC/RAGA since Nov 2022 (Popular Information)</t>
        </is>
      </c>
      <c r="E3" s="83" t="inlineStr">
        <is>
          <t>Yes — n_anti_lgbtq_donations (-30)</t>
        </is>
      </c>
      <c r="F3" s="83" t="inlineStr">
        <is>
          <t>https://popular.info/p/these-25-rainbow-flag-waving-companies</t>
        </is>
      </c>
      <c r="G3" s="83" t="inlineStr">
        <is>
          <t>DFP dataset: https://www.filesforprogress.org/datasets/2022/5/AccountableAllies-Data.pdf</t>
        </is>
      </c>
    </row>
    <row r="4">
      <c r="A4" s="83" t="inlineStr">
        <is>
          <t>Walmart</t>
        </is>
      </c>
      <c r="B4" s="83" t="inlineStr">
        <is>
          <t>$965,000</t>
        </is>
      </c>
      <c r="C4" s="83" t="inlineStr">
        <is>
          <t>Nov 2022-Jun 2024</t>
        </is>
      </c>
      <c r="D4" s="83" t="inlineStr">
        <is>
          <t>Documented $965,000 since Nov 2022 to anti-LGBTQ+ politicians: $280,500 to 79 zero-HRC-rated members of Congress, $535,000 to RGA, $135,000 to RSLC, plus state sponsors of anti-trans laws (Popular Information)</t>
        </is>
      </c>
      <c r="E4" s="83" t="inlineStr">
        <is>
          <t>Yes — n_anti_lgbtq_donations (-30)</t>
        </is>
      </c>
      <c r="F4" s="83" t="inlineStr">
        <is>
          <t>https://popular.info/p/these-25-rainbow-flag-waving-companies</t>
        </is>
      </c>
      <c r="G4" s="83" t="inlineStr"/>
    </row>
    <row r="5">
      <c r="A5" s="83" t="inlineStr">
        <is>
          <t>UnitedHealth Group</t>
        </is>
      </c>
      <c r="B5" s="83" t="inlineStr">
        <is>
          <t>$1,028,750</t>
        </is>
      </c>
      <c r="C5" s="83" t="inlineStr">
        <is>
          <t>Nov 2022-Jun 2024</t>
        </is>
      </c>
      <c r="D5" s="83" t="inlineStr">
        <is>
          <t>Documented $1,028,750 since Nov 2022: $188,000 to 35 zero-HRC-rated members of Congress, $650,000 to RGA, $150,000 to RSLC, $40,750 to state sponsors of anti-LGBTQ+ laws incl. Idaho gender-affirming-care funding ban (Popular Information)</t>
        </is>
      </c>
      <c r="E5" s="83" t="inlineStr">
        <is>
          <t>Yes — n_anti_lgbtq_donations (-30)</t>
        </is>
      </c>
      <c r="F5" s="83" t="inlineStr">
        <is>
          <t>https://popular.info/p/these-25-rainbow-flag-waving-companies</t>
        </is>
      </c>
      <c r="G5" s="83" t="inlineStr"/>
    </row>
    <row r="6">
      <c r="A6" s="83" t="inlineStr">
        <is>
          <t>CVS Health</t>
        </is>
      </c>
      <c r="B6" s="83" t="inlineStr">
        <is>
          <t>$1,079,485</t>
        </is>
      </c>
      <c r="C6" s="83" t="inlineStr">
        <is>
          <t>Nov 2022-Jun 2024</t>
        </is>
      </c>
      <c r="D6" s="83" t="inlineStr">
        <is>
          <t>Documented $1,079,485 since Nov 2022: $127,000 to 23 zero-HRC-rated members of Congress, $550,000 to RGA, $260,000 to RSLC, $125,325 to RAGA, plus state sponsors (Popular Information)</t>
        </is>
      </c>
      <c r="E6" s="83" t="inlineStr">
        <is>
          <t>Yes — n_anti_lgbtq_donations (-30)</t>
        </is>
      </c>
      <c r="F6" s="83" t="inlineStr">
        <is>
          <t>https://popular.info/p/these-25-rainbow-flag-waving-companies</t>
        </is>
      </c>
      <c r="G6" s="83" t="inlineStr"/>
    </row>
    <row r="7">
      <c r="A7" s="83" t="inlineStr">
        <is>
          <t>Toyota USA</t>
        </is>
      </c>
      <c r="B7" s="83" t="inlineStr">
        <is>
          <t>$601,500</t>
        </is>
      </c>
      <c r="C7" s="83" t="inlineStr">
        <is>
          <t>2019-2022</t>
        </is>
      </c>
      <c r="D7" s="83" t="inlineStr">
        <is>
          <t>Documented $601,500 to 7 anti-LGBTQ+ bill sponsors across 3 states, 2019-2022 — the largest corporate total in the Data for Progress analysis</t>
        </is>
      </c>
      <c r="E7" s="83" t="inlineStr">
        <is>
          <t>Yes — n_anti_lgbtq_donations (-30)</t>
        </is>
      </c>
      <c r="F7" s="83" t="inlineStr">
        <is>
          <t>https://www.filesforprogress.org/datasets/2022/5/AccountableAllies-Data.pdf</t>
        </is>
      </c>
      <c r="G7" s="83" t="inlineStr"/>
    </row>
    <row r="8">
      <c r="A8" s="83" t="inlineStr">
        <is>
          <t>Charter / Spectrum</t>
        </is>
      </c>
      <c r="B8" s="83" t="inlineStr">
        <is>
          <t>$168,077</t>
        </is>
      </c>
      <c r="C8" s="83" t="inlineStr">
        <is>
          <t>2019-2022</t>
        </is>
      </c>
      <c r="D8" s="83" t="inlineStr">
        <is>
          <t>Documented $168,077 to 34 anti-LGBTQ+ bill sponsors across 5 states, 2019-2022 (Data for Progress)</t>
        </is>
      </c>
      <c r="E8" s="83" t="inlineStr">
        <is>
          <t>Yes — n_anti_lgbtq_donations (-30)</t>
        </is>
      </c>
      <c r="F8" s="83" t="inlineStr">
        <is>
          <t>https://www.filesforprogress.org/datasets/2022/5/AccountableAllies-Data.pdf</t>
        </is>
      </c>
      <c r="G8" s="83" t="inlineStr"/>
    </row>
    <row r="9">
      <c r="A9" s="83" t="inlineStr">
        <is>
          <t>Amazon</t>
        </is>
      </c>
      <c r="B9" s="83" t="inlineStr">
        <is>
          <t>$87,900</t>
        </is>
      </c>
      <c r="C9" s="83" t="inlineStr">
        <is>
          <t>2019-2022</t>
        </is>
      </c>
      <c r="D9" s="83" t="inlineStr">
        <is>
          <t>Documented $87,900 to 17 anti-LGBTQ+ bill sponsors, 2019-2022 (Data for Progress)</t>
        </is>
      </c>
      <c r="E9" s="83" t="inlineStr">
        <is>
          <t>Yes — n_anti_lgbtq_donations (-30)</t>
        </is>
      </c>
      <c r="F9" s="83" t="inlineStr">
        <is>
          <t>https://www.filesforprogress.org/datasets/2022/5/AccountableAllies-Data.pdf</t>
        </is>
      </c>
      <c r="G9" s="83" t="inlineStr"/>
    </row>
    <row r="10">
      <c r="A10" s="83" t="inlineStr">
        <is>
          <t>FedEx</t>
        </is>
      </c>
      <c r="B10" s="83" t="inlineStr">
        <is>
          <t>$79,700</t>
        </is>
      </c>
      <c r="C10" s="83" t="inlineStr">
        <is>
          <t>2019-2022</t>
        </is>
      </c>
      <c r="D10" s="83" t="inlineStr">
        <is>
          <t>Documented $79,700 to 24 anti-LGBTQ+ bill sponsors across 2 states, 2019-2022 (Data for Progress)</t>
        </is>
      </c>
      <c r="E10" s="83" t="inlineStr">
        <is>
          <t>Yes — n_anti_lgbtq_donations (-30)</t>
        </is>
      </c>
      <c r="F10" s="83" t="inlineStr">
        <is>
          <t>https://www.filesforprogress.org/datasets/2022/5/AccountableAllies-Data.pdf</t>
        </is>
      </c>
      <c r="G10" s="83" t="inlineStr"/>
    </row>
    <row r="11">
      <c r="A11" s="83" t="inlineStr">
        <is>
          <t>State Farm</t>
        </is>
      </c>
      <c r="B11" s="83" t="inlineStr">
        <is>
          <t>$79,550</t>
        </is>
      </c>
      <c r="C11" s="83" t="inlineStr">
        <is>
          <t>2019-2022</t>
        </is>
      </c>
      <c r="D11" s="83" t="inlineStr">
        <is>
          <t>Documented $79,550 to 32 anti-LGBTQ+ bill sponsors across 3 states, 2019-2022 (Data for Progress)</t>
        </is>
      </c>
      <c r="E11" s="83" t="inlineStr">
        <is>
          <t>Yes — n_anti_lgbtq_donations (-30)</t>
        </is>
      </c>
      <c r="F11" s="83" t="inlineStr">
        <is>
          <t>https://www.filesforprogress.org/datasets/2022/5/AccountableAllies-Data.pdf</t>
        </is>
      </c>
      <c r="G11" s="83" t="inlineStr"/>
    </row>
    <row r="12">
      <c r="A12" s="83" t="inlineStr">
        <is>
          <t>General Motors</t>
        </is>
      </c>
      <c r="B12" s="83" t="inlineStr">
        <is>
          <t>$48,500</t>
        </is>
      </c>
      <c r="C12" s="83" t="inlineStr">
        <is>
          <t>2019-2022</t>
        </is>
      </c>
      <c r="D12" s="83" t="inlineStr">
        <is>
          <t>Documented $48,500 to 10 anti-LGBTQ+ bill sponsors across 4 states, 2019-2022 (Data for Progress)</t>
        </is>
      </c>
      <c r="E12" s="83" t="inlineStr">
        <is>
          <t>Yes — n_anti_lgbtq_donations (-30)</t>
        </is>
      </c>
      <c r="F12" s="83" t="inlineStr">
        <is>
          <t>https://www.filesforprogress.org/datasets/2022/5/AccountableAllies-Data.pdf</t>
        </is>
      </c>
      <c r="G12" s="83" t="inlineStr"/>
    </row>
    <row r="13">
      <c r="A13" s="83" t="inlineStr">
        <is>
          <t>Farmers Insurance</t>
        </is>
      </c>
      <c r="B13" s="83" t="inlineStr">
        <is>
          <t>$47,100</t>
        </is>
      </c>
      <c r="C13" s="83" t="inlineStr">
        <is>
          <t>2019-2022</t>
        </is>
      </c>
      <c r="D13" s="83" t="inlineStr">
        <is>
          <t>Documented $47,100 to 16 anti-LGBTQ+ bill sponsors across 3 states, 2019-2022 (Data for Progress)</t>
        </is>
      </c>
      <c r="E13" s="83" t="inlineStr">
        <is>
          <t>Yes — n_anti_lgbtq_donations (-30)</t>
        </is>
      </c>
      <c r="F13" s="83" t="inlineStr">
        <is>
          <t>https://www.filesforprogress.org/datasets/2022/5/AccountableAllies-Data.pdf</t>
        </is>
      </c>
      <c r="G13" s="83" t="inlineStr"/>
    </row>
    <row r="14">
      <c r="A14" s="83" t="inlineStr">
        <is>
          <t>Anheuser-Busch InBev</t>
        </is>
      </c>
      <c r="B14" s="83" t="inlineStr">
        <is>
          <t>$45,250</t>
        </is>
      </c>
      <c r="C14" s="83" t="inlineStr">
        <is>
          <t>2019-2022</t>
        </is>
      </c>
      <c r="D14" s="83" t="inlineStr">
        <is>
          <t>Documented $45,250 (as Budweiser) to 24 anti-LGBTQ+ bill sponsors across 4 states, 2019-2022 (Data for Progress)</t>
        </is>
      </c>
      <c r="E14" s="83" t="inlineStr">
        <is>
          <t>Yes — n_anti_lgbtq_donations (-30)</t>
        </is>
      </c>
      <c r="F14" s="83" t="inlineStr">
        <is>
          <t>https://www.filesforprogress.org/datasets/2022/5/AccountableAllies-Data.pdf</t>
        </is>
      </c>
      <c r="G14" s="83" t="inlineStr"/>
    </row>
    <row r="15">
      <c r="A15" s="83" t="inlineStr">
        <is>
          <t>Marathon Petroleum</t>
        </is>
      </c>
      <c r="B15" s="83" t="inlineStr">
        <is>
          <t>$42,000</t>
        </is>
      </c>
      <c r="C15" s="83" t="inlineStr">
        <is>
          <t>2019-2022</t>
        </is>
      </c>
      <c r="D15" s="83" t="inlineStr">
        <is>
          <t>Documented $42,000 to 7 anti-LGBTQ+ bill sponsors across 3 states, 2019-2022 (Data for Progress)</t>
        </is>
      </c>
      <c r="E15" s="83" t="inlineStr">
        <is>
          <t>Yes — n_anti_lgbtq_donations (-30)</t>
        </is>
      </c>
      <c r="F15" s="83" t="inlineStr">
        <is>
          <t>https://www.filesforprogress.org/datasets/2022/5/AccountableAllies-Data.pdf</t>
        </is>
      </c>
      <c r="G15" s="83" t="inlineStr"/>
    </row>
    <row r="16">
      <c r="A16" s="83" t="inlineStr">
        <is>
          <t>Pfizer</t>
        </is>
      </c>
      <c r="B16" s="83" t="inlineStr">
        <is>
          <t>$41,450</t>
        </is>
      </c>
      <c r="C16" s="83" t="inlineStr">
        <is>
          <t>2019-2022</t>
        </is>
      </c>
      <c r="D16" s="83" t="inlineStr">
        <is>
          <t>Documented $41,450 to 20 anti-LGBTQ+ bill sponsors across 5 states, 2019-2022 (Data for Progress)</t>
        </is>
      </c>
      <c r="E16" s="83" t="inlineStr">
        <is>
          <t>Yes — n_anti_lgbtq_donations (-30)</t>
        </is>
      </c>
      <c r="F16" s="83" t="inlineStr">
        <is>
          <t>https://www.filesforprogress.org/datasets/2022/5/AccountableAllies-Data.pdf</t>
        </is>
      </c>
      <c r="G16" s="83" t="inlineStr"/>
    </row>
    <row r="17">
      <c r="A17" s="83" t="inlineStr">
        <is>
          <t>Wells Fargo</t>
        </is>
      </c>
      <c r="B17" s="83" t="inlineStr">
        <is>
          <t>$40,500</t>
        </is>
      </c>
      <c r="C17" s="83" t="inlineStr">
        <is>
          <t>2019-2022</t>
        </is>
      </c>
      <c r="D17" s="83" t="inlineStr">
        <is>
          <t>Documented $40,500 to anti-LGBTQ+ bill sponsors across 2 states, 2019-2022 (Data for Progress)</t>
        </is>
      </c>
      <c r="E17" s="83" t="inlineStr">
        <is>
          <t>Yes — n_anti_lgbtq_donations (-30)</t>
        </is>
      </c>
      <c r="F17" s="83" t="inlineStr">
        <is>
          <t>https://www.filesforprogress.org/datasets/2022/5/AccountableAllies-Data.pdf</t>
        </is>
      </c>
      <c r="G17" s="83" t="inlineStr"/>
    </row>
    <row r="18">
      <c r="A18" s="83" t="inlineStr">
        <is>
          <t>Cigna</t>
        </is>
      </c>
      <c r="B18" s="83" t="inlineStr">
        <is>
          <t>$40,000</t>
        </is>
      </c>
      <c r="C18" s="83" t="inlineStr">
        <is>
          <t>2019-2022</t>
        </is>
      </c>
      <c r="D18" s="83" t="inlineStr">
        <is>
          <t>Documented $40,000 to 21 anti-LGBTQ+ bill sponsors across 3 states, 2019-2022 (Data for Progress)</t>
        </is>
      </c>
      <c r="E18" s="83" t="inlineStr">
        <is>
          <t>Yes — n_anti_lgbtq_donations (-30)</t>
        </is>
      </c>
      <c r="F18" s="83" t="inlineStr">
        <is>
          <t>https://www.filesforprogress.org/datasets/2022/5/AccountableAllies-Data.pdf</t>
        </is>
      </c>
      <c r="G18" s="83" t="inlineStr"/>
    </row>
    <row r="19">
      <c r="A19" s="83" t="inlineStr">
        <is>
          <t>Boeing</t>
        </is>
      </c>
      <c r="B19" s="83" t="inlineStr">
        <is>
          <t>$31,000</t>
        </is>
      </c>
      <c r="C19" s="83" t="inlineStr">
        <is>
          <t>2019-2022</t>
        </is>
      </c>
      <c r="D19" s="83" t="inlineStr">
        <is>
          <t>Documented $31,000 to 9 anti-LGBTQ+ bill sponsors across 4 states, 2019-2022 (Data for Progress)</t>
        </is>
      </c>
      <c r="E19" s="83" t="inlineStr">
        <is>
          <t>Yes — n_anti_lgbtq_donations (-30)</t>
        </is>
      </c>
      <c r="F19" s="83" t="inlineStr">
        <is>
          <t>https://www.filesforprogress.org/datasets/2022/5/AccountableAllies-Data.pdf</t>
        </is>
      </c>
      <c r="G19" s="83" t="inlineStr"/>
    </row>
    <row r="20">
      <c r="A20" s="83" t="inlineStr">
        <is>
          <t>ConocoPhillips</t>
        </is>
      </c>
      <c r="B20" s="83" t="inlineStr">
        <is>
          <t>$27,503</t>
        </is>
      </c>
      <c r="C20" s="83" t="inlineStr">
        <is>
          <t>2019-2022</t>
        </is>
      </c>
      <c r="D20" s="83" t="inlineStr">
        <is>
          <t>Documented $27,503 to anti-LGBTQ+ bill sponsors, 2019-2022 (Data for Progress)</t>
        </is>
      </c>
      <c r="E20" s="83" t="inlineStr">
        <is>
          <t>Yes — n_anti_lgbtq_donations (-30)</t>
        </is>
      </c>
      <c r="F20" s="83" t="inlineStr">
        <is>
          <t>https://www.filesforprogress.org/datasets/2022/5/AccountableAllies-Data.pdf</t>
        </is>
      </c>
      <c r="G20" s="83" t="inlineStr"/>
    </row>
    <row r="21">
      <c r="A21" s="83" t="inlineStr">
        <is>
          <t>NextEra Energy</t>
        </is>
      </c>
      <c r="B21" s="83" t="inlineStr">
        <is>
          <t>$27,500</t>
        </is>
      </c>
      <c r="C21" s="83" t="inlineStr">
        <is>
          <t>2019-2022</t>
        </is>
      </c>
      <c r="D21" s="83" t="inlineStr">
        <is>
          <t>Documented $27,500 to 9 anti-LGBTQ+ bill sponsors across 3 states, 2019-2022 (Data for Progress)</t>
        </is>
      </c>
      <c r="E21" s="83" t="inlineStr">
        <is>
          <t>Yes — n_anti_lgbtq_donations (-30)</t>
        </is>
      </c>
      <c r="F21" s="83" t="inlineStr">
        <is>
          <t>https://www.filesforprogress.org/datasets/2022/5/AccountableAllies-Data.pdf</t>
        </is>
      </c>
      <c r="G21" s="83" t="inlineStr"/>
    </row>
    <row r="22">
      <c r="A22" s="83" t="inlineStr">
        <is>
          <t>Merck &amp; Co.</t>
        </is>
      </c>
      <c r="B22" s="83" t="inlineStr">
        <is>
          <t>$26,300</t>
        </is>
      </c>
      <c r="C22" s="83" t="inlineStr">
        <is>
          <t>2019-2022</t>
        </is>
      </c>
      <c r="D22" s="83" t="inlineStr">
        <is>
          <t>Documented $26,300 to 22 anti-LGBTQ+ bill sponsors across 3 states, 2019-2022 (Data for Progress)</t>
        </is>
      </c>
      <c r="E22" s="83" t="inlineStr">
        <is>
          <t>Yes — n_anti_lgbtq_donations (-30)</t>
        </is>
      </c>
      <c r="F22" s="83" t="inlineStr">
        <is>
          <t>https://www.filesforprogress.org/datasets/2022/5/AccountableAllies-Data.pdf</t>
        </is>
      </c>
      <c r="G22" s="83" t="inlineStr"/>
    </row>
    <row r="23">
      <c r="A23" s="83" t="inlineStr">
        <is>
          <t>Walt Disney Co.</t>
        </is>
      </c>
      <c r="B23" s="83" t="inlineStr">
        <is>
          <t>$32,000</t>
        </is>
      </c>
      <c r="C23" s="83" t="inlineStr">
        <is>
          <t>2019-2022</t>
        </is>
      </c>
      <c r="D23" s="83" t="inlineStr">
        <is>
          <t>9 anti-LGBTQ+ bill sponsors, 1 state</t>
        </is>
      </c>
      <c r="E23" s="83" t="inlineStr">
        <is>
          <t>Yes — scored via 2022 'Don't Say Gay' sponsor donations row</t>
        </is>
      </c>
      <c r="F23" s="83" t="inlineStr">
        <is>
          <t>https://www.filesforprogress.org/datasets/2022/5/AccountableAllies-Data.pdf</t>
        </is>
      </c>
      <c r="G23" s="83" t="inlineStr"/>
    </row>
    <row r="24">
      <c r="A24" s="83" t="inlineStr">
        <is>
          <t>Publix</t>
        </is>
      </c>
      <c r="B24" s="83" t="inlineStr">
        <is>
          <t>$29,500</t>
        </is>
      </c>
      <c r="C24" s="83" t="inlineStr">
        <is>
          <t>2019-2022</t>
        </is>
      </c>
      <c r="D24" s="83" t="inlineStr">
        <is>
          <t>22 anti-LGBTQ+ bill sponsors, 3 states</t>
        </is>
      </c>
      <c r="E24" s="83" t="inlineStr">
        <is>
          <t>Yes — scored via existing donations row</t>
        </is>
      </c>
      <c r="F24" s="83" t="inlineStr">
        <is>
          <t>https://www.filesforprogress.org/datasets/2022/5/AccountableAllies-Data.pdf</t>
        </is>
      </c>
      <c r="G24" s="83" t="inlineStr"/>
    </row>
    <row r="25">
      <c r="A25" s="83" t="inlineStr">
        <is>
          <t>Mastercard</t>
        </is>
      </c>
      <c r="B25" s="83" t="inlineStr">
        <is>
          <t>$100,000+</t>
        </is>
      </c>
      <c r="C25" s="83" t="inlineStr">
        <is>
          <t>2024 cycle</t>
        </is>
      </c>
      <c r="D25" s="83" t="inlineStr">
        <is>
          <t>PAC giving to Republican candidates incl. opponents of LGBTQ+ rights legislation</t>
        </is>
      </c>
      <c r="E25" s="83" t="inlineStr">
        <is>
          <t>No — characterization broader than bill sponsorship</t>
        </is>
      </c>
      <c r="F25" s="83" t="inlineStr">
        <is>
          <t>https://www.opensecrets.org/news/2024/07/corporate-sponsors-of-pride-events-also-contribute-to-politicians-with-anti-lgbtq-leanings/</t>
        </is>
      </c>
      <c r="G25" s="83" t="inlineStr"/>
    </row>
    <row r="26">
      <c r="A26" s="83" t="inlineStr">
        <is>
          <t>ExxonMobil</t>
        </is>
      </c>
      <c r="B26" s="83" t="inlineStr">
        <is>
          <t>$22,500</t>
        </is>
      </c>
      <c r="C26" s="83" t="inlineStr">
        <is>
          <t>2019-2022</t>
        </is>
      </c>
      <c r="D26" s="83" t="inlineStr">
        <is>
          <t>7 anti-LGBTQ+ bill sponsors, 3 states</t>
        </is>
      </c>
      <c r="E26" s="83" t="inlineStr">
        <is>
          <t>No — below $25K scoring threshold</t>
        </is>
      </c>
      <c r="F26" s="83" t="inlineStr">
        <is>
          <t>https://www.filesforprogress.org/datasets/2022/5/AccountableAllies-Data.pdf</t>
        </is>
      </c>
      <c r="G26" s="83" t="inlineStr"/>
    </row>
    <row r="27">
      <c r="A27" s="83" t="inlineStr">
        <is>
          <t>Chevron</t>
        </is>
      </c>
      <c r="B27" s="83" t="inlineStr">
        <is>
          <t>$21,000</t>
        </is>
      </c>
      <c r="C27" s="83" t="inlineStr">
        <is>
          <t>2019-2022</t>
        </is>
      </c>
      <c r="D27" s="83" t="inlineStr">
        <is>
          <t>6 sponsors, 2 states</t>
        </is>
      </c>
      <c r="E27" s="83" t="inlineStr">
        <is>
          <t>No — below threshold</t>
        </is>
      </c>
      <c r="F27" s="83" t="inlineStr">
        <is>
          <t>https://www.filesforprogress.org/datasets/2022/5/AccountableAllies-Data.pdf</t>
        </is>
      </c>
      <c r="G27" s="83" t="inlineStr"/>
    </row>
    <row r="28">
      <c r="A28" s="83" t="inlineStr">
        <is>
          <t>Allstate</t>
        </is>
      </c>
      <c r="B28" s="83" t="inlineStr">
        <is>
          <t>$19,700</t>
        </is>
      </c>
      <c r="C28" s="83" t="inlineStr">
        <is>
          <t>2019-2022</t>
        </is>
      </c>
      <c r="D28" s="83" t="inlineStr">
        <is>
          <t>10 sponsors, 5 states</t>
        </is>
      </c>
      <c r="E28" s="83" t="inlineStr">
        <is>
          <t>No — below threshold</t>
        </is>
      </c>
      <c r="F28" s="83" t="inlineStr">
        <is>
          <t>https://www.filesforprogress.org/datasets/2022/5/AccountableAllies-Data.pdf</t>
        </is>
      </c>
      <c r="G28" s="83" t="inlineStr"/>
    </row>
    <row r="29">
      <c r="A29" s="83" t="inlineStr">
        <is>
          <t>Eli Lilly</t>
        </is>
      </c>
      <c r="B29" s="83" t="inlineStr">
        <is>
          <t>$19,450</t>
        </is>
      </c>
      <c r="C29" s="83" t="inlineStr">
        <is>
          <t>2019-2022</t>
        </is>
      </c>
      <c r="D29" s="83" t="inlineStr">
        <is>
          <t>12 sponsors, 4 states</t>
        </is>
      </c>
      <c r="E29" s="83" t="inlineStr">
        <is>
          <t>No — below threshold</t>
        </is>
      </c>
      <c r="F29" s="83" t="inlineStr">
        <is>
          <t>https://www.filesforprogress.org/datasets/2022/5/AccountableAllies-Data.pdf</t>
        </is>
      </c>
      <c r="G29" s="83" t="inlineStr"/>
    </row>
    <row r="30">
      <c r="A30" s="83" t="inlineStr">
        <is>
          <t>RTX (Raytheon)</t>
        </is>
      </c>
      <c r="B30" s="83" t="inlineStr">
        <is>
          <t>$17,250</t>
        </is>
      </c>
      <c r="C30" s="83" t="inlineStr">
        <is>
          <t>2019-2022</t>
        </is>
      </c>
      <c r="D30" s="83" t="inlineStr">
        <is>
          <t>8 sponsors, 2 states</t>
        </is>
      </c>
      <c r="E30" s="83" t="inlineStr">
        <is>
          <t>No — below threshold</t>
        </is>
      </c>
      <c r="F30" s="83" t="inlineStr">
        <is>
          <t>https://www.filesforprogress.org/datasets/2022/5/AccountableAllies-Data.pdf</t>
        </is>
      </c>
      <c r="G30" s="83" t="inlineStr"/>
    </row>
    <row r="31">
      <c r="A31" s="83" t="inlineStr">
        <is>
          <t>Duke Energy</t>
        </is>
      </c>
      <c r="B31" s="83" t="inlineStr">
        <is>
          <t>$16,000</t>
        </is>
      </c>
      <c r="C31" s="83" t="inlineStr">
        <is>
          <t>2019-2022</t>
        </is>
      </c>
      <c r="D31" s="83" t="inlineStr">
        <is>
          <t>8 sponsors, 1 state</t>
        </is>
      </c>
      <c r="E31" s="83" t="inlineStr">
        <is>
          <t>No — below threshold</t>
        </is>
      </c>
      <c r="F31" s="83" t="inlineStr">
        <is>
          <t>https://www.filesforprogress.org/datasets/2022/5/AccountableAllies-Data.pdf</t>
        </is>
      </c>
      <c r="G31" s="83" t="inlineStr"/>
    </row>
    <row r="32">
      <c r="A32" s="83" t="inlineStr">
        <is>
          <t>Verizon</t>
        </is>
      </c>
      <c r="B32" s="83" t="inlineStr">
        <is>
          <t>$15,000</t>
        </is>
      </c>
      <c r="C32" s="83" t="inlineStr">
        <is>
          <t>2019-2022</t>
        </is>
      </c>
      <c r="D32" s="83" t="inlineStr">
        <is>
          <t>6 sponsors, 3 states</t>
        </is>
      </c>
      <c r="E32" s="83" t="inlineStr">
        <is>
          <t>No — below threshold</t>
        </is>
      </c>
      <c r="F32" s="83" t="inlineStr">
        <is>
          <t>https://www.filesforprogress.org/datasets/2022/5/AccountableAllies-Data.pdf</t>
        </is>
      </c>
      <c r="G32" s="83" t="inlineStr"/>
    </row>
    <row r="33">
      <c r="A33" s="83" t="inlineStr">
        <is>
          <t>Home Depot</t>
        </is>
      </c>
      <c r="B33" s="83" t="inlineStr">
        <is>
          <t>$15,000</t>
        </is>
      </c>
      <c r="C33" s="83" t="inlineStr">
        <is>
          <t>2019-2022</t>
        </is>
      </c>
      <c r="D33" s="83" t="inlineStr">
        <is>
          <t>6 sponsors, 3 states</t>
        </is>
      </c>
      <c r="E33" s="83" t="inlineStr">
        <is>
          <t>No — below threshold</t>
        </is>
      </c>
      <c r="F33" s="83" t="inlineStr">
        <is>
          <t>https://www.filesforprogress.org/datasets/2022/5/AccountableAllies-Data.pdf</t>
        </is>
      </c>
      <c r="G33" s="83" t="inlineStr"/>
    </row>
    <row r="34">
      <c r="A34" s="83" t="inlineStr">
        <is>
          <t>Southwest Airlines</t>
        </is>
      </c>
      <c r="B34" s="83" t="inlineStr">
        <is>
          <t>$12,750</t>
        </is>
      </c>
      <c r="C34" s="83" t="inlineStr">
        <is>
          <t>2019-2022</t>
        </is>
      </c>
      <c r="D34" s="83" t="inlineStr">
        <is>
          <t>8 sponsors, 2 states</t>
        </is>
      </c>
      <c r="E34" s="83" t="inlineStr">
        <is>
          <t>No — below threshold</t>
        </is>
      </c>
      <c r="F34" s="83" t="inlineStr">
        <is>
          <t>https://www.filesforprogress.org/datasets/2022/5/AccountableAllies-Data.pdf</t>
        </is>
      </c>
      <c r="G34" s="83" t="inlineStr"/>
    </row>
    <row r="35">
      <c r="A35" s="83" t="inlineStr">
        <is>
          <t>JPMorgan Chase</t>
        </is>
      </c>
      <c r="B35" s="83" t="inlineStr">
        <is>
          <t>$11,500</t>
        </is>
      </c>
      <c r="C35" s="83" t="inlineStr">
        <is>
          <t>2019-2022</t>
        </is>
      </c>
      <c r="D35" s="83" t="inlineStr">
        <is>
          <t>3 sponsors, 2 states</t>
        </is>
      </c>
      <c r="E35" s="83" t="inlineStr">
        <is>
          <t>No — below threshold</t>
        </is>
      </c>
      <c r="F35" s="83" t="inlineStr">
        <is>
          <t>https://www.filesforprogress.org/datasets/2022/5/AccountableAllies-Data.pdf</t>
        </is>
      </c>
      <c r="G35" s="83" t="inlineStr"/>
    </row>
    <row r="36">
      <c r="A36" s="83" t="inlineStr">
        <is>
          <t>NBCUniversal</t>
        </is>
      </c>
      <c r="B36" s="83" t="inlineStr">
        <is>
          <t>$11,000</t>
        </is>
      </c>
      <c r="C36" s="83" t="inlineStr">
        <is>
          <t>2019-2022</t>
        </is>
      </c>
      <c r="D36" s="83" t="inlineStr">
        <is>
          <t>7 sponsors, 1 state (as NBC)</t>
        </is>
      </c>
      <c r="E36" s="83" t="inlineStr">
        <is>
          <t>No — below threshold; parent Comcast scored</t>
        </is>
      </c>
      <c r="F36" s="83" t="inlineStr">
        <is>
          <t>https://www.filesforprogress.org/datasets/2022/5/AccountableAllies-Data.pdf</t>
        </is>
      </c>
      <c r="G36" s="83" t="inlineStr"/>
    </row>
    <row r="37">
      <c r="A37" s="83" t="inlineStr">
        <is>
          <t>Humana</t>
        </is>
      </c>
      <c r="B37" s="83" t="inlineStr">
        <is>
          <t>$10,750</t>
        </is>
      </c>
      <c r="C37" s="83" t="inlineStr">
        <is>
          <t>2019-2022</t>
        </is>
      </c>
      <c r="D37" s="83" t="inlineStr">
        <is>
          <t>11 sponsors, 2 states</t>
        </is>
      </c>
      <c r="E37" s="83" t="inlineStr">
        <is>
          <t>No — below threshold</t>
        </is>
      </c>
      <c r="F37" s="83" t="inlineStr">
        <is>
          <t>https://www.filesforprogress.org/datasets/2022/5/AccountableAllies-Data.pdf</t>
        </is>
      </c>
      <c r="G37" s="83" t="inlineStr"/>
    </row>
    <row r="38">
      <c r="A38" s="83" t="inlineStr">
        <is>
          <t>Ford</t>
        </is>
      </c>
      <c r="B38" s="83" t="inlineStr">
        <is>
          <t>$10,250</t>
        </is>
      </c>
      <c r="C38" s="83" t="inlineStr">
        <is>
          <t>2019-2022</t>
        </is>
      </c>
      <c r="D38" s="83" t="inlineStr">
        <is>
          <t>2 sponsors, 2 states</t>
        </is>
      </c>
      <c r="E38" s="83" t="inlineStr">
        <is>
          <t>No — below threshold</t>
        </is>
      </c>
      <c r="F38" s="83" t="inlineStr">
        <is>
          <t>https://www.filesforprogress.org/datasets/2022/5/AccountableAllies-Data.pdf</t>
        </is>
      </c>
      <c r="G38" s="83" t="inlineStr"/>
    </row>
    <row r="39">
      <c r="A39" s="83" t="inlineStr">
        <is>
          <t>PNC Financial Services</t>
        </is>
      </c>
      <c r="B39" s="83" t="inlineStr">
        <is>
          <t>$10,000</t>
        </is>
      </c>
      <c r="C39" s="83" t="inlineStr">
        <is>
          <t>2019-2022</t>
        </is>
      </c>
      <c r="D39" s="83" t="inlineStr">
        <is>
          <t>1 sponsor</t>
        </is>
      </c>
      <c r="E39" s="83" t="inlineStr">
        <is>
          <t>No — below threshold</t>
        </is>
      </c>
      <c r="F39" s="83" t="inlineStr">
        <is>
          <t>https://www.filesforprogress.org/datasets/2022/5/AccountableAllies-Data.pdf</t>
        </is>
      </c>
      <c r="G39" s="83" t="inlineStr"/>
    </row>
    <row r="40">
      <c r="A40" s="83" t="inlineStr">
        <is>
          <t>Bank of America</t>
        </is>
      </c>
      <c r="B40" s="83" t="inlineStr">
        <is>
          <t>$10,000</t>
        </is>
      </c>
      <c r="C40" s="83" t="inlineStr">
        <is>
          <t>2019-2022</t>
        </is>
      </c>
      <c r="D40" s="83" t="inlineStr">
        <is>
          <t>1 sponsor</t>
        </is>
      </c>
      <c r="E40" s="83" t="inlineStr">
        <is>
          <t>No — below threshold</t>
        </is>
      </c>
      <c r="F40" s="83" t="inlineStr">
        <is>
          <t>https://www.filesforprogress.org/datasets/2022/5/AccountableAllies-Data.pdf</t>
        </is>
      </c>
      <c r="G40" s="83" t="inlineStr"/>
    </row>
    <row r="41">
      <c r="A41" s="83" t="inlineStr">
        <is>
          <t>Caterpillar</t>
        </is>
      </c>
      <c r="B41" s="83" t="inlineStr">
        <is>
          <t>$9,500</t>
        </is>
      </c>
      <c r="C41" s="83" t="inlineStr">
        <is>
          <t>2019-2022</t>
        </is>
      </c>
      <c r="D41" s="83" t="inlineStr">
        <is>
          <t>6 sponsors, 4 states</t>
        </is>
      </c>
      <c r="E41" s="83" t="inlineStr">
        <is>
          <t>No — below threshold</t>
        </is>
      </c>
      <c r="F41" s="83" t="inlineStr">
        <is>
          <t>https://www.filesforprogress.org/datasets/2022/5/AccountableAllies-Data.pdf</t>
        </is>
      </c>
      <c r="G41" s="83" t="inlineStr"/>
    </row>
    <row r="42">
      <c r="A42" s="83" t="inlineStr">
        <is>
          <t>Texas Instruments</t>
        </is>
      </c>
      <c r="B42" s="83" t="inlineStr">
        <is>
          <t>$7,500</t>
        </is>
      </c>
      <c r="C42" s="83" t="inlineStr">
        <is>
          <t>2019-2022</t>
        </is>
      </c>
      <c r="D42" s="83" t="inlineStr">
        <is>
          <t>1 sponsor</t>
        </is>
      </c>
      <c r="E42" s="83" t="inlineStr">
        <is>
          <t>No — below threshold</t>
        </is>
      </c>
      <c r="F42" s="83" t="inlineStr">
        <is>
          <t>https://www.filesforprogress.org/datasets/2022/5/AccountableAllies-Data.pdf</t>
        </is>
      </c>
      <c r="G42" s="83" t="inlineStr"/>
    </row>
    <row r="43">
      <c r="A43" s="83" t="inlineStr">
        <is>
          <t>AutoZone</t>
        </is>
      </c>
      <c r="B43" s="83" t="inlineStr">
        <is>
          <t>$7,200</t>
        </is>
      </c>
      <c r="C43" s="83" t="inlineStr">
        <is>
          <t>2019-2022</t>
        </is>
      </c>
      <c r="D43" s="83" t="inlineStr">
        <is>
          <t>2 sponsors, 1 state</t>
        </is>
      </c>
      <c r="E43" s="83" t="inlineStr">
        <is>
          <t>No — below threshold</t>
        </is>
      </c>
      <c r="F43" s="83" t="inlineStr">
        <is>
          <t>https://www.filesforprogress.org/datasets/2022/5/AccountableAllies-Data.pdf</t>
        </is>
      </c>
      <c r="G43" s="83" t="inlineStr"/>
    </row>
    <row r="44">
      <c r="A44" s="83" t="inlineStr">
        <is>
          <t>Lockheed Martin</t>
        </is>
      </c>
      <c r="B44" s="83" t="inlineStr">
        <is>
          <t>$6,500</t>
        </is>
      </c>
      <c r="C44" s="83" t="inlineStr">
        <is>
          <t>2019-2022</t>
        </is>
      </c>
      <c r="D44" s="83" t="inlineStr">
        <is>
          <t>2 sponsors, 2 states</t>
        </is>
      </c>
      <c r="E44" s="83" t="inlineStr">
        <is>
          <t>No — below threshold</t>
        </is>
      </c>
      <c r="F44" s="83" t="inlineStr">
        <is>
          <t>https://www.filesforprogress.org/datasets/2022/5/AccountableAllies-Data.pdf</t>
        </is>
      </c>
      <c r="G44" s="83" t="inlineStr"/>
    </row>
    <row r="45">
      <c r="A45" s="83" t="inlineStr">
        <is>
          <t>PepsiCo</t>
        </is>
      </c>
      <c r="B45" s="83" t="inlineStr">
        <is>
          <t>$6,250</t>
        </is>
      </c>
      <c r="C45" s="83" t="inlineStr">
        <is>
          <t>2019-2022</t>
        </is>
      </c>
      <c r="D45" s="83" t="inlineStr">
        <is>
          <t>7 sponsors, 2 states</t>
        </is>
      </c>
      <c r="E45" s="83" t="inlineStr">
        <is>
          <t>No — below threshold</t>
        </is>
      </c>
      <c r="F45" s="83" t="inlineStr">
        <is>
          <t>https://www.filesforprogress.org/datasets/2022/5/AccountableAllies-Data.pdf</t>
        </is>
      </c>
      <c r="G45" s="83" t="inlineStr"/>
    </row>
    <row r="46">
      <c r="A46" s="83" t="inlineStr">
        <is>
          <t>United Airlines</t>
        </is>
      </c>
      <c r="B46" s="83" t="inlineStr">
        <is>
          <t>$5,000</t>
        </is>
      </c>
      <c r="C46" s="83" t="inlineStr">
        <is>
          <t>2019-2022</t>
        </is>
      </c>
      <c r="D46" s="83" t="inlineStr">
        <is>
          <t>1 sponsor</t>
        </is>
      </c>
      <c r="E46" s="83" t="inlineStr">
        <is>
          <t>No — below threshold</t>
        </is>
      </c>
      <c r="F46" s="83" t="inlineStr">
        <is>
          <t>https://www.filesforprogress.org/datasets/2022/5/AccountableAllies-Data.pdf</t>
        </is>
      </c>
      <c r="G46" s="83" t="inlineStr"/>
    </row>
    <row r="47">
      <c r="A47" s="83" t="inlineStr">
        <is>
          <t>Tyson Foods</t>
        </is>
      </c>
      <c r="B47" s="83" t="inlineStr">
        <is>
          <t>$5,000</t>
        </is>
      </c>
      <c r="C47" s="83" t="inlineStr">
        <is>
          <t>2019-2022</t>
        </is>
      </c>
      <c r="D47" s="83" t="inlineStr">
        <is>
          <t>5 sponsors, 1 state</t>
        </is>
      </c>
      <c r="E47" s="83" t="inlineStr">
        <is>
          <t>No — below threshold</t>
        </is>
      </c>
      <c r="F47" s="83" t="inlineStr">
        <is>
          <t>https://www.filesforprogress.org/datasets/2022/5/AccountableAllies-Data.pdf</t>
        </is>
      </c>
      <c r="G47" s="83" t="inlineStr"/>
    </row>
    <row r="48">
      <c r="A48" s="83" t="inlineStr">
        <is>
          <t>McDonald's</t>
        </is>
      </c>
      <c r="B48" s="83" t="inlineStr">
        <is>
          <t>$5,000</t>
        </is>
      </c>
      <c r="C48" s="83" t="inlineStr">
        <is>
          <t>2019-2022</t>
        </is>
      </c>
      <c r="D48" s="83" t="inlineStr">
        <is>
          <t>1 sponsor</t>
        </is>
      </c>
      <c r="E48" s="83" t="inlineStr">
        <is>
          <t>No — below threshold</t>
        </is>
      </c>
      <c r="F48" s="83" t="inlineStr">
        <is>
          <t>https://www.filesforprogress.org/datasets/2022/5/AccountableAllies-Data.pdf</t>
        </is>
      </c>
      <c r="G48" s="83" t="inlineStr"/>
    </row>
    <row r="49">
      <c r="A49" s="83" t="inlineStr">
        <is>
          <t>Constellation Brands</t>
        </is>
      </c>
      <c r="B49" s="83" t="inlineStr">
        <is>
          <t>$5,000</t>
        </is>
      </c>
      <c r="C49" s="83" t="inlineStr">
        <is>
          <t>2019-2022</t>
        </is>
      </c>
      <c r="D49" s="83" t="inlineStr">
        <is>
          <t>1 sponsor</t>
        </is>
      </c>
      <c r="E49" s="83" t="inlineStr">
        <is>
          <t>No — below threshold</t>
        </is>
      </c>
      <c r="F49" s="83" t="inlineStr">
        <is>
          <t>https://www.filesforprogress.org/datasets/2022/5/AccountableAllies-Data.pdf</t>
        </is>
      </c>
      <c r="G49" s="83" t="inlineStr"/>
    </row>
    <row r="50">
      <c r="A50" s="83" t="inlineStr">
        <is>
          <t>Walgreens</t>
        </is>
      </c>
      <c r="B50" s="83" t="inlineStr">
        <is>
          <t>$4,500</t>
        </is>
      </c>
      <c r="C50" s="83" t="inlineStr">
        <is>
          <t>2019-2022</t>
        </is>
      </c>
      <c r="D50" s="83" t="inlineStr">
        <is>
          <t>6 sponsors, 3 states</t>
        </is>
      </c>
      <c r="E50" s="83" t="inlineStr">
        <is>
          <t>No — below threshold</t>
        </is>
      </c>
      <c r="F50" s="83" t="inlineStr">
        <is>
          <t>https://www.filesforprogress.org/datasets/2022/5/AccountableAllies-Data.pdf</t>
        </is>
      </c>
      <c r="G50" s="83" t="inlineStr"/>
    </row>
    <row r="51">
      <c r="A51" s="83" t="inlineStr">
        <is>
          <t>Citigroup</t>
        </is>
      </c>
      <c r="B51" s="83" t="inlineStr">
        <is>
          <t>$3,000</t>
        </is>
      </c>
      <c r="C51" s="83" t="inlineStr">
        <is>
          <t>2019-2022</t>
        </is>
      </c>
      <c r="D51" s="83" t="inlineStr">
        <is>
          <t>2 sponsors, 2 states</t>
        </is>
      </c>
      <c r="E51" s="83" t="inlineStr">
        <is>
          <t>No — below threshold</t>
        </is>
      </c>
      <c r="F51" s="83" t="inlineStr">
        <is>
          <t>https://www.filesforprogress.org/datasets/2022/5/AccountableAllies-Data.pdf</t>
        </is>
      </c>
      <c r="G51" s="83" t="inlineStr"/>
    </row>
    <row r="52">
      <c r="A52" s="83" t="inlineStr">
        <is>
          <t>Capital One</t>
        </is>
      </c>
      <c r="B52" s="83" t="inlineStr">
        <is>
          <t>$2,500</t>
        </is>
      </c>
      <c r="C52" s="83" t="inlineStr">
        <is>
          <t>2019-2022</t>
        </is>
      </c>
      <c r="D52" s="83" t="inlineStr">
        <is>
          <t>1 sponsor</t>
        </is>
      </c>
      <c r="E52" s="83" t="inlineStr">
        <is>
          <t>No — below threshold</t>
        </is>
      </c>
      <c r="F52" s="83" t="inlineStr">
        <is>
          <t>https://www.filesforprogress.org/datasets/2022/5/AccountableAllies-Data.pdf</t>
        </is>
      </c>
      <c r="G52" s="83" t="inlineStr"/>
    </row>
    <row r="53">
      <c r="A53" s="83" t="inlineStr">
        <is>
          <t>Microsoft</t>
        </is>
      </c>
      <c r="B53" s="83" t="inlineStr">
        <is>
          <t>$2,000</t>
        </is>
      </c>
      <c r="C53" s="83" t="inlineStr">
        <is>
          <t>2019-2022</t>
        </is>
      </c>
      <c r="D53" s="83" t="inlineStr">
        <is>
          <t>2 sponsors, 1 state</t>
        </is>
      </c>
      <c r="E53" s="83" t="inlineStr">
        <is>
          <t>No — below threshold</t>
        </is>
      </c>
      <c r="F53" s="83" t="inlineStr">
        <is>
          <t>https://www.filesforprogress.org/datasets/2022/5/AccountableAllies-Data.pdf</t>
        </is>
      </c>
      <c r="G53" s="83" t="inlineStr"/>
    </row>
    <row r="54">
      <c r="A54" s="83" t="inlineStr">
        <is>
          <t>Lowe's</t>
        </is>
      </c>
      <c r="B54" s="83" t="inlineStr">
        <is>
          <t>$2,000</t>
        </is>
      </c>
      <c r="C54" s="83" t="inlineStr">
        <is>
          <t>2019-2022</t>
        </is>
      </c>
      <c r="D54" s="83" t="inlineStr">
        <is>
          <t>2 sponsors, 1 state</t>
        </is>
      </c>
      <c r="E54" s="83" t="inlineStr">
        <is>
          <t>No — below threshold</t>
        </is>
      </c>
      <c r="F54" s="83" t="inlineStr">
        <is>
          <t>https://www.filesforprogress.org/datasets/2022/5/AccountableAllies-Data.pdf</t>
        </is>
      </c>
      <c r="G54" s="83" t="inlineStr"/>
    </row>
    <row r="55">
      <c r="A55" s="83" t="inlineStr">
        <is>
          <t>Johnson &amp; Johnson</t>
        </is>
      </c>
      <c r="B55" s="83" t="inlineStr">
        <is>
          <t>$1,750</t>
        </is>
      </c>
      <c r="C55" s="83" t="inlineStr">
        <is>
          <t>2019-2022</t>
        </is>
      </c>
      <c r="D55" s="83" t="inlineStr">
        <is>
          <t>3 sponsors, 3 states</t>
        </is>
      </c>
      <c r="E55" s="83" t="inlineStr">
        <is>
          <t>No — below threshold</t>
        </is>
      </c>
      <c r="F55" s="83" t="inlineStr">
        <is>
          <t>https://www.filesforprogress.org/datasets/2022/5/AccountableAllies-Data.pdf</t>
        </is>
      </c>
      <c r="G55" s="83" t="inlineStr"/>
    </row>
    <row r="56">
      <c r="A56" s="83" t="inlineStr">
        <is>
          <t>Prudential Financial</t>
        </is>
      </c>
      <c r="B56" s="83" t="inlineStr">
        <is>
          <t>$1,250</t>
        </is>
      </c>
      <c r="C56" s="83" t="inlineStr">
        <is>
          <t>2019-2022</t>
        </is>
      </c>
      <c r="D56" s="83" t="inlineStr">
        <is>
          <t>2 sponsors, 1 state</t>
        </is>
      </c>
      <c r="E56" s="83" t="inlineStr">
        <is>
          <t>No — below threshold</t>
        </is>
      </c>
      <c r="F56" s="83" t="inlineStr">
        <is>
          <t>https://www.filesforprogress.org/datasets/2022/5/AccountableAllies-Data.pdf</t>
        </is>
      </c>
      <c r="G56" s="83" t="inlineStr"/>
    </row>
    <row r="57">
      <c r="A57" s="83" t="inlineStr">
        <is>
          <t>Visa</t>
        </is>
      </c>
      <c r="B57" s="83" t="inlineStr">
        <is>
          <t>$1,000</t>
        </is>
      </c>
      <c r="C57" s="83" t="inlineStr">
        <is>
          <t>2019-2022</t>
        </is>
      </c>
      <c r="D57" s="83" t="inlineStr">
        <is>
          <t>1 sponsor</t>
        </is>
      </c>
      <c r="E57" s="83" t="inlineStr">
        <is>
          <t>No — below threshold</t>
        </is>
      </c>
      <c r="F57" s="83" t="inlineStr">
        <is>
          <t>https://www.filesforprogress.org/datasets/2022/5/AccountableAllies-Data.pdf</t>
        </is>
      </c>
      <c r="G57" s="83" t="inlineStr"/>
    </row>
    <row r="58">
      <c r="A58" s="83" t="inlineStr">
        <is>
          <t>Southern Company</t>
        </is>
      </c>
      <c r="B58" s="83" t="inlineStr">
        <is>
          <t>$1,000</t>
        </is>
      </c>
      <c r="C58" s="83" t="inlineStr">
        <is>
          <t>2019-2022</t>
        </is>
      </c>
      <c r="D58" s="83" t="inlineStr">
        <is>
          <t>1 sponsor</t>
        </is>
      </c>
      <c r="E58" s="83" t="inlineStr">
        <is>
          <t>No — below threshold</t>
        </is>
      </c>
      <c r="F58" s="83" t="inlineStr">
        <is>
          <t>https://www.filesforprogress.org/datasets/2022/5/AccountableAllies-Data.pdf</t>
        </is>
      </c>
      <c r="G58" s="83" t="inlineStr"/>
    </row>
    <row r="59">
      <c r="A59" s="83" t="inlineStr">
        <is>
          <t>Gilead Sciences</t>
        </is>
      </c>
      <c r="B59" s="83" t="inlineStr">
        <is>
          <t>$1,000</t>
        </is>
      </c>
      <c r="C59" s="83" t="inlineStr">
        <is>
          <t>2019-2022</t>
        </is>
      </c>
      <c r="D59" s="83" t="inlineStr">
        <is>
          <t>1 sponsor</t>
        </is>
      </c>
      <c r="E59" s="83" t="inlineStr">
        <is>
          <t>No — below threshold</t>
        </is>
      </c>
      <c r="F59" s="83" t="inlineStr">
        <is>
          <t>https://www.filesforprogress.org/datasets/2022/5/AccountableAllies-Data.pdf</t>
        </is>
      </c>
      <c r="G59" s="83" t="inlineStr"/>
    </row>
    <row r="60">
      <c r="A60" s="83" t="inlineStr">
        <is>
          <t>3M</t>
        </is>
      </c>
      <c r="B60" s="83" t="inlineStr">
        <is>
          <t>$1,000</t>
        </is>
      </c>
      <c r="C60" s="83" t="inlineStr">
        <is>
          <t>2019-2022</t>
        </is>
      </c>
      <c r="D60" s="83" t="inlineStr">
        <is>
          <t>1 sponsor</t>
        </is>
      </c>
      <c r="E60" s="83" t="inlineStr">
        <is>
          <t>No — below threshold</t>
        </is>
      </c>
      <c r="F60" s="83" t="inlineStr">
        <is>
          <t>https://www.filesforprogress.org/datasets/2022/5/AccountableAllies-Data.pdf</t>
        </is>
      </c>
      <c r="G60" s="83" t="inlineStr"/>
    </row>
    <row r="61">
      <c r="A61" s="83" t="inlineStr">
        <is>
          <t>Target</t>
        </is>
      </c>
      <c r="B61" s="83" t="inlineStr">
        <is>
          <t>$500</t>
        </is>
      </c>
      <c r="C61" s="83" t="inlineStr">
        <is>
          <t>2019-2022</t>
        </is>
      </c>
      <c r="D61" s="83" t="inlineStr">
        <is>
          <t>1 sponsor</t>
        </is>
      </c>
      <c r="E61" s="83" t="inlineStr">
        <is>
          <t>No — below threshold</t>
        </is>
      </c>
      <c r="F61" s="83" t="inlineStr">
        <is>
          <t>https://www.filesforprogress.org/datasets/2022/5/AccountableAllies-Data.pdf</t>
        </is>
      </c>
      <c r="G61" s="83" t="inlineStr"/>
    </row>
    <row r="62">
      <c r="A62" s="83" t="inlineStr">
        <is>
          <t>Quest Diagnostics</t>
        </is>
      </c>
      <c r="B62" s="83" t="inlineStr">
        <is>
          <t>$500</t>
        </is>
      </c>
      <c r="C62" s="83" t="inlineStr">
        <is>
          <t>2019-2022</t>
        </is>
      </c>
      <c r="D62" s="83" t="inlineStr">
        <is>
          <t>1 sponsor</t>
        </is>
      </c>
      <c r="E62" s="83" t="inlineStr">
        <is>
          <t>No — below threshold</t>
        </is>
      </c>
      <c r="F62" s="83" t="inlineStr">
        <is>
          <t>https://www.filesforprogress.org/datasets/2022/5/AccountableAllies-Data.pdf</t>
        </is>
      </c>
      <c r="G62" s="8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201"/>
  <sheetViews>
    <sheetView workbookViewId="0">
      <selection activeCell="A1" sqref="A1"/>
    </sheetView>
  </sheetViews>
  <sheetFormatPr baseColWidth="8" defaultRowHeight="15"/>
  <cols>
    <col width="28" customWidth="1" style="42" min="1" max="1"/>
    <col width="22" customWidth="1" style="42" min="2" max="2"/>
    <col width="8" customWidth="1" style="42" min="3" max="3"/>
    <col width="8" customWidth="1" style="42" min="4" max="4"/>
    <col width="8" customWidth="1" style="42" min="5" max="5"/>
    <col width="8" customWidth="1" style="42" min="6" max="6"/>
    <col width="8" customWidth="1" style="42" min="7" max="7"/>
    <col width="8" customWidth="1" style="42" min="8" max="8"/>
    <col width="8" customWidth="1" style="42" min="9" max="9"/>
    <col width="8" customWidth="1" style="42" min="10" max="10"/>
    <col width="8" customWidth="1" style="42" min="11" max="11"/>
    <col width="8" customWidth="1" style="42" min="12" max="12"/>
    <col width="8" customWidth="1" style="42" min="13" max="13"/>
    <col width="8" customWidth="1" style="42" min="14" max="14"/>
    <col width="8" customWidth="1" style="42" min="15" max="15"/>
    <col width="16" customWidth="1" style="42" min="16" max="16"/>
  </cols>
  <sheetData>
    <row r="1">
      <c r="A1" s="82" t="inlineStr">
        <is>
          <t>Company</t>
        </is>
      </c>
      <c r="B1" s="82" t="inlineStr">
        <is>
          <t>Sector</t>
        </is>
      </c>
      <c r="C1" s="82" t="inlineStr">
        <is>
          <t>2015</t>
        </is>
      </c>
      <c r="D1" s="82" t="inlineStr">
        <is>
          <t>2016</t>
        </is>
      </c>
      <c r="E1" s="82" t="inlineStr">
        <is>
          <t>2017</t>
        </is>
      </c>
      <c r="F1" s="82" t="inlineStr">
        <is>
          <t>2018</t>
        </is>
      </c>
      <c r="G1" s="82" t="inlineStr">
        <is>
          <t>2019</t>
        </is>
      </c>
      <c r="H1" s="82" t="inlineStr">
        <is>
          <t>2020</t>
        </is>
      </c>
      <c r="I1" s="82" t="inlineStr">
        <is>
          <t>2021</t>
        </is>
      </c>
      <c r="J1" s="82" t="inlineStr">
        <is>
          <t>2022</t>
        </is>
      </c>
      <c r="K1" s="82" t="inlineStr">
        <is>
          <t>2023</t>
        </is>
      </c>
      <c r="L1" s="82" t="inlineStr">
        <is>
          <t>2024</t>
        </is>
      </c>
      <c r="M1" s="82" t="inlineStr">
        <is>
          <t>2025</t>
        </is>
      </c>
      <c r="N1" s="82" t="inlineStr">
        <is>
          <t>2026</t>
        </is>
      </c>
      <c r="O1" s="82" t="inlineStr">
        <is>
          <t>Change 2015→2026</t>
        </is>
      </c>
      <c r="P1" s="82" t="inlineStr">
        <is>
          <t>Trajectory Shape</t>
        </is>
      </c>
    </row>
    <row r="2">
      <c r="A2" s="84" t="inlineStr">
        <is>
          <t>Verizon</t>
        </is>
      </c>
      <c r="B2" s="84" t="inlineStr">
        <is>
          <t>Telecommunications</t>
        </is>
      </c>
      <c r="C2" s="85" t="n">
        <v>86</v>
      </c>
      <c r="D2" s="85" t="n">
        <v>86</v>
      </c>
      <c r="E2" s="85" t="n">
        <v>86</v>
      </c>
      <c r="F2" s="85" t="n">
        <v>86</v>
      </c>
      <c r="G2" s="85" t="n">
        <v>86</v>
      </c>
      <c r="H2" s="85" t="n">
        <v>86</v>
      </c>
      <c r="I2" s="85" t="n">
        <v>86</v>
      </c>
      <c r="J2" s="85" t="n">
        <v>86</v>
      </c>
      <c r="K2" s="85" t="n">
        <v>86</v>
      </c>
      <c r="L2" s="85" t="n">
        <v>86</v>
      </c>
      <c r="M2" s="85" t="n">
        <v>32</v>
      </c>
      <c r="N2" s="85" t="n">
        <v>32</v>
      </c>
      <c r="O2" s="84" t="n">
        <v>-54</v>
      </c>
      <c r="P2" s="84" t="inlineStr">
        <is>
          <t>Fell from peak</t>
        </is>
      </c>
    </row>
    <row r="3">
      <c r="A3" s="84" t="inlineStr">
        <is>
          <t>AT&amp;T</t>
        </is>
      </c>
      <c r="B3" s="84" t="inlineStr">
        <is>
          <t>Telecommunications</t>
        </is>
      </c>
      <c r="C3" s="85" t="n">
        <v>82</v>
      </c>
      <c r="D3" s="85" t="n">
        <v>82</v>
      </c>
      <c r="E3" s="85" t="n">
        <v>82</v>
      </c>
      <c r="F3" s="85" t="n">
        <v>82</v>
      </c>
      <c r="G3" s="85" t="n">
        <v>82</v>
      </c>
      <c r="H3" s="85" t="n">
        <v>82</v>
      </c>
      <c r="I3" s="85" t="n">
        <v>52</v>
      </c>
      <c r="J3" s="85" t="n">
        <v>52</v>
      </c>
      <c r="K3" s="85" t="n">
        <v>52</v>
      </c>
      <c r="L3" s="85" t="n">
        <v>52</v>
      </c>
      <c r="M3" s="85" t="n">
        <v>0</v>
      </c>
      <c r="N3" s="85" t="n">
        <v>0</v>
      </c>
      <c r="O3" s="84" t="n">
        <v>-82</v>
      </c>
      <c r="P3" s="84" t="inlineStr">
        <is>
          <t>Fell from peak</t>
        </is>
      </c>
    </row>
    <row r="4">
      <c r="A4" s="84" t="inlineStr">
        <is>
          <t>T-Mobile</t>
        </is>
      </c>
      <c r="B4" s="84" t="inlineStr">
        <is>
          <t>Telecommunications</t>
        </is>
      </c>
      <c r="C4" s="85" t="n">
        <v>82</v>
      </c>
      <c r="D4" s="85" t="n">
        <v>82</v>
      </c>
      <c r="E4" s="85" t="n">
        <v>82</v>
      </c>
      <c r="F4" s="85" t="n">
        <v>82</v>
      </c>
      <c r="G4" s="85" t="n">
        <v>82</v>
      </c>
      <c r="H4" s="85" t="n">
        <v>82</v>
      </c>
      <c r="I4" s="85" t="n">
        <v>82</v>
      </c>
      <c r="J4" s="85" t="n">
        <v>82</v>
      </c>
      <c r="K4" s="85" t="n">
        <v>82</v>
      </c>
      <c r="L4" s="85" t="n">
        <v>82</v>
      </c>
      <c r="M4" s="85" t="n">
        <v>28</v>
      </c>
      <c r="N4" s="85" t="n">
        <v>28</v>
      </c>
      <c r="O4" s="84" t="n">
        <v>-54</v>
      </c>
      <c r="P4" s="84" t="inlineStr">
        <is>
          <t>Fell from peak</t>
        </is>
      </c>
    </row>
    <row r="5">
      <c r="A5" s="84" t="inlineStr">
        <is>
          <t>Comcast / Xfinity</t>
        </is>
      </c>
      <c r="B5" s="84" t="inlineStr">
        <is>
          <t>Telecommunications</t>
        </is>
      </c>
      <c r="C5" s="85" t="n">
        <v>82</v>
      </c>
      <c r="D5" s="85" t="n">
        <v>82</v>
      </c>
      <c r="E5" s="85" t="n">
        <v>82</v>
      </c>
      <c r="F5" s="85" t="n">
        <v>82</v>
      </c>
      <c r="G5" s="85" t="n">
        <v>82</v>
      </c>
      <c r="H5" s="85" t="n">
        <v>82</v>
      </c>
      <c r="I5" s="85" t="n">
        <v>52</v>
      </c>
      <c r="J5" s="85" t="n">
        <v>52</v>
      </c>
      <c r="K5" s="85" t="n">
        <v>52</v>
      </c>
      <c r="L5" s="85" t="n">
        <v>52</v>
      </c>
      <c r="M5" s="85" t="n">
        <v>30</v>
      </c>
      <c r="N5" s="85" t="n">
        <v>30</v>
      </c>
      <c r="O5" s="84" t="n">
        <v>-52</v>
      </c>
      <c r="P5" s="84" t="inlineStr">
        <is>
          <t>Fell from peak</t>
        </is>
      </c>
    </row>
    <row r="6">
      <c r="A6" s="84" t="inlineStr">
        <is>
          <t>Charter / Spectrum</t>
        </is>
      </c>
      <c r="B6" s="84" t="inlineStr">
        <is>
          <t>Telecommunications</t>
        </is>
      </c>
      <c r="C6" s="85" t="n">
        <v>50</v>
      </c>
      <c r="D6" s="85" t="n">
        <v>50</v>
      </c>
      <c r="E6" s="85" t="n">
        <v>50</v>
      </c>
      <c r="F6" s="85" t="n">
        <v>50</v>
      </c>
      <c r="G6" s="85" t="n">
        <v>50</v>
      </c>
      <c r="H6" s="85" t="n">
        <v>50</v>
      </c>
      <c r="I6" s="85" t="n">
        <v>20</v>
      </c>
      <c r="J6" s="85" t="n">
        <v>20</v>
      </c>
      <c r="K6" s="85" t="n">
        <v>20</v>
      </c>
      <c r="L6" s="85" t="n">
        <v>20</v>
      </c>
      <c r="M6" s="85" t="n">
        <v>20</v>
      </c>
      <c r="N6" s="85" t="n">
        <v>20</v>
      </c>
      <c r="O6" s="84" t="n">
        <v>-30</v>
      </c>
      <c r="P6" s="84" t="inlineStr">
        <is>
          <t>Fell from peak</t>
        </is>
      </c>
    </row>
    <row r="7">
      <c r="A7" s="84" t="inlineStr">
        <is>
          <t>Apple</t>
        </is>
      </c>
      <c r="B7" s="84" t="inlineStr">
        <is>
          <t>Technology</t>
        </is>
      </c>
      <c r="C7" s="85" t="n">
        <v>100</v>
      </c>
      <c r="D7" s="85" t="n">
        <v>100</v>
      </c>
      <c r="E7" s="85" t="n">
        <v>100</v>
      </c>
      <c r="F7" s="85" t="n">
        <v>100</v>
      </c>
      <c r="G7" s="85" t="n">
        <v>100</v>
      </c>
      <c r="H7" s="85" t="n">
        <v>100</v>
      </c>
      <c r="I7" s="85" t="n">
        <v>100</v>
      </c>
      <c r="J7" s="85" t="n">
        <v>100</v>
      </c>
      <c r="K7" s="85" t="n">
        <v>100</v>
      </c>
      <c r="L7" s="85" t="n">
        <v>100</v>
      </c>
      <c r="M7" s="85" t="n">
        <v>100</v>
      </c>
      <c r="N7" s="85" t="n">
        <v>100</v>
      </c>
      <c r="O7" s="84" t="n">
        <v>0</v>
      </c>
      <c r="P7" s="84" t="inlineStr">
        <is>
          <t>Flat</t>
        </is>
      </c>
    </row>
    <row r="8">
      <c r="A8" s="84" t="inlineStr">
        <is>
          <t>Google / Alphabet</t>
        </is>
      </c>
      <c r="B8" s="84" t="inlineStr">
        <is>
          <t>Technology</t>
        </is>
      </c>
      <c r="C8" s="85" t="n">
        <v>100</v>
      </c>
      <c r="D8" s="85" t="n">
        <v>100</v>
      </c>
      <c r="E8" s="85" t="n">
        <v>100</v>
      </c>
      <c r="F8" s="85" t="n">
        <v>100</v>
      </c>
      <c r="G8" s="85" t="n">
        <v>100</v>
      </c>
      <c r="H8" s="85" t="n">
        <v>100</v>
      </c>
      <c r="I8" s="85" t="n">
        <v>100</v>
      </c>
      <c r="J8" s="85" t="n">
        <v>100</v>
      </c>
      <c r="K8" s="85" t="n">
        <v>100</v>
      </c>
      <c r="L8" s="85" t="n">
        <v>100</v>
      </c>
      <c r="M8" s="85" t="n">
        <v>48</v>
      </c>
      <c r="N8" s="85" t="n">
        <v>48</v>
      </c>
      <c r="O8" s="84" t="n">
        <v>-52</v>
      </c>
      <c r="P8" s="84" t="inlineStr">
        <is>
          <t>Fell from peak</t>
        </is>
      </c>
    </row>
    <row r="9">
      <c r="A9" s="84" t="inlineStr">
        <is>
          <t>Meta</t>
        </is>
      </c>
      <c r="B9" s="84" t="inlineStr">
        <is>
          <t>Technology</t>
        </is>
      </c>
      <c r="C9" s="85" t="n">
        <v>92</v>
      </c>
      <c r="D9" s="85" t="n">
        <v>92</v>
      </c>
      <c r="E9" s="85" t="n">
        <v>92</v>
      </c>
      <c r="F9" s="85" t="n">
        <v>92</v>
      </c>
      <c r="G9" s="85" t="n">
        <v>92</v>
      </c>
      <c r="H9" s="85" t="n">
        <v>92</v>
      </c>
      <c r="I9" s="85" t="n">
        <v>92</v>
      </c>
      <c r="J9" s="85" t="n">
        <v>92</v>
      </c>
      <c r="K9" s="85" t="n">
        <v>92</v>
      </c>
      <c r="L9" s="85" t="n">
        <v>92</v>
      </c>
      <c r="M9" s="85" t="n">
        <v>28</v>
      </c>
      <c r="N9" s="85" t="n">
        <v>28</v>
      </c>
      <c r="O9" s="84" t="n">
        <v>-64</v>
      </c>
      <c r="P9" s="84" t="inlineStr">
        <is>
          <t>Fell from peak</t>
        </is>
      </c>
    </row>
    <row r="10">
      <c r="A10" s="84" t="inlineStr">
        <is>
          <t>Microsoft</t>
        </is>
      </c>
      <c r="B10" s="84" t="inlineStr">
        <is>
          <t>Technology</t>
        </is>
      </c>
      <c r="C10" s="85" t="n">
        <v>100</v>
      </c>
      <c r="D10" s="85" t="n">
        <v>100</v>
      </c>
      <c r="E10" s="85" t="n">
        <v>100</v>
      </c>
      <c r="F10" s="85" t="n">
        <v>100</v>
      </c>
      <c r="G10" s="85" t="n">
        <v>100</v>
      </c>
      <c r="H10" s="85" t="n">
        <v>100</v>
      </c>
      <c r="I10" s="85" t="n">
        <v>100</v>
      </c>
      <c r="J10" s="85" t="n">
        <v>100</v>
      </c>
      <c r="K10" s="85" t="n">
        <v>100</v>
      </c>
      <c r="L10" s="85" t="n">
        <v>100</v>
      </c>
      <c r="M10" s="85" t="n">
        <v>100</v>
      </c>
      <c r="N10" s="85" t="n">
        <v>100</v>
      </c>
      <c r="O10" s="84" t="n">
        <v>0</v>
      </c>
      <c r="P10" s="84" t="inlineStr">
        <is>
          <t>Flat</t>
        </is>
      </c>
    </row>
    <row r="11">
      <c r="A11" s="84" t="inlineStr">
        <is>
          <t>Amazon</t>
        </is>
      </c>
      <c r="B11" s="84" t="inlineStr">
        <is>
          <t>Technology</t>
        </is>
      </c>
      <c r="C11" s="85" t="n">
        <v>76</v>
      </c>
      <c r="D11" s="85" t="n">
        <v>76</v>
      </c>
      <c r="E11" s="85" t="n">
        <v>76</v>
      </c>
      <c r="F11" s="85" t="n">
        <v>76</v>
      </c>
      <c r="G11" s="85" t="n">
        <v>76</v>
      </c>
      <c r="H11" s="85" t="n">
        <v>76</v>
      </c>
      <c r="I11" s="85" t="n">
        <v>46</v>
      </c>
      <c r="J11" s="85" t="n">
        <v>46</v>
      </c>
      <c r="K11" s="85" t="n">
        <v>46</v>
      </c>
      <c r="L11" s="85" t="n">
        <v>46</v>
      </c>
      <c r="M11" s="85" t="n">
        <v>14</v>
      </c>
      <c r="N11" s="85" t="n">
        <v>14</v>
      </c>
      <c r="O11" s="84" t="n">
        <v>-62</v>
      </c>
      <c r="P11" s="84" t="inlineStr">
        <is>
          <t>Fell from peak</t>
        </is>
      </c>
    </row>
    <row r="12">
      <c r="A12" s="84" t="inlineStr">
        <is>
          <t>Salesforce</t>
        </is>
      </c>
      <c r="B12" s="84" t="inlineStr">
        <is>
          <t>Technology</t>
        </is>
      </c>
      <c r="C12" s="85" t="n">
        <v>92</v>
      </c>
      <c r="D12" s="85" t="n">
        <v>92</v>
      </c>
      <c r="E12" s="85" t="n">
        <v>92</v>
      </c>
      <c r="F12" s="85" t="n">
        <v>92</v>
      </c>
      <c r="G12" s="85" t="n">
        <v>92</v>
      </c>
      <c r="H12" s="85" t="n">
        <v>92</v>
      </c>
      <c r="I12" s="85" t="n">
        <v>92</v>
      </c>
      <c r="J12" s="85" t="n">
        <v>92</v>
      </c>
      <c r="K12" s="85" t="n">
        <v>92</v>
      </c>
      <c r="L12" s="85" t="n">
        <v>92</v>
      </c>
      <c r="M12" s="85" t="n">
        <v>78</v>
      </c>
      <c r="N12" s="85" t="n">
        <v>78</v>
      </c>
      <c r="O12" s="84" t="n">
        <v>-14</v>
      </c>
      <c r="P12" s="84" t="inlineStr">
        <is>
          <t>Declined</t>
        </is>
      </c>
    </row>
    <row r="13">
      <c r="A13" s="84" t="inlineStr">
        <is>
          <t>IBM</t>
        </is>
      </c>
      <c r="B13" s="84" t="inlineStr">
        <is>
          <t>Technology</t>
        </is>
      </c>
      <c r="C13" s="85" t="n">
        <v>89</v>
      </c>
      <c r="D13" s="85" t="n">
        <v>89</v>
      </c>
      <c r="E13" s="85" t="n">
        <v>89</v>
      </c>
      <c r="F13" s="85" t="n">
        <v>89</v>
      </c>
      <c r="G13" s="85" t="n">
        <v>89</v>
      </c>
      <c r="H13" s="85" t="n">
        <v>89</v>
      </c>
      <c r="I13" s="85" t="n">
        <v>89</v>
      </c>
      <c r="J13" s="85" t="n">
        <v>89</v>
      </c>
      <c r="K13" s="85" t="n">
        <v>89</v>
      </c>
      <c r="L13" s="85" t="n">
        <v>89</v>
      </c>
      <c r="M13" s="85" t="n">
        <v>57</v>
      </c>
      <c r="N13" s="85" t="n">
        <v>57</v>
      </c>
      <c r="O13" s="84" t="n">
        <v>-32</v>
      </c>
      <c r="P13" s="84" t="inlineStr">
        <is>
          <t>Fell from peak</t>
        </is>
      </c>
    </row>
    <row r="14">
      <c r="A14" s="84" t="inlineStr">
        <is>
          <t>Oracle</t>
        </is>
      </c>
      <c r="B14" s="84" t="inlineStr">
        <is>
          <t>Technology</t>
        </is>
      </c>
      <c r="C14" s="85" t="n">
        <v>52</v>
      </c>
      <c r="D14" s="85" t="n">
        <v>52</v>
      </c>
      <c r="E14" s="85" t="n">
        <v>52</v>
      </c>
      <c r="F14" s="85" t="n">
        <v>52</v>
      </c>
      <c r="G14" s="85" t="n">
        <v>52</v>
      </c>
      <c r="H14" s="85" t="n">
        <v>52</v>
      </c>
      <c r="I14" s="85" t="n">
        <v>52</v>
      </c>
      <c r="J14" s="85" t="n">
        <v>52</v>
      </c>
      <c r="K14" s="85" t="n">
        <v>52</v>
      </c>
      <c r="L14" s="85" t="n">
        <v>52</v>
      </c>
      <c r="M14" s="85" t="n">
        <v>52</v>
      </c>
      <c r="N14" s="85" t="n">
        <v>52</v>
      </c>
      <c r="O14" s="84" t="n">
        <v>0</v>
      </c>
      <c r="P14" s="84" t="inlineStr">
        <is>
          <t>Flat</t>
        </is>
      </c>
    </row>
    <row r="15">
      <c r="A15" s="84" t="inlineStr">
        <is>
          <t>Dell</t>
        </is>
      </c>
      <c r="B15" s="84" t="inlineStr">
        <is>
          <t>Technology</t>
        </is>
      </c>
      <c r="C15" s="85" t="n">
        <v>67</v>
      </c>
      <c r="D15" s="85" t="n">
        <v>67</v>
      </c>
      <c r="E15" s="85" t="n">
        <v>67</v>
      </c>
      <c r="F15" s="85" t="n">
        <v>67</v>
      </c>
      <c r="G15" s="85" t="n">
        <v>67</v>
      </c>
      <c r="H15" s="85" t="n">
        <v>67</v>
      </c>
      <c r="I15" s="85" t="n">
        <v>67</v>
      </c>
      <c r="J15" s="85" t="n">
        <v>67</v>
      </c>
      <c r="K15" s="85" t="n">
        <v>67</v>
      </c>
      <c r="L15" s="85" t="n">
        <v>67</v>
      </c>
      <c r="M15" s="85" t="n">
        <v>35</v>
      </c>
      <c r="N15" s="85" t="n">
        <v>35</v>
      </c>
      <c r="O15" s="84" t="n">
        <v>-32</v>
      </c>
      <c r="P15" s="84" t="inlineStr">
        <is>
          <t>Fell from peak</t>
        </is>
      </c>
    </row>
    <row r="16">
      <c r="A16" s="84" t="inlineStr">
        <is>
          <t>HP</t>
        </is>
      </c>
      <c r="B16" s="84" t="inlineStr">
        <is>
          <t>Technology</t>
        </is>
      </c>
      <c r="C16" s="85" t="n">
        <v>89</v>
      </c>
      <c r="D16" s="85" t="n">
        <v>89</v>
      </c>
      <c r="E16" s="85" t="n">
        <v>89</v>
      </c>
      <c r="F16" s="85" t="n">
        <v>89</v>
      </c>
      <c r="G16" s="85" t="n">
        <v>89</v>
      </c>
      <c r="H16" s="85" t="n">
        <v>89</v>
      </c>
      <c r="I16" s="85" t="n">
        <v>89</v>
      </c>
      <c r="J16" s="85" t="n">
        <v>89</v>
      </c>
      <c r="K16" s="85" t="n">
        <v>89</v>
      </c>
      <c r="L16" s="85" t="n">
        <v>89</v>
      </c>
      <c r="M16" s="85" t="n">
        <v>89</v>
      </c>
      <c r="N16" s="85" t="n">
        <v>89</v>
      </c>
      <c r="O16" s="84" t="n">
        <v>0</v>
      </c>
      <c r="P16" s="84" t="inlineStr">
        <is>
          <t>Flat</t>
        </is>
      </c>
    </row>
    <row r="17">
      <c r="A17" s="84" t="inlineStr">
        <is>
          <t>Walmart</t>
        </is>
      </c>
      <c r="B17" s="84" t="inlineStr">
        <is>
          <t>Retail — Big Box</t>
        </is>
      </c>
      <c r="C17" s="85" t="n">
        <v>88</v>
      </c>
      <c r="D17" s="85" t="n">
        <v>88</v>
      </c>
      <c r="E17" s="85" t="n">
        <v>88</v>
      </c>
      <c r="F17" s="85" t="n">
        <v>88</v>
      </c>
      <c r="G17" s="85" t="n">
        <v>88</v>
      </c>
      <c r="H17" s="85" t="n">
        <v>88</v>
      </c>
      <c r="I17" s="85" t="n">
        <v>88</v>
      </c>
      <c r="J17" s="85" t="n">
        <v>88</v>
      </c>
      <c r="K17" s="85" t="n">
        <v>58</v>
      </c>
      <c r="L17" s="85" t="n">
        <v>26</v>
      </c>
      <c r="M17" s="85" t="n">
        <v>4</v>
      </c>
      <c r="N17" s="85" t="n">
        <v>4</v>
      </c>
      <c r="O17" s="84" t="n">
        <v>-84</v>
      </c>
      <c r="P17" s="84" t="inlineStr">
        <is>
          <t>Fell from peak</t>
        </is>
      </c>
    </row>
    <row r="18">
      <c r="A18" s="84" t="inlineStr">
        <is>
          <t>Target</t>
        </is>
      </c>
      <c r="B18" s="84" t="inlineStr">
        <is>
          <t>Retail — Big Box</t>
        </is>
      </c>
      <c r="C18" s="85" t="n">
        <v>73</v>
      </c>
      <c r="D18" s="85" t="n">
        <v>73</v>
      </c>
      <c r="E18" s="85" t="n">
        <v>73</v>
      </c>
      <c r="F18" s="85" t="n">
        <v>73</v>
      </c>
      <c r="G18" s="85" t="n">
        <v>73</v>
      </c>
      <c r="H18" s="85" t="n">
        <v>73</v>
      </c>
      <c r="I18" s="85" t="n">
        <v>73</v>
      </c>
      <c r="J18" s="85" t="n">
        <v>73</v>
      </c>
      <c r="K18" s="85" t="n">
        <v>59</v>
      </c>
      <c r="L18" s="85" t="n">
        <v>59</v>
      </c>
      <c r="M18" s="85" t="n">
        <v>27</v>
      </c>
      <c r="N18" s="85" t="n">
        <v>27</v>
      </c>
      <c r="O18" s="84" t="n">
        <v>-46</v>
      </c>
      <c r="P18" s="84" t="inlineStr">
        <is>
          <t>Fell from peak</t>
        </is>
      </c>
    </row>
    <row r="19">
      <c r="A19" s="84" t="inlineStr">
        <is>
          <t>Costco</t>
        </is>
      </c>
      <c r="B19" s="84" t="inlineStr">
        <is>
          <t>Retail — Big Box</t>
        </is>
      </c>
      <c r="C19" s="85" t="n">
        <v>92</v>
      </c>
      <c r="D19" s="85" t="n">
        <v>92</v>
      </c>
      <c r="E19" s="85" t="n">
        <v>92</v>
      </c>
      <c r="F19" s="85" t="n">
        <v>92</v>
      </c>
      <c r="G19" s="85" t="n">
        <v>92</v>
      </c>
      <c r="H19" s="85" t="n">
        <v>92</v>
      </c>
      <c r="I19" s="85" t="n">
        <v>92</v>
      </c>
      <c r="J19" s="85" t="n">
        <v>92</v>
      </c>
      <c r="K19" s="85" t="n">
        <v>92</v>
      </c>
      <c r="L19" s="85" t="n">
        <v>92</v>
      </c>
      <c r="M19" s="85" t="n">
        <v>92</v>
      </c>
      <c r="N19" s="85" t="n">
        <v>92</v>
      </c>
      <c r="O19" s="84" t="n">
        <v>0</v>
      </c>
      <c r="P19" s="84" t="inlineStr">
        <is>
          <t>Flat</t>
        </is>
      </c>
    </row>
    <row r="20">
      <c r="A20" s="84" t="inlineStr">
        <is>
          <t>Home Depot</t>
        </is>
      </c>
      <c r="B20" s="84" t="inlineStr">
        <is>
          <t>Retail — Big Box</t>
        </is>
      </c>
      <c r="C20" s="85" t="n">
        <v>50</v>
      </c>
      <c r="D20" s="85" t="n">
        <v>50</v>
      </c>
      <c r="E20" s="85" t="n">
        <v>50</v>
      </c>
      <c r="F20" s="85" t="n">
        <v>50</v>
      </c>
      <c r="G20" s="85" t="n">
        <v>50</v>
      </c>
      <c r="H20" s="85" t="n">
        <v>50</v>
      </c>
      <c r="I20" s="85" t="n">
        <v>50</v>
      </c>
      <c r="J20" s="85" t="n">
        <v>50</v>
      </c>
      <c r="K20" s="85" t="n">
        <v>50</v>
      </c>
      <c r="L20" s="85" t="n">
        <v>50</v>
      </c>
      <c r="M20" s="85" t="n">
        <v>50</v>
      </c>
      <c r="N20" s="85" t="n">
        <v>50</v>
      </c>
      <c r="O20" s="84" t="n">
        <v>0</v>
      </c>
      <c r="P20" s="84" t="inlineStr">
        <is>
          <t>Flat</t>
        </is>
      </c>
    </row>
    <row r="21">
      <c r="A21" s="84" t="inlineStr">
        <is>
          <t>Lowe's</t>
        </is>
      </c>
      <c r="B21" s="84" t="inlineStr">
        <is>
          <t>Retail — Big Box</t>
        </is>
      </c>
      <c r="C21" s="85" t="n">
        <v>82</v>
      </c>
      <c r="D21" s="85" t="n">
        <v>82</v>
      </c>
      <c r="E21" s="85" t="n">
        <v>82</v>
      </c>
      <c r="F21" s="85" t="n">
        <v>82</v>
      </c>
      <c r="G21" s="85" t="n">
        <v>82</v>
      </c>
      <c r="H21" s="85" t="n">
        <v>82</v>
      </c>
      <c r="I21" s="85" t="n">
        <v>82</v>
      </c>
      <c r="J21" s="85" t="n">
        <v>82</v>
      </c>
      <c r="K21" s="85" t="n">
        <v>82</v>
      </c>
      <c r="L21" s="85" t="n">
        <v>50</v>
      </c>
      <c r="M21" s="85" t="n">
        <v>28</v>
      </c>
      <c r="N21" s="85" t="n">
        <v>28</v>
      </c>
      <c r="O21" s="84" t="n">
        <v>-54</v>
      </c>
      <c r="P21" s="84" t="inlineStr">
        <is>
          <t>Fell from peak</t>
        </is>
      </c>
    </row>
    <row r="22">
      <c r="A22" s="84" t="inlineStr">
        <is>
          <t>Best Buy</t>
        </is>
      </c>
      <c r="B22" s="84" t="inlineStr">
        <is>
          <t>Retail — Big Box</t>
        </is>
      </c>
      <c r="C22" s="85" t="n">
        <v>89</v>
      </c>
      <c r="D22" s="85" t="n">
        <v>89</v>
      </c>
      <c r="E22" s="85" t="n">
        <v>89</v>
      </c>
      <c r="F22" s="85" t="n">
        <v>89</v>
      </c>
      <c r="G22" s="85" t="n">
        <v>89</v>
      </c>
      <c r="H22" s="85" t="n">
        <v>89</v>
      </c>
      <c r="I22" s="85" t="n">
        <v>89</v>
      </c>
      <c r="J22" s="85" t="n">
        <v>89</v>
      </c>
      <c r="K22" s="85" t="n">
        <v>89</v>
      </c>
      <c r="L22" s="85" t="n">
        <v>89</v>
      </c>
      <c r="M22" s="85" t="n">
        <v>89</v>
      </c>
      <c r="N22" s="85" t="n">
        <v>89</v>
      </c>
      <c r="O22" s="84" t="n">
        <v>0</v>
      </c>
      <c r="P22" s="84" t="inlineStr">
        <is>
          <t>Flat</t>
        </is>
      </c>
    </row>
    <row r="23">
      <c r="A23" s="84" t="inlineStr">
        <is>
          <t>Nike</t>
        </is>
      </c>
      <c r="B23" s="84" t="inlineStr">
        <is>
          <t>Fashion &amp; Apparel</t>
        </is>
      </c>
      <c r="C23" s="85" t="n">
        <v>59</v>
      </c>
      <c r="D23" s="85" t="n">
        <v>59</v>
      </c>
      <c r="E23" s="85" t="n">
        <v>59</v>
      </c>
      <c r="F23" s="85" t="n">
        <v>59</v>
      </c>
      <c r="G23" s="85" t="n">
        <v>59</v>
      </c>
      <c r="H23" s="85" t="n">
        <v>59</v>
      </c>
      <c r="I23" s="85" t="n">
        <v>59</v>
      </c>
      <c r="J23" s="85" t="n">
        <v>59</v>
      </c>
      <c r="K23" s="85" t="n">
        <v>67</v>
      </c>
      <c r="L23" s="85" t="n">
        <v>67</v>
      </c>
      <c r="M23" s="85" t="n">
        <v>67</v>
      </c>
      <c r="N23" s="85" t="n">
        <v>67</v>
      </c>
      <c r="O23" s="84" t="n">
        <v>8</v>
      </c>
      <c r="P23" s="84" t="inlineStr">
        <is>
          <t>Rising</t>
        </is>
      </c>
    </row>
    <row r="24">
      <c r="A24" s="84" t="inlineStr">
        <is>
          <t>Abercrombie &amp; Fitch</t>
        </is>
      </c>
      <c r="B24" s="84" t="inlineStr">
        <is>
          <t>Fashion &amp; Apparel</t>
        </is>
      </c>
      <c r="C24" s="85" t="n">
        <v>59</v>
      </c>
      <c r="D24" s="85" t="n">
        <v>59</v>
      </c>
      <c r="E24" s="85" t="n">
        <v>59</v>
      </c>
      <c r="F24" s="85" t="n">
        <v>59</v>
      </c>
      <c r="G24" s="85" t="n">
        <v>59</v>
      </c>
      <c r="H24" s="85" t="n">
        <v>59</v>
      </c>
      <c r="I24" s="85" t="n">
        <v>59</v>
      </c>
      <c r="J24" s="85" t="n">
        <v>59</v>
      </c>
      <c r="K24" s="85" t="n">
        <v>59</v>
      </c>
      <c r="L24" s="85" t="n">
        <v>59</v>
      </c>
      <c r="M24" s="85" t="n">
        <v>59</v>
      </c>
      <c r="N24" s="85" t="n">
        <v>81</v>
      </c>
      <c r="O24" s="84" t="n">
        <v>22</v>
      </c>
      <c r="P24" s="84" t="inlineStr">
        <is>
          <t>Rising</t>
        </is>
      </c>
    </row>
    <row r="25">
      <c r="A25" s="84" t="inlineStr">
        <is>
          <t>American Eagle</t>
        </is>
      </c>
      <c r="B25" s="84" t="inlineStr">
        <is>
          <t>Fashion &amp; Apparel</t>
        </is>
      </c>
      <c r="C25" s="85" t="n">
        <v>53</v>
      </c>
      <c r="D25" s="85" t="n">
        <v>53</v>
      </c>
      <c r="E25" s="85" t="n">
        <v>53</v>
      </c>
      <c r="F25" s="85" t="n">
        <v>63</v>
      </c>
      <c r="G25" s="85" t="n">
        <v>63</v>
      </c>
      <c r="H25" s="85" t="n">
        <v>63</v>
      </c>
      <c r="I25" s="85" t="n">
        <v>63</v>
      </c>
      <c r="J25" s="85" t="n">
        <v>63</v>
      </c>
      <c r="K25" s="85" t="n">
        <v>63</v>
      </c>
      <c r="L25" s="85" t="n">
        <v>63</v>
      </c>
      <c r="M25" s="85" t="n">
        <v>63</v>
      </c>
      <c r="N25" s="85" t="n">
        <v>85</v>
      </c>
      <c r="O25" s="84" t="n">
        <v>32</v>
      </c>
      <c r="P25" s="84" t="inlineStr">
        <is>
          <t>Rising</t>
        </is>
      </c>
    </row>
    <row r="26">
      <c r="A26" s="84" t="inlineStr">
        <is>
          <t>Gap Inc.</t>
        </is>
      </c>
      <c r="B26" s="84" t="inlineStr">
        <is>
          <t>Fashion &amp; Apparel</t>
        </is>
      </c>
      <c r="C26" s="85" t="n">
        <v>55</v>
      </c>
      <c r="D26" s="85" t="n">
        <v>55</v>
      </c>
      <c r="E26" s="85" t="n">
        <v>55</v>
      </c>
      <c r="F26" s="85" t="n">
        <v>61</v>
      </c>
      <c r="G26" s="85" t="n">
        <v>61</v>
      </c>
      <c r="H26" s="85" t="n">
        <v>61</v>
      </c>
      <c r="I26" s="85" t="n">
        <v>61</v>
      </c>
      <c r="J26" s="85" t="n">
        <v>61</v>
      </c>
      <c r="K26" s="85" t="n">
        <v>61</v>
      </c>
      <c r="L26" s="85" t="n">
        <v>61</v>
      </c>
      <c r="M26" s="85" t="n">
        <v>61</v>
      </c>
      <c r="N26" s="85" t="n">
        <v>61</v>
      </c>
      <c r="O26" s="84" t="n">
        <v>6</v>
      </c>
      <c r="P26" s="84" t="inlineStr">
        <is>
          <t>Rising</t>
        </is>
      </c>
    </row>
    <row r="27">
      <c r="A27" s="84" t="inlineStr">
        <is>
          <t>H&amp;M</t>
        </is>
      </c>
      <c r="B27" s="84" t="inlineStr">
        <is>
          <t>Fashion &amp; Apparel</t>
        </is>
      </c>
      <c r="C27" s="85" t="n">
        <v>53</v>
      </c>
      <c r="D27" s="85" t="n">
        <v>53</v>
      </c>
      <c r="E27" s="85" t="n">
        <v>53</v>
      </c>
      <c r="F27" s="85" t="n">
        <v>63</v>
      </c>
      <c r="G27" s="85" t="n">
        <v>63</v>
      </c>
      <c r="H27" s="85" t="n">
        <v>63</v>
      </c>
      <c r="I27" s="85" t="n">
        <v>63</v>
      </c>
      <c r="J27" s="85" t="n">
        <v>63</v>
      </c>
      <c r="K27" s="85" t="n">
        <v>63</v>
      </c>
      <c r="L27" s="85" t="n">
        <v>63</v>
      </c>
      <c r="M27" s="85" t="n">
        <v>63</v>
      </c>
      <c r="N27" s="85" t="n">
        <v>63</v>
      </c>
      <c r="O27" s="84" t="n">
        <v>10</v>
      </c>
      <c r="P27" s="84" t="inlineStr">
        <is>
          <t>Rising</t>
        </is>
      </c>
    </row>
    <row r="28">
      <c r="A28" s="84" t="inlineStr">
        <is>
          <t>Vineyard Vines</t>
        </is>
      </c>
      <c r="B28" s="84" t="inlineStr">
        <is>
          <t>Fashion &amp; Apparel</t>
        </is>
      </c>
      <c r="C28" s="85" t="n">
        <v>50</v>
      </c>
      <c r="D28" s="85" t="n">
        <v>50</v>
      </c>
      <c r="E28" s="85" t="n">
        <v>50</v>
      </c>
      <c r="F28" s="85" t="n">
        <v>50</v>
      </c>
      <c r="G28" s="85" t="n">
        <v>50</v>
      </c>
      <c r="H28" s="85" t="n">
        <v>50</v>
      </c>
      <c r="I28" s="85" t="n">
        <v>50</v>
      </c>
      <c r="J28" s="85" t="n">
        <v>50</v>
      </c>
      <c r="K28" s="85" t="n">
        <v>50</v>
      </c>
      <c r="L28" s="85" t="n">
        <v>50</v>
      </c>
      <c r="M28" s="85" t="n">
        <v>50</v>
      </c>
      <c r="N28" s="85" t="n">
        <v>50</v>
      </c>
      <c r="O28" s="84" t="n">
        <v>0</v>
      </c>
      <c r="P28" s="84" t="inlineStr">
        <is>
          <t>Flat</t>
        </is>
      </c>
    </row>
    <row r="29">
      <c r="A29" s="84" t="inlineStr">
        <is>
          <t>Ralph Lauren</t>
        </is>
      </c>
      <c r="B29" s="84" t="inlineStr">
        <is>
          <t>Fashion &amp; Apparel</t>
        </is>
      </c>
      <c r="C29" s="85" t="n">
        <v>65</v>
      </c>
      <c r="D29" s="85" t="n">
        <v>65</v>
      </c>
      <c r="E29" s="85" t="n">
        <v>65</v>
      </c>
      <c r="F29" s="85" t="n">
        <v>65</v>
      </c>
      <c r="G29" s="85" t="n">
        <v>65</v>
      </c>
      <c r="H29" s="85" t="n">
        <v>65</v>
      </c>
      <c r="I29" s="85" t="n">
        <v>65</v>
      </c>
      <c r="J29" s="85" t="n">
        <v>65</v>
      </c>
      <c r="K29" s="85" t="n">
        <v>65</v>
      </c>
      <c r="L29" s="85" t="n">
        <v>65</v>
      </c>
      <c r="M29" s="85" t="n">
        <v>65</v>
      </c>
      <c r="N29" s="85" t="n">
        <v>65</v>
      </c>
      <c r="O29" s="84" t="n">
        <v>0</v>
      </c>
      <c r="P29" s="84" t="inlineStr">
        <is>
          <t>Flat</t>
        </is>
      </c>
    </row>
    <row r="30">
      <c r="A30" s="84" t="inlineStr">
        <is>
          <t>Levi Strauss &amp; Co.</t>
        </is>
      </c>
      <c r="B30" s="84" t="inlineStr">
        <is>
          <t>Fashion &amp; Apparel</t>
        </is>
      </c>
      <c r="C30" s="85" t="n">
        <v>100</v>
      </c>
      <c r="D30" s="85" t="n">
        <v>100</v>
      </c>
      <c r="E30" s="85" t="n">
        <v>100</v>
      </c>
      <c r="F30" s="85" t="n">
        <v>100</v>
      </c>
      <c r="G30" s="85" t="n">
        <v>100</v>
      </c>
      <c r="H30" s="85" t="n">
        <v>100</v>
      </c>
      <c r="I30" s="85" t="n">
        <v>100</v>
      </c>
      <c r="J30" s="85" t="n">
        <v>100</v>
      </c>
      <c r="K30" s="85" t="n">
        <v>100</v>
      </c>
      <c r="L30" s="85" t="n">
        <v>100</v>
      </c>
      <c r="M30" s="85" t="n">
        <v>100</v>
      </c>
      <c r="N30" s="85" t="n">
        <v>100</v>
      </c>
      <c r="O30" s="84" t="n">
        <v>0</v>
      </c>
      <c r="P30" s="84" t="inlineStr">
        <is>
          <t>Flat</t>
        </is>
      </c>
    </row>
    <row r="31">
      <c r="A31" s="84" t="inlineStr">
        <is>
          <t>PVH Corp.</t>
        </is>
      </c>
      <c r="B31" s="84" t="inlineStr">
        <is>
          <t>Fashion &amp; Apparel</t>
        </is>
      </c>
      <c r="C31" s="85" t="n">
        <v>83</v>
      </c>
      <c r="D31" s="85" t="n">
        <v>83</v>
      </c>
      <c r="E31" s="85" t="n">
        <v>83</v>
      </c>
      <c r="F31" s="85" t="n">
        <v>83</v>
      </c>
      <c r="G31" s="85" t="n">
        <v>83</v>
      </c>
      <c r="H31" s="85" t="n">
        <v>83</v>
      </c>
      <c r="I31" s="85" t="n">
        <v>83</v>
      </c>
      <c r="J31" s="85" t="n">
        <v>83</v>
      </c>
      <c r="K31" s="85" t="n">
        <v>83</v>
      </c>
      <c r="L31" s="85" t="n">
        <v>83</v>
      </c>
      <c r="M31" s="85" t="n">
        <v>83</v>
      </c>
      <c r="N31" s="85" t="n">
        <v>83</v>
      </c>
      <c r="O31" s="84" t="n">
        <v>0</v>
      </c>
      <c r="P31" s="84" t="inlineStr">
        <is>
          <t>Flat</t>
        </is>
      </c>
    </row>
    <row r="32">
      <c r="A32" s="84" t="inlineStr">
        <is>
          <t>Starbucks</t>
        </is>
      </c>
      <c r="B32" s="84" t="inlineStr">
        <is>
          <t>Food &amp; Beverage</t>
        </is>
      </c>
      <c r="C32" s="85" t="n">
        <v>98</v>
      </c>
      <c r="D32" s="85" t="n">
        <v>98</v>
      </c>
      <c r="E32" s="85" t="n">
        <v>98</v>
      </c>
      <c r="F32" s="85" t="n">
        <v>98</v>
      </c>
      <c r="G32" s="85" t="n">
        <v>98</v>
      </c>
      <c r="H32" s="85" t="n">
        <v>98</v>
      </c>
      <c r="I32" s="85" t="n">
        <v>98</v>
      </c>
      <c r="J32" s="85" t="n">
        <v>98</v>
      </c>
      <c r="K32" s="85" t="n">
        <v>98</v>
      </c>
      <c r="L32" s="85" t="n">
        <v>98</v>
      </c>
      <c r="M32" s="85" t="n">
        <v>98</v>
      </c>
      <c r="N32" s="85" t="n">
        <v>98</v>
      </c>
      <c r="O32" s="84" t="n">
        <v>0</v>
      </c>
      <c r="P32" s="84" t="inlineStr">
        <is>
          <t>Flat</t>
        </is>
      </c>
    </row>
    <row r="33">
      <c r="A33" s="84" t="inlineStr">
        <is>
          <t>McDonald's</t>
        </is>
      </c>
      <c r="B33" s="84" t="inlineStr">
        <is>
          <t>Food &amp; Beverage</t>
        </is>
      </c>
      <c r="C33" s="85" t="n">
        <v>70</v>
      </c>
      <c r="D33" s="85" t="n">
        <v>70</v>
      </c>
      <c r="E33" s="85" t="n">
        <v>70</v>
      </c>
      <c r="F33" s="85" t="n">
        <v>70</v>
      </c>
      <c r="G33" s="85" t="n">
        <v>70</v>
      </c>
      <c r="H33" s="85" t="n">
        <v>70</v>
      </c>
      <c r="I33" s="85" t="n">
        <v>70</v>
      </c>
      <c r="J33" s="85" t="n">
        <v>70</v>
      </c>
      <c r="K33" s="85" t="n">
        <v>70</v>
      </c>
      <c r="L33" s="85" t="n">
        <v>70</v>
      </c>
      <c r="M33" s="85" t="n">
        <v>38</v>
      </c>
      <c r="N33" s="85" t="n">
        <v>38</v>
      </c>
      <c r="O33" s="84" t="n">
        <v>-32</v>
      </c>
      <c r="P33" s="84" t="inlineStr">
        <is>
          <t>Fell from peak</t>
        </is>
      </c>
    </row>
    <row r="34">
      <c r="A34" s="84" t="inlineStr">
        <is>
          <t>Chick-fil-A</t>
        </is>
      </c>
      <c r="B34" s="84" t="inlineStr">
        <is>
          <t>Food &amp; Beverage</t>
        </is>
      </c>
      <c r="C34" s="85" t="n">
        <v>15</v>
      </c>
      <c r="D34" s="85" t="n">
        <v>15</v>
      </c>
      <c r="E34" s="85" t="n">
        <v>15</v>
      </c>
      <c r="F34" s="85" t="n">
        <v>15</v>
      </c>
      <c r="G34" s="85" t="n">
        <v>15</v>
      </c>
      <c r="H34" s="85" t="n">
        <v>15</v>
      </c>
      <c r="I34" s="85" t="n">
        <v>15</v>
      </c>
      <c r="J34" s="85" t="n">
        <v>15</v>
      </c>
      <c r="K34" s="85" t="n">
        <v>15</v>
      </c>
      <c r="L34" s="85" t="n">
        <v>15</v>
      </c>
      <c r="M34" s="85" t="n">
        <v>15</v>
      </c>
      <c r="N34" s="85" t="n">
        <v>15</v>
      </c>
      <c r="O34" s="84" t="n">
        <v>0</v>
      </c>
      <c r="P34" s="84" t="inlineStr">
        <is>
          <t>Flat</t>
        </is>
      </c>
    </row>
    <row r="35">
      <c r="A35" s="84" t="inlineStr">
        <is>
          <t>Subway</t>
        </is>
      </c>
      <c r="B35" s="84" t="inlineStr">
        <is>
          <t>Food &amp; Beverage</t>
        </is>
      </c>
      <c r="C35" s="85" t="n">
        <v>50</v>
      </c>
      <c r="D35" s="85" t="n">
        <v>50</v>
      </c>
      <c r="E35" s="85" t="n">
        <v>50</v>
      </c>
      <c r="F35" s="85" t="n">
        <v>50</v>
      </c>
      <c r="G35" s="85" t="n">
        <v>50</v>
      </c>
      <c r="H35" s="85" t="n">
        <v>50</v>
      </c>
      <c r="I35" s="85" t="n">
        <v>50</v>
      </c>
      <c r="J35" s="85" t="n">
        <v>50</v>
      </c>
      <c r="K35" s="85" t="n">
        <v>50</v>
      </c>
      <c r="L35" s="85" t="n">
        <v>50</v>
      </c>
      <c r="M35" s="85" t="n">
        <v>50</v>
      </c>
      <c r="N35" s="85" t="n">
        <v>50</v>
      </c>
      <c r="O35" s="84" t="n">
        <v>0</v>
      </c>
      <c r="P35" s="84" t="inlineStr">
        <is>
          <t>Flat</t>
        </is>
      </c>
    </row>
    <row r="36">
      <c r="A36" s="84" t="inlineStr">
        <is>
          <t>Coca-Cola</t>
        </is>
      </c>
      <c r="B36" s="84" t="inlineStr">
        <is>
          <t>Food &amp; Beverage</t>
        </is>
      </c>
      <c r="C36" s="85" t="n">
        <v>100</v>
      </c>
      <c r="D36" s="85" t="n">
        <v>100</v>
      </c>
      <c r="E36" s="85" t="n">
        <v>100</v>
      </c>
      <c r="F36" s="85" t="n">
        <v>100</v>
      </c>
      <c r="G36" s="85" t="n">
        <v>100</v>
      </c>
      <c r="H36" s="85" t="n">
        <v>100</v>
      </c>
      <c r="I36" s="85" t="n">
        <v>100</v>
      </c>
      <c r="J36" s="85" t="n">
        <v>100</v>
      </c>
      <c r="K36" s="85" t="n">
        <v>100</v>
      </c>
      <c r="L36" s="85" t="n">
        <v>100</v>
      </c>
      <c r="M36" s="85" t="n">
        <v>100</v>
      </c>
      <c r="N36" s="85" t="n">
        <v>100</v>
      </c>
      <c r="O36" s="84" t="n">
        <v>0</v>
      </c>
      <c r="P36" s="84" t="inlineStr">
        <is>
          <t>Flat</t>
        </is>
      </c>
    </row>
    <row r="37">
      <c r="A37" s="84" t="inlineStr">
        <is>
          <t>PepsiCo</t>
        </is>
      </c>
      <c r="B37" s="84" t="inlineStr">
        <is>
          <t>Food &amp; Beverage</t>
        </is>
      </c>
      <c r="C37" s="85" t="n">
        <v>82</v>
      </c>
      <c r="D37" s="85" t="n">
        <v>82</v>
      </c>
      <c r="E37" s="85" t="n">
        <v>82</v>
      </c>
      <c r="F37" s="85" t="n">
        <v>82</v>
      </c>
      <c r="G37" s="85" t="n">
        <v>82</v>
      </c>
      <c r="H37" s="85" t="n">
        <v>82</v>
      </c>
      <c r="I37" s="85" t="n">
        <v>82</v>
      </c>
      <c r="J37" s="85" t="n">
        <v>82</v>
      </c>
      <c r="K37" s="85" t="n">
        <v>82</v>
      </c>
      <c r="L37" s="85" t="n">
        <v>82</v>
      </c>
      <c r="M37" s="85" t="n">
        <v>28</v>
      </c>
      <c r="N37" s="85" t="n">
        <v>28</v>
      </c>
      <c r="O37" s="84" t="n">
        <v>-54</v>
      </c>
      <c r="P37" s="84" t="inlineStr">
        <is>
          <t>Fell from peak</t>
        </is>
      </c>
    </row>
    <row r="38">
      <c r="A38" s="84" t="inlineStr">
        <is>
          <t>Anheuser-Busch InBev</t>
        </is>
      </c>
      <c r="B38" s="84" t="inlineStr">
        <is>
          <t>Food &amp; Beverage</t>
        </is>
      </c>
      <c r="C38" s="85" t="n">
        <v>71</v>
      </c>
      <c r="D38" s="85" t="n">
        <v>71</v>
      </c>
      <c r="E38" s="85" t="n">
        <v>71</v>
      </c>
      <c r="F38" s="85" t="n">
        <v>71</v>
      </c>
      <c r="G38" s="85" t="n">
        <v>71</v>
      </c>
      <c r="H38" s="85" t="n">
        <v>71</v>
      </c>
      <c r="I38" s="85" t="n">
        <v>41</v>
      </c>
      <c r="J38" s="85" t="n">
        <v>41</v>
      </c>
      <c r="K38" s="85" t="n">
        <v>17</v>
      </c>
      <c r="L38" s="85" t="n">
        <v>17</v>
      </c>
      <c r="M38" s="85" t="n">
        <v>0</v>
      </c>
      <c r="N38" s="85" t="n">
        <v>0</v>
      </c>
      <c r="O38" s="84" t="n">
        <v>-71</v>
      </c>
      <c r="P38" s="84" t="inlineStr">
        <is>
          <t>Fell from peak</t>
        </is>
      </c>
    </row>
    <row r="39">
      <c r="A39" s="84" t="inlineStr">
        <is>
          <t>Whole Foods</t>
        </is>
      </c>
      <c r="B39" s="84" t="inlineStr">
        <is>
          <t>Food &amp; Beverage</t>
        </is>
      </c>
      <c r="C39" s="85" t="n">
        <v>52</v>
      </c>
      <c r="D39" s="85" t="n">
        <v>52</v>
      </c>
      <c r="E39" s="85" t="n">
        <v>52</v>
      </c>
      <c r="F39" s="85" t="n">
        <v>52</v>
      </c>
      <c r="G39" s="85" t="n">
        <v>52</v>
      </c>
      <c r="H39" s="85" t="n">
        <v>52</v>
      </c>
      <c r="I39" s="85" t="n">
        <v>52</v>
      </c>
      <c r="J39" s="85" t="n">
        <v>52</v>
      </c>
      <c r="K39" s="85" t="n">
        <v>52</v>
      </c>
      <c r="L39" s="85" t="n">
        <v>52</v>
      </c>
      <c r="M39" s="85" t="n">
        <v>52</v>
      </c>
      <c r="N39" s="85" t="n">
        <v>52</v>
      </c>
      <c r="O39" s="84" t="n">
        <v>0</v>
      </c>
      <c r="P39" s="84" t="inlineStr">
        <is>
          <t>Flat</t>
        </is>
      </c>
    </row>
    <row r="40">
      <c r="A40" s="84" t="inlineStr">
        <is>
          <t>Tyson Foods</t>
        </is>
      </c>
      <c r="B40" s="84" t="inlineStr">
        <is>
          <t>Food &amp; Beverage</t>
        </is>
      </c>
      <c r="C40" s="85" t="n">
        <v>50</v>
      </c>
      <c r="D40" s="85" t="n">
        <v>50</v>
      </c>
      <c r="E40" s="85" t="n">
        <v>50</v>
      </c>
      <c r="F40" s="85" t="n">
        <v>50</v>
      </c>
      <c r="G40" s="85" t="n">
        <v>50</v>
      </c>
      <c r="H40" s="85" t="n">
        <v>50</v>
      </c>
      <c r="I40" s="85" t="n">
        <v>50</v>
      </c>
      <c r="J40" s="85" t="n">
        <v>50</v>
      </c>
      <c r="K40" s="85" t="n">
        <v>50</v>
      </c>
      <c r="L40" s="85" t="n">
        <v>50</v>
      </c>
      <c r="M40" s="85" t="n">
        <v>50</v>
      </c>
      <c r="N40" s="85" t="n">
        <v>50</v>
      </c>
      <c r="O40" s="84" t="n">
        <v>0</v>
      </c>
      <c r="P40" s="84" t="inlineStr">
        <is>
          <t>Flat</t>
        </is>
      </c>
    </row>
    <row r="41">
      <c r="A41" s="84" t="inlineStr">
        <is>
          <t>JPMorgan Chase</t>
        </is>
      </c>
      <c r="B41" s="84" t="inlineStr">
        <is>
          <t>Financial Services</t>
        </is>
      </c>
      <c r="C41" s="85" t="n">
        <v>89</v>
      </c>
      <c r="D41" s="85" t="n">
        <v>89</v>
      </c>
      <c r="E41" s="85" t="n">
        <v>89</v>
      </c>
      <c r="F41" s="85" t="n">
        <v>89</v>
      </c>
      <c r="G41" s="85" t="n">
        <v>89</v>
      </c>
      <c r="H41" s="85" t="n">
        <v>89</v>
      </c>
      <c r="I41" s="85" t="n">
        <v>89</v>
      </c>
      <c r="J41" s="85" t="n">
        <v>89</v>
      </c>
      <c r="K41" s="85" t="n">
        <v>89</v>
      </c>
      <c r="L41" s="85" t="n">
        <v>89</v>
      </c>
      <c r="M41" s="85" t="n">
        <v>100</v>
      </c>
      <c r="N41" s="85" t="n">
        <v>100</v>
      </c>
      <c r="O41" s="84" t="n">
        <v>11</v>
      </c>
      <c r="P41" s="84" t="inlineStr">
        <is>
          <t>Rising</t>
        </is>
      </c>
    </row>
    <row r="42">
      <c r="A42" s="84" t="inlineStr">
        <is>
          <t>Bank of America</t>
        </is>
      </c>
      <c r="B42" s="84" t="inlineStr">
        <is>
          <t>Financial Services</t>
        </is>
      </c>
      <c r="C42" s="85" t="n">
        <v>89</v>
      </c>
      <c r="D42" s="85" t="n">
        <v>89</v>
      </c>
      <c r="E42" s="85" t="n">
        <v>89</v>
      </c>
      <c r="F42" s="85" t="n">
        <v>89</v>
      </c>
      <c r="G42" s="85" t="n">
        <v>89</v>
      </c>
      <c r="H42" s="85" t="n">
        <v>89</v>
      </c>
      <c r="I42" s="85" t="n">
        <v>89</v>
      </c>
      <c r="J42" s="85" t="n">
        <v>89</v>
      </c>
      <c r="K42" s="85" t="n">
        <v>89</v>
      </c>
      <c r="L42" s="85" t="n">
        <v>89</v>
      </c>
      <c r="M42" s="85" t="n">
        <v>57</v>
      </c>
      <c r="N42" s="85" t="n">
        <v>57</v>
      </c>
      <c r="O42" s="84" t="n">
        <v>-32</v>
      </c>
      <c r="P42" s="84" t="inlineStr">
        <is>
          <t>Fell from peak</t>
        </is>
      </c>
    </row>
    <row r="43">
      <c r="A43" s="84" t="inlineStr">
        <is>
          <t>Wells Fargo</t>
        </is>
      </c>
      <c r="B43" s="84" t="inlineStr">
        <is>
          <t>Financial Services</t>
        </is>
      </c>
      <c r="C43" s="85" t="n">
        <v>89</v>
      </c>
      <c r="D43" s="85" t="n">
        <v>89</v>
      </c>
      <c r="E43" s="85" t="n">
        <v>89</v>
      </c>
      <c r="F43" s="85" t="n">
        <v>89</v>
      </c>
      <c r="G43" s="85" t="n">
        <v>89</v>
      </c>
      <c r="H43" s="85" t="n">
        <v>89</v>
      </c>
      <c r="I43" s="85" t="n">
        <v>59</v>
      </c>
      <c r="J43" s="85" t="n">
        <v>59</v>
      </c>
      <c r="K43" s="85" t="n">
        <v>59</v>
      </c>
      <c r="L43" s="85" t="n">
        <v>59</v>
      </c>
      <c r="M43" s="85" t="n">
        <v>27</v>
      </c>
      <c r="N43" s="85" t="n">
        <v>27</v>
      </c>
      <c r="O43" s="84" t="n">
        <v>-62</v>
      </c>
      <c r="P43" s="84" t="inlineStr">
        <is>
          <t>Fell from peak</t>
        </is>
      </c>
    </row>
    <row r="44">
      <c r="A44" s="84" t="inlineStr">
        <is>
          <t>Goldman Sachs</t>
        </is>
      </c>
      <c r="B44" s="84" t="inlineStr">
        <is>
          <t>Financial Services</t>
        </is>
      </c>
      <c r="C44" s="85" t="n">
        <v>89</v>
      </c>
      <c r="D44" s="85" t="n">
        <v>89</v>
      </c>
      <c r="E44" s="85" t="n">
        <v>89</v>
      </c>
      <c r="F44" s="85" t="n">
        <v>89</v>
      </c>
      <c r="G44" s="85" t="n">
        <v>89</v>
      </c>
      <c r="H44" s="85" t="n">
        <v>89</v>
      </c>
      <c r="I44" s="85" t="n">
        <v>89</v>
      </c>
      <c r="J44" s="85" t="n">
        <v>89</v>
      </c>
      <c r="K44" s="85" t="n">
        <v>89</v>
      </c>
      <c r="L44" s="85" t="n">
        <v>89</v>
      </c>
      <c r="M44" s="85" t="n">
        <v>57</v>
      </c>
      <c r="N44" s="85" t="n">
        <v>57</v>
      </c>
      <c r="O44" s="84" t="n">
        <v>-32</v>
      </c>
      <c r="P44" s="84" t="inlineStr">
        <is>
          <t>Fell from peak</t>
        </is>
      </c>
    </row>
    <row r="45">
      <c r="A45" s="84" t="inlineStr">
        <is>
          <t>American Express</t>
        </is>
      </c>
      <c r="B45" s="84" t="inlineStr">
        <is>
          <t>Financial Services</t>
        </is>
      </c>
      <c r="C45" s="85" t="n">
        <v>89</v>
      </c>
      <c r="D45" s="85" t="n">
        <v>89</v>
      </c>
      <c r="E45" s="85" t="n">
        <v>89</v>
      </c>
      <c r="F45" s="85" t="n">
        <v>89</v>
      </c>
      <c r="G45" s="85" t="n">
        <v>89</v>
      </c>
      <c r="H45" s="85" t="n">
        <v>89</v>
      </c>
      <c r="I45" s="85" t="n">
        <v>89</v>
      </c>
      <c r="J45" s="85" t="n">
        <v>89</v>
      </c>
      <c r="K45" s="85" t="n">
        <v>89</v>
      </c>
      <c r="L45" s="85" t="n">
        <v>89</v>
      </c>
      <c r="M45" s="85" t="n">
        <v>57</v>
      </c>
      <c r="N45" s="85" t="n">
        <v>57</v>
      </c>
      <c r="O45" s="84" t="n">
        <v>-32</v>
      </c>
      <c r="P45" s="84" t="inlineStr">
        <is>
          <t>Fell from peak</t>
        </is>
      </c>
    </row>
    <row r="46">
      <c r="A46" s="84" t="inlineStr">
        <is>
          <t>Visa</t>
        </is>
      </c>
      <c r="B46" s="84" t="inlineStr">
        <is>
          <t>Financial Services</t>
        </is>
      </c>
      <c r="C46" s="85" t="n">
        <v>67</v>
      </c>
      <c r="D46" s="85" t="n">
        <v>67</v>
      </c>
      <c r="E46" s="85" t="n">
        <v>67</v>
      </c>
      <c r="F46" s="85" t="n">
        <v>67</v>
      </c>
      <c r="G46" s="85" t="n">
        <v>67</v>
      </c>
      <c r="H46" s="85" t="n">
        <v>67</v>
      </c>
      <c r="I46" s="85" t="n">
        <v>67</v>
      </c>
      <c r="J46" s="85" t="n">
        <v>67</v>
      </c>
      <c r="K46" s="85" t="n">
        <v>67</v>
      </c>
      <c r="L46" s="85" t="n">
        <v>67</v>
      </c>
      <c r="M46" s="85" t="n">
        <v>67</v>
      </c>
      <c r="N46" s="85" t="n">
        <v>67</v>
      </c>
      <c r="O46" s="84" t="n">
        <v>0</v>
      </c>
      <c r="P46" s="84" t="inlineStr">
        <is>
          <t>Flat</t>
        </is>
      </c>
    </row>
    <row r="47">
      <c r="A47" s="84" t="inlineStr">
        <is>
          <t>Mastercard</t>
        </is>
      </c>
      <c r="B47" s="84" t="inlineStr">
        <is>
          <t>Financial Services</t>
        </is>
      </c>
      <c r="C47" s="85" t="n">
        <v>67</v>
      </c>
      <c r="D47" s="85" t="n">
        <v>67</v>
      </c>
      <c r="E47" s="85" t="n">
        <v>67</v>
      </c>
      <c r="F47" s="85" t="n">
        <v>67</v>
      </c>
      <c r="G47" s="85" t="n">
        <v>79</v>
      </c>
      <c r="H47" s="85" t="n">
        <v>79</v>
      </c>
      <c r="I47" s="85" t="n">
        <v>79</v>
      </c>
      <c r="J47" s="85" t="n">
        <v>79</v>
      </c>
      <c r="K47" s="85" t="n">
        <v>79</v>
      </c>
      <c r="L47" s="85" t="n">
        <v>79</v>
      </c>
      <c r="M47" s="85" t="n">
        <v>57</v>
      </c>
      <c r="N47" s="85" t="n">
        <v>67</v>
      </c>
      <c r="O47" s="84" t="n">
        <v>0</v>
      </c>
      <c r="P47" s="84" t="inlineStr">
        <is>
          <t>Mixed</t>
        </is>
      </c>
    </row>
    <row r="48">
      <c r="A48" s="84" t="inlineStr">
        <is>
          <t>Charles Schwab</t>
        </is>
      </c>
      <c r="B48" s="84" t="inlineStr">
        <is>
          <t>Financial Services</t>
        </is>
      </c>
      <c r="C48" s="85" t="n">
        <v>52</v>
      </c>
      <c r="D48" s="85" t="n">
        <v>52</v>
      </c>
      <c r="E48" s="85" t="n">
        <v>52</v>
      </c>
      <c r="F48" s="85" t="n">
        <v>52</v>
      </c>
      <c r="G48" s="85" t="n">
        <v>52</v>
      </c>
      <c r="H48" s="85" t="n">
        <v>52</v>
      </c>
      <c r="I48" s="85" t="n">
        <v>52</v>
      </c>
      <c r="J48" s="85" t="n">
        <v>52</v>
      </c>
      <c r="K48" s="85" t="n">
        <v>52</v>
      </c>
      <c r="L48" s="85" t="n">
        <v>52</v>
      </c>
      <c r="M48" s="85" t="n">
        <v>52</v>
      </c>
      <c r="N48" s="85" t="n">
        <v>52</v>
      </c>
      <c r="O48" s="84" t="n">
        <v>0</v>
      </c>
      <c r="P48" s="84" t="inlineStr">
        <is>
          <t>Flat</t>
        </is>
      </c>
    </row>
    <row r="49">
      <c r="A49" s="84" t="inlineStr">
        <is>
          <t>Citigroup</t>
        </is>
      </c>
      <c r="B49" s="84" t="inlineStr">
        <is>
          <t>Financial Services</t>
        </is>
      </c>
      <c r="C49" s="85" t="n">
        <v>79</v>
      </c>
      <c r="D49" s="85" t="n">
        <v>79</v>
      </c>
      <c r="E49" s="85" t="n">
        <v>79</v>
      </c>
      <c r="F49" s="85" t="n">
        <v>79</v>
      </c>
      <c r="G49" s="85" t="n">
        <v>79</v>
      </c>
      <c r="H49" s="85" t="n">
        <v>79</v>
      </c>
      <c r="I49" s="85" t="n">
        <v>79</v>
      </c>
      <c r="J49" s="85" t="n">
        <v>79</v>
      </c>
      <c r="K49" s="85" t="n">
        <v>79</v>
      </c>
      <c r="L49" s="85" t="n">
        <v>79</v>
      </c>
      <c r="M49" s="85" t="n">
        <v>25</v>
      </c>
      <c r="N49" s="85" t="n">
        <v>25</v>
      </c>
      <c r="O49" s="84" t="n">
        <v>-54</v>
      </c>
      <c r="P49" s="84" t="inlineStr">
        <is>
          <t>Fell from peak</t>
        </is>
      </c>
    </row>
    <row r="50">
      <c r="A50" s="84" t="inlineStr">
        <is>
          <t>Walt Disney Co.</t>
        </is>
      </c>
      <c r="B50" s="84" t="inlineStr">
        <is>
          <t>Media &amp; Entertainment</t>
        </is>
      </c>
      <c r="C50" s="85" t="n">
        <v>96</v>
      </c>
      <c r="D50" s="85" t="n">
        <v>96</v>
      </c>
      <c r="E50" s="85" t="n">
        <v>96</v>
      </c>
      <c r="F50" s="85" t="n">
        <v>96</v>
      </c>
      <c r="G50" s="85" t="n">
        <v>96</v>
      </c>
      <c r="H50" s="85" t="n">
        <v>96</v>
      </c>
      <c r="I50" s="85" t="n">
        <v>96</v>
      </c>
      <c r="J50" s="85" t="n">
        <v>66</v>
      </c>
      <c r="K50" s="85" t="n">
        <v>66</v>
      </c>
      <c r="L50" s="85" t="n">
        <v>68</v>
      </c>
      <c r="M50" s="85" t="n">
        <v>36</v>
      </c>
      <c r="N50" s="85" t="n">
        <v>36</v>
      </c>
      <c r="O50" s="84" t="n">
        <v>-60</v>
      </c>
      <c r="P50" s="84" t="inlineStr">
        <is>
          <t>Fell from peak</t>
        </is>
      </c>
    </row>
    <row r="51">
      <c r="A51" s="84" t="inlineStr">
        <is>
          <t>Netflix</t>
        </is>
      </c>
      <c r="B51" s="84" t="inlineStr">
        <is>
          <t>Media &amp; Entertainment</t>
        </is>
      </c>
      <c r="C51" s="85" t="n">
        <v>74</v>
      </c>
      <c r="D51" s="85" t="n">
        <v>74</v>
      </c>
      <c r="E51" s="85" t="n">
        <v>74</v>
      </c>
      <c r="F51" s="85" t="n">
        <v>74</v>
      </c>
      <c r="G51" s="85" t="n">
        <v>74</v>
      </c>
      <c r="H51" s="85" t="n">
        <v>74</v>
      </c>
      <c r="I51" s="85" t="n">
        <v>64</v>
      </c>
      <c r="J51" s="85" t="n">
        <v>64</v>
      </c>
      <c r="K51" s="85" t="n">
        <v>64</v>
      </c>
      <c r="L51" s="85" t="n">
        <v>64</v>
      </c>
      <c r="M51" s="85" t="n">
        <v>72</v>
      </c>
      <c r="N51" s="85" t="n">
        <v>72</v>
      </c>
      <c r="O51" s="84" t="n">
        <v>-2</v>
      </c>
      <c r="P51" s="84" t="inlineStr">
        <is>
          <t>Mixed</t>
        </is>
      </c>
    </row>
    <row r="52">
      <c r="A52" s="84" t="inlineStr">
        <is>
          <t>Warner Bros. Discovery</t>
        </is>
      </c>
      <c r="B52" s="84" t="inlineStr">
        <is>
          <t>Media &amp; Entertainment</t>
        </is>
      </c>
      <c r="C52" s="85" t="n">
        <v>52</v>
      </c>
      <c r="D52" s="85" t="n">
        <v>52</v>
      </c>
      <c r="E52" s="85" t="n">
        <v>52</v>
      </c>
      <c r="F52" s="85" t="n">
        <v>52</v>
      </c>
      <c r="G52" s="85" t="n">
        <v>52</v>
      </c>
      <c r="H52" s="85" t="n">
        <v>52</v>
      </c>
      <c r="I52" s="85" t="n">
        <v>52</v>
      </c>
      <c r="J52" s="85" t="n">
        <v>52</v>
      </c>
      <c r="K52" s="85" t="n">
        <v>52</v>
      </c>
      <c r="L52" s="85" t="n">
        <v>60</v>
      </c>
      <c r="M52" s="85" t="n">
        <v>60</v>
      </c>
      <c r="N52" s="85" t="n">
        <v>60</v>
      </c>
      <c r="O52" s="84" t="n">
        <v>8</v>
      </c>
      <c r="P52" s="84" t="inlineStr">
        <is>
          <t>Rising</t>
        </is>
      </c>
    </row>
    <row r="53">
      <c r="A53" s="84" t="inlineStr">
        <is>
          <t>NBCUniversal</t>
        </is>
      </c>
      <c r="B53" s="84" t="inlineStr">
        <is>
          <t>Media &amp; Entertainment</t>
        </is>
      </c>
      <c r="C53" s="85" t="n">
        <v>67</v>
      </c>
      <c r="D53" s="85" t="n">
        <v>67</v>
      </c>
      <c r="E53" s="85" t="n">
        <v>67</v>
      </c>
      <c r="F53" s="85" t="n">
        <v>67</v>
      </c>
      <c r="G53" s="85" t="n">
        <v>67</v>
      </c>
      <c r="H53" s="85" t="n">
        <v>67</v>
      </c>
      <c r="I53" s="85" t="n">
        <v>67</v>
      </c>
      <c r="J53" s="85" t="n">
        <v>67</v>
      </c>
      <c r="K53" s="85" t="n">
        <v>67</v>
      </c>
      <c r="L53" s="85" t="n">
        <v>67</v>
      </c>
      <c r="M53" s="85" t="n">
        <v>67</v>
      </c>
      <c r="N53" s="85" t="n">
        <v>67</v>
      </c>
      <c r="O53" s="84" t="n">
        <v>0</v>
      </c>
      <c r="P53" s="84" t="inlineStr">
        <is>
          <t>Flat</t>
        </is>
      </c>
    </row>
    <row r="54">
      <c r="A54" s="84" t="inlineStr">
        <is>
          <t>Paramount Global</t>
        </is>
      </c>
      <c r="B54" s="84" t="inlineStr">
        <is>
          <t>Media &amp; Entertainment</t>
        </is>
      </c>
      <c r="C54" s="85" t="n">
        <v>67</v>
      </c>
      <c r="D54" s="85" t="n">
        <v>67</v>
      </c>
      <c r="E54" s="85" t="n">
        <v>67</v>
      </c>
      <c r="F54" s="85" t="n">
        <v>67</v>
      </c>
      <c r="G54" s="85" t="n">
        <v>67</v>
      </c>
      <c r="H54" s="85" t="n">
        <v>67</v>
      </c>
      <c r="I54" s="85" t="n">
        <v>67</v>
      </c>
      <c r="J54" s="85" t="n">
        <v>67</v>
      </c>
      <c r="K54" s="85" t="n">
        <v>67</v>
      </c>
      <c r="L54" s="85" t="n">
        <v>75</v>
      </c>
      <c r="M54" s="85" t="n">
        <v>43</v>
      </c>
      <c r="N54" s="85" t="n">
        <v>43</v>
      </c>
      <c r="O54" s="84" t="n">
        <v>-24</v>
      </c>
      <c r="P54" s="84" t="inlineStr">
        <is>
          <t>Fell from peak</t>
        </is>
      </c>
    </row>
    <row r="55">
      <c r="A55" s="84" t="inlineStr">
        <is>
          <t>Spotify</t>
        </is>
      </c>
      <c r="B55" s="84" t="inlineStr">
        <is>
          <t>Media &amp; Entertainment</t>
        </is>
      </c>
      <c r="C55" s="85" t="n">
        <v>53</v>
      </c>
      <c r="D55" s="85" t="n">
        <v>53</v>
      </c>
      <c r="E55" s="85" t="n">
        <v>53</v>
      </c>
      <c r="F55" s="85" t="n">
        <v>53</v>
      </c>
      <c r="G55" s="85" t="n">
        <v>53</v>
      </c>
      <c r="H55" s="85" t="n">
        <v>53</v>
      </c>
      <c r="I55" s="85" t="n">
        <v>53</v>
      </c>
      <c r="J55" s="85" t="n">
        <v>53</v>
      </c>
      <c r="K55" s="85" t="n">
        <v>53</v>
      </c>
      <c r="L55" s="85" t="n">
        <v>53</v>
      </c>
      <c r="M55" s="85" t="n">
        <v>53</v>
      </c>
      <c r="N55" s="85" t="n">
        <v>53</v>
      </c>
      <c r="O55" s="84" t="n">
        <v>0</v>
      </c>
      <c r="P55" s="84" t="inlineStr">
        <is>
          <t>Flat</t>
        </is>
      </c>
    </row>
    <row r="56">
      <c r="A56" s="84" t="inlineStr">
        <is>
          <t>Live Nation</t>
        </is>
      </c>
      <c r="B56" s="84" t="inlineStr">
        <is>
          <t>Media &amp; Entertainment</t>
        </is>
      </c>
      <c r="C56" s="85" t="n">
        <v>64</v>
      </c>
      <c r="D56" s="85" t="n">
        <v>64</v>
      </c>
      <c r="E56" s="85" t="n">
        <v>64</v>
      </c>
      <c r="F56" s="85" t="n">
        <v>64</v>
      </c>
      <c r="G56" s="85" t="n">
        <v>64</v>
      </c>
      <c r="H56" s="85" t="n">
        <v>64</v>
      </c>
      <c r="I56" s="85" t="n">
        <v>64</v>
      </c>
      <c r="J56" s="85" t="n">
        <v>64</v>
      </c>
      <c r="K56" s="85" t="n">
        <v>64</v>
      </c>
      <c r="L56" s="85" t="n">
        <v>64</v>
      </c>
      <c r="M56" s="85" t="n">
        <v>64</v>
      </c>
      <c r="N56" s="85" t="n">
        <v>64</v>
      </c>
      <c r="O56" s="84" t="n">
        <v>0</v>
      </c>
      <c r="P56" s="84" t="inlineStr">
        <is>
          <t>Flat</t>
        </is>
      </c>
    </row>
    <row r="57">
      <c r="A57" s="84" t="inlineStr">
        <is>
          <t>General Motors</t>
        </is>
      </c>
      <c r="B57" s="84" t="inlineStr">
        <is>
          <t>Automotive</t>
        </is>
      </c>
      <c r="C57" s="85" t="n">
        <v>67</v>
      </c>
      <c r="D57" s="85" t="n">
        <v>67</v>
      </c>
      <c r="E57" s="85" t="n">
        <v>67</v>
      </c>
      <c r="F57" s="85" t="n">
        <v>67</v>
      </c>
      <c r="G57" s="85" t="n">
        <v>67</v>
      </c>
      <c r="H57" s="85" t="n">
        <v>67</v>
      </c>
      <c r="I57" s="85" t="n">
        <v>37</v>
      </c>
      <c r="J57" s="85" t="n">
        <v>37</v>
      </c>
      <c r="K57" s="85" t="n">
        <v>37</v>
      </c>
      <c r="L57" s="85" t="n">
        <v>37</v>
      </c>
      <c r="M57" s="85" t="n">
        <v>5</v>
      </c>
      <c r="N57" s="85" t="n">
        <v>5</v>
      </c>
      <c r="O57" s="84" t="n">
        <v>-62</v>
      </c>
      <c r="P57" s="84" t="inlineStr">
        <is>
          <t>Fell from peak</t>
        </is>
      </c>
    </row>
    <row r="58">
      <c r="A58" s="84" t="inlineStr">
        <is>
          <t>Ford</t>
        </is>
      </c>
      <c r="B58" s="84" t="inlineStr">
        <is>
          <t>Automotive</t>
        </is>
      </c>
      <c r="C58" s="85" t="n">
        <v>82</v>
      </c>
      <c r="D58" s="85" t="n">
        <v>82</v>
      </c>
      <c r="E58" s="85" t="n">
        <v>82</v>
      </c>
      <c r="F58" s="85" t="n">
        <v>82</v>
      </c>
      <c r="G58" s="85" t="n">
        <v>82</v>
      </c>
      <c r="H58" s="85" t="n">
        <v>82</v>
      </c>
      <c r="I58" s="85" t="n">
        <v>82</v>
      </c>
      <c r="J58" s="85" t="n">
        <v>82</v>
      </c>
      <c r="K58" s="85" t="n">
        <v>82</v>
      </c>
      <c r="L58" s="85" t="n">
        <v>28</v>
      </c>
      <c r="M58" s="85" t="n">
        <v>28</v>
      </c>
      <c r="N58" s="85" t="n">
        <v>28</v>
      </c>
      <c r="O58" s="84" t="n">
        <v>-54</v>
      </c>
      <c r="P58" s="84" t="inlineStr">
        <is>
          <t>Fell from peak</t>
        </is>
      </c>
    </row>
    <row r="59">
      <c r="A59" s="84" t="inlineStr">
        <is>
          <t>Tesla</t>
        </is>
      </c>
      <c r="B59" s="84" t="inlineStr">
        <is>
          <t>Automotive</t>
        </is>
      </c>
      <c r="C59" s="85" t="n">
        <v>50</v>
      </c>
      <c r="D59" s="85" t="n">
        <v>50</v>
      </c>
      <c r="E59" s="85" t="n">
        <v>50</v>
      </c>
      <c r="F59" s="85" t="n">
        <v>50</v>
      </c>
      <c r="G59" s="85" t="n">
        <v>50</v>
      </c>
      <c r="H59" s="85" t="n">
        <v>50</v>
      </c>
      <c r="I59" s="85" t="n">
        <v>50</v>
      </c>
      <c r="J59" s="85" t="n">
        <v>50</v>
      </c>
      <c r="K59" s="85" t="n">
        <v>50</v>
      </c>
      <c r="L59" s="85" t="n">
        <v>18</v>
      </c>
      <c r="M59" s="85" t="n">
        <v>18</v>
      </c>
      <c r="N59" s="85" t="n">
        <v>18</v>
      </c>
      <c r="O59" s="84" t="n">
        <v>-32</v>
      </c>
      <c r="P59" s="84" t="inlineStr">
        <is>
          <t>Fell from peak</t>
        </is>
      </c>
    </row>
    <row r="60">
      <c r="A60" s="84" t="inlineStr">
        <is>
          <t>Toyota USA</t>
        </is>
      </c>
      <c r="B60" s="84" t="inlineStr">
        <is>
          <t>Automotive</t>
        </is>
      </c>
      <c r="C60" s="85" t="n">
        <v>82</v>
      </c>
      <c r="D60" s="85" t="n">
        <v>82</v>
      </c>
      <c r="E60" s="85" t="n">
        <v>82</v>
      </c>
      <c r="F60" s="85" t="n">
        <v>82</v>
      </c>
      <c r="G60" s="85" t="n">
        <v>82</v>
      </c>
      <c r="H60" s="85" t="n">
        <v>82</v>
      </c>
      <c r="I60" s="85" t="n">
        <v>52</v>
      </c>
      <c r="J60" s="85" t="n">
        <v>52</v>
      </c>
      <c r="K60" s="85" t="n">
        <v>52</v>
      </c>
      <c r="L60" s="85" t="n">
        <v>0</v>
      </c>
      <c r="M60" s="85" t="n">
        <v>0</v>
      </c>
      <c r="N60" s="85" t="n">
        <v>0</v>
      </c>
      <c r="O60" s="84" t="n">
        <v>-82</v>
      </c>
      <c r="P60" s="84" t="inlineStr">
        <is>
          <t>Fell from peak</t>
        </is>
      </c>
    </row>
    <row r="61">
      <c r="A61" s="84" t="inlineStr">
        <is>
          <t>Honda USA</t>
        </is>
      </c>
      <c r="B61" s="84" t="inlineStr">
        <is>
          <t>Automotive</t>
        </is>
      </c>
      <c r="C61" s="85" t="n">
        <v>67</v>
      </c>
      <c r="D61" s="85" t="n">
        <v>67</v>
      </c>
      <c r="E61" s="85" t="n">
        <v>67</v>
      </c>
      <c r="F61" s="85" t="n">
        <v>67</v>
      </c>
      <c r="G61" s="85" t="n">
        <v>67</v>
      </c>
      <c r="H61" s="85" t="n">
        <v>67</v>
      </c>
      <c r="I61" s="85" t="n">
        <v>67</v>
      </c>
      <c r="J61" s="85" t="n">
        <v>67</v>
      </c>
      <c r="K61" s="85" t="n">
        <v>67</v>
      </c>
      <c r="L61" s="85" t="n">
        <v>67</v>
      </c>
      <c r="M61" s="85" t="n">
        <v>67</v>
      </c>
      <c r="N61" s="85" t="n">
        <v>67</v>
      </c>
      <c r="O61" s="84" t="n">
        <v>0</v>
      </c>
      <c r="P61" s="84" t="inlineStr">
        <is>
          <t>Flat</t>
        </is>
      </c>
    </row>
    <row r="62">
      <c r="A62" s="84" t="inlineStr">
        <is>
          <t>Stellantis</t>
        </is>
      </c>
      <c r="B62" s="84" t="inlineStr">
        <is>
          <t>Automotive</t>
        </is>
      </c>
      <c r="C62" s="85" t="n">
        <v>52</v>
      </c>
      <c r="D62" s="85" t="n">
        <v>52</v>
      </c>
      <c r="E62" s="85" t="n">
        <v>52</v>
      </c>
      <c r="F62" s="85" t="n">
        <v>52</v>
      </c>
      <c r="G62" s="85" t="n">
        <v>52</v>
      </c>
      <c r="H62" s="85" t="n">
        <v>52</v>
      </c>
      <c r="I62" s="85" t="n">
        <v>52</v>
      </c>
      <c r="J62" s="85" t="n">
        <v>52</v>
      </c>
      <c r="K62" s="85" t="n">
        <v>52</v>
      </c>
      <c r="L62" s="85" t="n">
        <v>52</v>
      </c>
      <c r="M62" s="85" t="n">
        <v>52</v>
      </c>
      <c r="N62" s="85" t="n">
        <v>52</v>
      </c>
      <c r="O62" s="84" t="n">
        <v>0</v>
      </c>
      <c r="P62" s="84" t="inlineStr">
        <is>
          <t>Flat</t>
        </is>
      </c>
    </row>
    <row r="63">
      <c r="A63" s="84" t="inlineStr">
        <is>
          <t>CVS Health</t>
        </is>
      </c>
      <c r="B63" s="84" t="inlineStr">
        <is>
          <t>Healthcare &amp; Pharma</t>
        </is>
      </c>
      <c r="C63" s="85" t="n">
        <v>74</v>
      </c>
      <c r="D63" s="85" t="n">
        <v>74</v>
      </c>
      <c r="E63" s="85" t="n">
        <v>74</v>
      </c>
      <c r="F63" s="85" t="n">
        <v>74</v>
      </c>
      <c r="G63" s="85" t="n">
        <v>74</v>
      </c>
      <c r="H63" s="85" t="n">
        <v>74</v>
      </c>
      <c r="I63" s="85" t="n">
        <v>74</v>
      </c>
      <c r="J63" s="85" t="n">
        <v>74</v>
      </c>
      <c r="K63" s="85" t="n">
        <v>44</v>
      </c>
      <c r="L63" s="85" t="n">
        <v>44</v>
      </c>
      <c r="M63" s="85" t="n">
        <v>44</v>
      </c>
      <c r="N63" s="85" t="n">
        <v>44</v>
      </c>
      <c r="O63" s="84" t="n">
        <v>-30</v>
      </c>
      <c r="P63" s="84" t="inlineStr">
        <is>
          <t>Fell from peak</t>
        </is>
      </c>
    </row>
    <row r="64">
      <c r="A64" s="84" t="inlineStr">
        <is>
          <t>Walgreens</t>
        </is>
      </c>
      <c r="B64" s="84" t="inlineStr">
        <is>
          <t>Healthcare &amp; Pharma</t>
        </is>
      </c>
      <c r="C64" s="85" t="n">
        <v>74</v>
      </c>
      <c r="D64" s="85" t="n">
        <v>74</v>
      </c>
      <c r="E64" s="85" t="n">
        <v>74</v>
      </c>
      <c r="F64" s="85" t="n">
        <v>74</v>
      </c>
      <c r="G64" s="85" t="n">
        <v>74</v>
      </c>
      <c r="H64" s="85" t="n">
        <v>74</v>
      </c>
      <c r="I64" s="85" t="n">
        <v>74</v>
      </c>
      <c r="J64" s="85" t="n">
        <v>74</v>
      </c>
      <c r="K64" s="85" t="n">
        <v>74</v>
      </c>
      <c r="L64" s="85" t="n">
        <v>74</v>
      </c>
      <c r="M64" s="85" t="n">
        <v>74</v>
      </c>
      <c r="N64" s="85" t="n">
        <v>74</v>
      </c>
      <c r="O64" s="84" t="n">
        <v>0</v>
      </c>
      <c r="P64" s="84" t="inlineStr">
        <is>
          <t>Flat</t>
        </is>
      </c>
    </row>
    <row r="65">
      <c r="A65" s="84" t="inlineStr">
        <is>
          <t>Johnson &amp; Johnson</t>
        </is>
      </c>
      <c r="B65" s="84" t="inlineStr">
        <is>
          <t>Healthcare &amp; Pharma</t>
        </is>
      </c>
      <c r="C65" s="85" t="n">
        <v>74</v>
      </c>
      <c r="D65" s="85" t="n">
        <v>74</v>
      </c>
      <c r="E65" s="85" t="n">
        <v>74</v>
      </c>
      <c r="F65" s="85" t="n">
        <v>74</v>
      </c>
      <c r="G65" s="85" t="n">
        <v>74</v>
      </c>
      <c r="H65" s="85" t="n">
        <v>74</v>
      </c>
      <c r="I65" s="85" t="n">
        <v>74</v>
      </c>
      <c r="J65" s="85" t="n">
        <v>74</v>
      </c>
      <c r="K65" s="85" t="n">
        <v>74</v>
      </c>
      <c r="L65" s="85" t="n">
        <v>74</v>
      </c>
      <c r="M65" s="85" t="n">
        <v>74</v>
      </c>
      <c r="N65" s="85" t="n">
        <v>74</v>
      </c>
      <c r="O65" s="84" t="n">
        <v>0</v>
      </c>
      <c r="P65" s="84" t="inlineStr">
        <is>
          <t>Flat</t>
        </is>
      </c>
    </row>
    <row r="66">
      <c r="A66" s="84" t="inlineStr">
        <is>
          <t>Pfizer</t>
        </is>
      </c>
      <c r="B66" s="84" t="inlineStr">
        <is>
          <t>Healthcare &amp; Pharma</t>
        </is>
      </c>
      <c r="C66" s="85" t="n">
        <v>89</v>
      </c>
      <c r="D66" s="85" t="n">
        <v>89</v>
      </c>
      <c r="E66" s="85" t="n">
        <v>89</v>
      </c>
      <c r="F66" s="85" t="n">
        <v>89</v>
      </c>
      <c r="G66" s="85" t="n">
        <v>89</v>
      </c>
      <c r="H66" s="85" t="n">
        <v>89</v>
      </c>
      <c r="I66" s="85" t="n">
        <v>59</v>
      </c>
      <c r="J66" s="85" t="n">
        <v>59</v>
      </c>
      <c r="K66" s="85" t="n">
        <v>59</v>
      </c>
      <c r="L66" s="85" t="n">
        <v>59</v>
      </c>
      <c r="M66" s="85" t="n">
        <v>59</v>
      </c>
      <c r="N66" s="85" t="n">
        <v>59</v>
      </c>
      <c r="O66" s="84" t="n">
        <v>-30</v>
      </c>
      <c r="P66" s="84" t="inlineStr">
        <is>
          <t>Fell from peak</t>
        </is>
      </c>
    </row>
    <row r="67">
      <c r="A67" s="84" t="inlineStr">
        <is>
          <t>UnitedHealth Group</t>
        </is>
      </c>
      <c r="B67" s="84" t="inlineStr">
        <is>
          <t>Healthcare &amp; Pharma</t>
        </is>
      </c>
      <c r="C67" s="85" t="n">
        <v>74</v>
      </c>
      <c r="D67" s="85" t="n">
        <v>74</v>
      </c>
      <c r="E67" s="85" t="n">
        <v>74</v>
      </c>
      <c r="F67" s="85" t="n">
        <v>74</v>
      </c>
      <c r="G67" s="85" t="n">
        <v>74</v>
      </c>
      <c r="H67" s="85" t="n">
        <v>74</v>
      </c>
      <c r="I67" s="85" t="n">
        <v>74</v>
      </c>
      <c r="J67" s="85" t="n">
        <v>74</v>
      </c>
      <c r="K67" s="85" t="n">
        <v>44</v>
      </c>
      <c r="L67" s="85" t="n">
        <v>44</v>
      </c>
      <c r="M67" s="85" t="n">
        <v>12</v>
      </c>
      <c r="N67" s="85" t="n">
        <v>12</v>
      </c>
      <c r="O67" s="84" t="n">
        <v>-62</v>
      </c>
      <c r="P67" s="84" t="inlineStr">
        <is>
          <t>Fell from peak</t>
        </is>
      </c>
    </row>
    <row r="68">
      <c r="A68" s="84" t="inlineStr">
        <is>
          <t>Cigna</t>
        </is>
      </c>
      <c r="B68" s="84" t="inlineStr">
        <is>
          <t>Healthcare &amp; Pharma</t>
        </is>
      </c>
      <c r="C68" s="85" t="n">
        <v>74</v>
      </c>
      <c r="D68" s="85" t="n">
        <v>74</v>
      </c>
      <c r="E68" s="85" t="n">
        <v>74</v>
      </c>
      <c r="F68" s="85" t="n">
        <v>74</v>
      </c>
      <c r="G68" s="85" t="n">
        <v>74</v>
      </c>
      <c r="H68" s="85" t="n">
        <v>74</v>
      </c>
      <c r="I68" s="85" t="n">
        <v>44</v>
      </c>
      <c r="J68" s="85" t="n">
        <v>44</v>
      </c>
      <c r="K68" s="85" t="n">
        <v>44</v>
      </c>
      <c r="L68" s="85" t="n">
        <v>44</v>
      </c>
      <c r="M68" s="85" t="n">
        <v>12</v>
      </c>
      <c r="N68" s="85" t="n">
        <v>12</v>
      </c>
      <c r="O68" s="84" t="n">
        <v>-62</v>
      </c>
      <c r="P68" s="84" t="inlineStr">
        <is>
          <t>Fell from peak</t>
        </is>
      </c>
    </row>
    <row r="69">
      <c r="A69" s="84" t="inlineStr">
        <is>
          <t>Humana</t>
        </is>
      </c>
      <c r="B69" s="84" t="inlineStr">
        <is>
          <t>Healthcare &amp; Pharma</t>
        </is>
      </c>
      <c r="C69" s="85" t="n">
        <v>74</v>
      </c>
      <c r="D69" s="85" t="n">
        <v>74</v>
      </c>
      <c r="E69" s="85" t="n">
        <v>74</v>
      </c>
      <c r="F69" s="85" t="n">
        <v>74</v>
      </c>
      <c r="G69" s="85" t="n">
        <v>74</v>
      </c>
      <c r="H69" s="85" t="n">
        <v>74</v>
      </c>
      <c r="I69" s="85" t="n">
        <v>74</v>
      </c>
      <c r="J69" s="85" t="n">
        <v>74</v>
      </c>
      <c r="K69" s="85" t="n">
        <v>74</v>
      </c>
      <c r="L69" s="85" t="n">
        <v>74</v>
      </c>
      <c r="M69" s="85" t="n">
        <v>42</v>
      </c>
      <c r="N69" s="85" t="n">
        <v>42</v>
      </c>
      <c r="O69" s="84" t="n">
        <v>-32</v>
      </c>
      <c r="P69" s="84" t="inlineStr">
        <is>
          <t>Fell from peak</t>
        </is>
      </c>
    </row>
    <row r="70">
      <c r="A70" s="84" t="inlineStr">
        <is>
          <t>ExxonMobil</t>
        </is>
      </c>
      <c r="B70" s="84" t="inlineStr">
        <is>
          <t>Energy</t>
        </is>
      </c>
      <c r="C70" s="85" t="n">
        <v>47</v>
      </c>
      <c r="D70" s="85" t="n">
        <v>47</v>
      </c>
      <c r="E70" s="85" t="n">
        <v>47</v>
      </c>
      <c r="F70" s="85" t="n">
        <v>47</v>
      </c>
      <c r="G70" s="85" t="n">
        <v>47</v>
      </c>
      <c r="H70" s="85" t="n">
        <v>47</v>
      </c>
      <c r="I70" s="85" t="n">
        <v>47</v>
      </c>
      <c r="J70" s="85" t="n">
        <v>25</v>
      </c>
      <c r="K70" s="85" t="n">
        <v>25</v>
      </c>
      <c r="L70" s="85" t="n">
        <v>25</v>
      </c>
      <c r="M70" s="85" t="n">
        <v>25</v>
      </c>
      <c r="N70" s="85" t="n">
        <v>25</v>
      </c>
      <c r="O70" s="84" t="n">
        <v>-22</v>
      </c>
      <c r="P70" s="84" t="inlineStr">
        <is>
          <t>Fell from peak</t>
        </is>
      </c>
    </row>
    <row r="71">
      <c r="A71" s="84" t="inlineStr">
        <is>
          <t>Chevron</t>
        </is>
      </c>
      <c r="B71" s="84" t="inlineStr">
        <is>
          <t>Energy</t>
        </is>
      </c>
      <c r="C71" s="85" t="n">
        <v>67</v>
      </c>
      <c r="D71" s="85" t="n">
        <v>67</v>
      </c>
      <c r="E71" s="85" t="n">
        <v>67</v>
      </c>
      <c r="F71" s="85" t="n">
        <v>67</v>
      </c>
      <c r="G71" s="85" t="n">
        <v>67</v>
      </c>
      <c r="H71" s="85" t="n">
        <v>67</v>
      </c>
      <c r="I71" s="85" t="n">
        <v>67</v>
      </c>
      <c r="J71" s="85" t="n">
        <v>67</v>
      </c>
      <c r="K71" s="85" t="n">
        <v>67</v>
      </c>
      <c r="L71" s="85" t="n">
        <v>67</v>
      </c>
      <c r="M71" s="85" t="n">
        <v>67</v>
      </c>
      <c r="N71" s="85" t="n">
        <v>67</v>
      </c>
      <c r="O71" s="84" t="n">
        <v>0</v>
      </c>
      <c r="P71" s="84" t="inlineStr">
        <is>
          <t>Flat</t>
        </is>
      </c>
    </row>
    <row r="72">
      <c r="A72" s="84" t="inlineStr">
        <is>
          <t>NextEra Energy</t>
        </is>
      </c>
      <c r="B72" s="84" t="inlineStr">
        <is>
          <t>Energy</t>
        </is>
      </c>
      <c r="C72" s="85" t="n">
        <v>50</v>
      </c>
      <c r="D72" s="85" t="n">
        <v>50</v>
      </c>
      <c r="E72" s="85" t="n">
        <v>50</v>
      </c>
      <c r="F72" s="85" t="n">
        <v>50</v>
      </c>
      <c r="G72" s="85" t="n">
        <v>50</v>
      </c>
      <c r="H72" s="85" t="n">
        <v>50</v>
      </c>
      <c r="I72" s="85" t="n">
        <v>20</v>
      </c>
      <c r="J72" s="85" t="n">
        <v>20</v>
      </c>
      <c r="K72" s="85" t="n">
        <v>20</v>
      </c>
      <c r="L72" s="85" t="n">
        <v>20</v>
      </c>
      <c r="M72" s="85" t="n">
        <v>20</v>
      </c>
      <c r="N72" s="85" t="n">
        <v>20</v>
      </c>
      <c r="O72" s="84" t="n">
        <v>-30</v>
      </c>
      <c r="P72" s="84" t="inlineStr">
        <is>
          <t>Fell from peak</t>
        </is>
      </c>
    </row>
    <row r="73">
      <c r="A73" s="84" t="inlineStr">
        <is>
          <t>Southern Company</t>
        </is>
      </c>
      <c r="B73" s="84" t="inlineStr">
        <is>
          <t>Energy</t>
        </is>
      </c>
      <c r="C73" s="85" t="n">
        <v>50</v>
      </c>
      <c r="D73" s="85" t="n">
        <v>50</v>
      </c>
      <c r="E73" s="85" t="n">
        <v>50</v>
      </c>
      <c r="F73" s="85" t="n">
        <v>50</v>
      </c>
      <c r="G73" s="85" t="n">
        <v>50</v>
      </c>
      <c r="H73" s="85" t="n">
        <v>50</v>
      </c>
      <c r="I73" s="85" t="n">
        <v>50</v>
      </c>
      <c r="J73" s="85" t="n">
        <v>50</v>
      </c>
      <c r="K73" s="85" t="n">
        <v>50</v>
      </c>
      <c r="L73" s="85" t="n">
        <v>50</v>
      </c>
      <c r="M73" s="85" t="n">
        <v>50</v>
      </c>
      <c r="N73" s="85" t="n">
        <v>50</v>
      </c>
      <c r="O73" s="84" t="n">
        <v>0</v>
      </c>
      <c r="P73" s="84" t="inlineStr">
        <is>
          <t>Flat</t>
        </is>
      </c>
    </row>
    <row r="74">
      <c r="A74" s="84" t="inlineStr">
        <is>
          <t>Marriott</t>
        </is>
      </c>
      <c r="B74" s="84" t="inlineStr">
        <is>
          <t>Hospitality &amp; Travel</t>
        </is>
      </c>
      <c r="C74" s="85" t="n">
        <v>100</v>
      </c>
      <c r="D74" s="85" t="n">
        <v>100</v>
      </c>
      <c r="E74" s="85" t="n">
        <v>100</v>
      </c>
      <c r="F74" s="85" t="n">
        <v>100</v>
      </c>
      <c r="G74" s="85" t="n">
        <v>100</v>
      </c>
      <c r="H74" s="85" t="n">
        <v>100</v>
      </c>
      <c r="I74" s="85" t="n">
        <v>100</v>
      </c>
      <c r="J74" s="85" t="n">
        <v>100</v>
      </c>
      <c r="K74" s="85" t="n">
        <v>100</v>
      </c>
      <c r="L74" s="85" t="n">
        <v>100</v>
      </c>
      <c r="M74" s="85" t="n">
        <v>100</v>
      </c>
      <c r="N74" s="85" t="n">
        <v>100</v>
      </c>
      <c r="O74" s="84" t="n">
        <v>0</v>
      </c>
      <c r="P74" s="84" t="inlineStr">
        <is>
          <t>Flat</t>
        </is>
      </c>
    </row>
    <row r="75">
      <c r="A75" s="84" t="inlineStr">
        <is>
          <t>Hilton</t>
        </is>
      </c>
      <c r="B75" s="84" t="inlineStr">
        <is>
          <t>Hospitality &amp; Travel</t>
        </is>
      </c>
      <c r="C75" s="85" t="n">
        <v>79</v>
      </c>
      <c r="D75" s="85" t="n">
        <v>79</v>
      </c>
      <c r="E75" s="85" t="n">
        <v>79</v>
      </c>
      <c r="F75" s="85" t="n">
        <v>79</v>
      </c>
      <c r="G75" s="85" t="n">
        <v>79</v>
      </c>
      <c r="H75" s="85" t="n">
        <v>79</v>
      </c>
      <c r="I75" s="85" t="n">
        <v>79</v>
      </c>
      <c r="J75" s="85" t="n">
        <v>79</v>
      </c>
      <c r="K75" s="85" t="n">
        <v>79</v>
      </c>
      <c r="L75" s="85" t="n">
        <v>79</v>
      </c>
      <c r="M75" s="85" t="n">
        <v>79</v>
      </c>
      <c r="N75" s="85" t="n">
        <v>79</v>
      </c>
      <c r="O75" s="84" t="n">
        <v>0</v>
      </c>
      <c r="P75" s="84" t="inlineStr">
        <is>
          <t>Flat</t>
        </is>
      </c>
    </row>
    <row r="76">
      <c r="A76" s="84" t="inlineStr">
        <is>
          <t>Delta Air Lines</t>
        </is>
      </c>
      <c r="B76" s="84" t="inlineStr">
        <is>
          <t>Hospitality &amp; Travel</t>
        </is>
      </c>
      <c r="C76" s="85" t="n">
        <v>100</v>
      </c>
      <c r="D76" s="85" t="n">
        <v>100</v>
      </c>
      <c r="E76" s="85" t="n">
        <v>100</v>
      </c>
      <c r="F76" s="85" t="n">
        <v>100</v>
      </c>
      <c r="G76" s="85" t="n">
        <v>100</v>
      </c>
      <c r="H76" s="85" t="n">
        <v>100</v>
      </c>
      <c r="I76" s="85" t="n">
        <v>100</v>
      </c>
      <c r="J76" s="85" t="n">
        <v>100</v>
      </c>
      <c r="K76" s="85" t="n">
        <v>100</v>
      </c>
      <c r="L76" s="85" t="n">
        <v>100</v>
      </c>
      <c r="M76" s="85" t="n">
        <v>100</v>
      </c>
      <c r="N76" s="85" t="n">
        <v>100</v>
      </c>
      <c r="O76" s="84" t="n">
        <v>0</v>
      </c>
      <c r="P76" s="84" t="inlineStr">
        <is>
          <t>Flat</t>
        </is>
      </c>
    </row>
    <row r="77">
      <c r="A77" s="84" t="inlineStr">
        <is>
          <t>American Airlines</t>
        </is>
      </c>
      <c r="B77" s="84" t="inlineStr">
        <is>
          <t>Hospitality &amp; Travel</t>
        </is>
      </c>
      <c r="C77" s="85" t="n">
        <v>89</v>
      </c>
      <c r="D77" s="85" t="n">
        <v>89</v>
      </c>
      <c r="E77" s="85" t="n">
        <v>89</v>
      </c>
      <c r="F77" s="85" t="n">
        <v>89</v>
      </c>
      <c r="G77" s="85" t="n">
        <v>89</v>
      </c>
      <c r="H77" s="85" t="n">
        <v>89</v>
      </c>
      <c r="I77" s="85" t="n">
        <v>89</v>
      </c>
      <c r="J77" s="85" t="n">
        <v>89</v>
      </c>
      <c r="K77" s="85" t="n">
        <v>89</v>
      </c>
      <c r="L77" s="85" t="n">
        <v>89</v>
      </c>
      <c r="M77" s="85" t="n">
        <v>89</v>
      </c>
      <c r="N77" s="85" t="n">
        <v>89</v>
      </c>
      <c r="O77" s="84" t="n">
        <v>0</v>
      </c>
      <c r="P77" s="84" t="inlineStr">
        <is>
          <t>Flat</t>
        </is>
      </c>
    </row>
    <row r="78">
      <c r="A78" s="84" t="inlineStr">
        <is>
          <t>United Airlines</t>
        </is>
      </c>
      <c r="B78" s="84" t="inlineStr">
        <is>
          <t>Hospitality &amp; Travel</t>
        </is>
      </c>
      <c r="C78" s="85" t="n">
        <v>79</v>
      </c>
      <c r="D78" s="85" t="n">
        <v>79</v>
      </c>
      <c r="E78" s="85" t="n">
        <v>79</v>
      </c>
      <c r="F78" s="85" t="n">
        <v>79</v>
      </c>
      <c r="G78" s="85" t="n">
        <v>79</v>
      </c>
      <c r="H78" s="85" t="n">
        <v>79</v>
      </c>
      <c r="I78" s="85" t="n">
        <v>79</v>
      </c>
      <c r="J78" s="85" t="n">
        <v>79</v>
      </c>
      <c r="K78" s="85" t="n">
        <v>79</v>
      </c>
      <c r="L78" s="85" t="n">
        <v>79</v>
      </c>
      <c r="M78" s="85" t="n">
        <v>79</v>
      </c>
      <c r="N78" s="85" t="n">
        <v>79</v>
      </c>
      <c r="O78" s="84" t="n">
        <v>0</v>
      </c>
      <c r="P78" s="84" t="inlineStr">
        <is>
          <t>Flat</t>
        </is>
      </c>
    </row>
    <row r="79">
      <c r="A79" s="84" t="inlineStr">
        <is>
          <t>Airbnb</t>
        </is>
      </c>
      <c r="B79" s="84" t="inlineStr">
        <is>
          <t>Hospitality &amp; Travel</t>
        </is>
      </c>
      <c r="C79" s="85" t="n">
        <v>77</v>
      </c>
      <c r="D79" s="85" t="n">
        <v>77</v>
      </c>
      <c r="E79" s="85" t="n">
        <v>77</v>
      </c>
      <c r="F79" s="85" t="n">
        <v>77</v>
      </c>
      <c r="G79" s="85" t="n">
        <v>77</v>
      </c>
      <c r="H79" s="85" t="n">
        <v>77</v>
      </c>
      <c r="I79" s="85" t="n">
        <v>77</v>
      </c>
      <c r="J79" s="85" t="n">
        <v>77</v>
      </c>
      <c r="K79" s="85" t="n">
        <v>77</v>
      </c>
      <c r="L79" s="85" t="n">
        <v>89</v>
      </c>
      <c r="M79" s="85" t="n">
        <v>89</v>
      </c>
      <c r="N79" s="85" t="n">
        <v>89</v>
      </c>
      <c r="O79" s="84" t="n">
        <v>12</v>
      </c>
      <c r="P79" s="84" t="inlineStr">
        <is>
          <t>Rising</t>
        </is>
      </c>
    </row>
    <row r="80">
      <c r="A80" s="84" t="inlineStr">
        <is>
          <t>Expedia</t>
        </is>
      </c>
      <c r="B80" s="84" t="inlineStr">
        <is>
          <t>Hospitality &amp; Travel</t>
        </is>
      </c>
      <c r="C80" s="85" t="n">
        <v>52</v>
      </c>
      <c r="D80" s="85" t="n">
        <v>52</v>
      </c>
      <c r="E80" s="85" t="n">
        <v>52</v>
      </c>
      <c r="F80" s="85" t="n">
        <v>52</v>
      </c>
      <c r="G80" s="85" t="n">
        <v>52</v>
      </c>
      <c r="H80" s="85" t="n">
        <v>52</v>
      </c>
      <c r="I80" s="85" t="n">
        <v>52</v>
      </c>
      <c r="J80" s="85" t="n">
        <v>52</v>
      </c>
      <c r="K80" s="85" t="n">
        <v>60</v>
      </c>
      <c r="L80" s="85" t="n">
        <v>60</v>
      </c>
      <c r="M80" s="85" t="n">
        <v>60</v>
      </c>
      <c r="N80" s="85" t="n">
        <v>60</v>
      </c>
      <c r="O80" s="84" t="n">
        <v>8</v>
      </c>
      <c r="P80" s="84" t="inlineStr">
        <is>
          <t>Rising</t>
        </is>
      </c>
    </row>
    <row r="81">
      <c r="A81" s="84" t="inlineStr">
        <is>
          <t>Procter &amp; Gamble</t>
        </is>
      </c>
      <c r="B81" s="84" t="inlineStr">
        <is>
          <t>Consumer Goods</t>
        </is>
      </c>
      <c r="C81" s="85" t="n">
        <v>94</v>
      </c>
      <c r="D81" s="85" t="n">
        <v>94</v>
      </c>
      <c r="E81" s="85" t="n">
        <v>94</v>
      </c>
      <c r="F81" s="85" t="n">
        <v>94</v>
      </c>
      <c r="G81" s="85" t="n">
        <v>94</v>
      </c>
      <c r="H81" s="85" t="n">
        <v>94</v>
      </c>
      <c r="I81" s="85" t="n">
        <v>94</v>
      </c>
      <c r="J81" s="85" t="n">
        <v>94</v>
      </c>
      <c r="K81" s="85" t="n">
        <v>94</v>
      </c>
      <c r="L81" s="85" t="n">
        <v>100</v>
      </c>
      <c r="M81" s="85" t="n">
        <v>100</v>
      </c>
      <c r="N81" s="85" t="n">
        <v>100</v>
      </c>
      <c r="O81" s="84" t="n">
        <v>6</v>
      </c>
      <c r="P81" s="84" t="inlineStr">
        <is>
          <t>Rising</t>
        </is>
      </c>
    </row>
    <row r="82">
      <c r="A82" s="84" t="inlineStr">
        <is>
          <t>Unilever</t>
        </is>
      </c>
      <c r="B82" s="84" t="inlineStr">
        <is>
          <t>Consumer Goods</t>
        </is>
      </c>
      <c r="C82" s="85" t="n">
        <v>74</v>
      </c>
      <c r="D82" s="85" t="n">
        <v>74</v>
      </c>
      <c r="E82" s="85" t="n">
        <v>74</v>
      </c>
      <c r="F82" s="85" t="n">
        <v>74</v>
      </c>
      <c r="G82" s="85" t="n">
        <v>74</v>
      </c>
      <c r="H82" s="85" t="n">
        <v>74</v>
      </c>
      <c r="I82" s="85" t="n">
        <v>74</v>
      </c>
      <c r="J82" s="85" t="n">
        <v>74</v>
      </c>
      <c r="K82" s="85" t="n">
        <v>74</v>
      </c>
      <c r="L82" s="85" t="n">
        <v>82</v>
      </c>
      <c r="M82" s="85" t="n">
        <v>82</v>
      </c>
      <c r="N82" s="85" t="n">
        <v>82</v>
      </c>
      <c r="O82" s="84" t="n">
        <v>8</v>
      </c>
      <c r="P82" s="84" t="inlineStr">
        <is>
          <t>Rising</t>
        </is>
      </c>
    </row>
    <row r="83">
      <c r="A83" s="84" t="inlineStr">
        <is>
          <t>Kellanova</t>
        </is>
      </c>
      <c r="B83" s="84" t="inlineStr">
        <is>
          <t>Consumer Goods</t>
        </is>
      </c>
      <c r="C83" s="85" t="n">
        <v>52</v>
      </c>
      <c r="D83" s="85" t="n">
        <v>52</v>
      </c>
      <c r="E83" s="85" t="n">
        <v>52</v>
      </c>
      <c r="F83" s="85" t="n">
        <v>52</v>
      </c>
      <c r="G83" s="85" t="n">
        <v>52</v>
      </c>
      <c r="H83" s="85" t="n">
        <v>52</v>
      </c>
      <c r="I83" s="85" t="n">
        <v>62</v>
      </c>
      <c r="J83" s="85" t="n">
        <v>62</v>
      </c>
      <c r="K83" s="85" t="n">
        <v>62</v>
      </c>
      <c r="L83" s="85" t="n">
        <v>62</v>
      </c>
      <c r="M83" s="85" t="n">
        <v>62</v>
      </c>
      <c r="N83" s="85" t="n">
        <v>62</v>
      </c>
      <c r="O83" s="84" t="n">
        <v>10</v>
      </c>
      <c r="P83" s="84" t="inlineStr">
        <is>
          <t>Rising</t>
        </is>
      </c>
    </row>
    <row r="84">
      <c r="A84" s="84" t="inlineStr">
        <is>
          <t>General Mills</t>
        </is>
      </c>
      <c r="B84" s="84" t="inlineStr">
        <is>
          <t>Consumer Goods</t>
        </is>
      </c>
      <c r="C84" s="85" t="n">
        <v>74</v>
      </c>
      <c r="D84" s="85" t="n">
        <v>74</v>
      </c>
      <c r="E84" s="85" t="n">
        <v>74</v>
      </c>
      <c r="F84" s="85" t="n">
        <v>74</v>
      </c>
      <c r="G84" s="85" t="n">
        <v>74</v>
      </c>
      <c r="H84" s="85" t="n">
        <v>74</v>
      </c>
      <c r="I84" s="85" t="n">
        <v>74</v>
      </c>
      <c r="J84" s="85" t="n">
        <v>74</v>
      </c>
      <c r="K84" s="85" t="n">
        <v>74</v>
      </c>
      <c r="L84" s="85" t="n">
        <v>74</v>
      </c>
      <c r="M84" s="85" t="n">
        <v>74</v>
      </c>
      <c r="N84" s="85" t="n">
        <v>74</v>
      </c>
      <c r="O84" s="84" t="n">
        <v>0</v>
      </c>
      <c r="P84" s="84" t="inlineStr">
        <is>
          <t>Flat</t>
        </is>
      </c>
    </row>
    <row r="85">
      <c r="A85" s="84" t="inlineStr">
        <is>
          <t>Colgate-Palmolive</t>
        </is>
      </c>
      <c r="B85" s="84" t="inlineStr">
        <is>
          <t>Consumer Goods</t>
        </is>
      </c>
      <c r="C85" s="85" t="n">
        <v>74</v>
      </c>
      <c r="D85" s="85" t="n">
        <v>74</v>
      </c>
      <c r="E85" s="85" t="n">
        <v>74</v>
      </c>
      <c r="F85" s="85" t="n">
        <v>74</v>
      </c>
      <c r="G85" s="85" t="n">
        <v>74</v>
      </c>
      <c r="H85" s="85" t="n">
        <v>74</v>
      </c>
      <c r="I85" s="85" t="n">
        <v>74</v>
      </c>
      <c r="J85" s="85" t="n">
        <v>74</v>
      </c>
      <c r="K85" s="85" t="n">
        <v>74</v>
      </c>
      <c r="L85" s="85" t="n">
        <v>74</v>
      </c>
      <c r="M85" s="85" t="n">
        <v>74</v>
      </c>
      <c r="N85" s="85" t="n">
        <v>74</v>
      </c>
      <c r="O85" s="84" t="n">
        <v>0</v>
      </c>
      <c r="P85" s="84" t="inlineStr">
        <is>
          <t>Flat</t>
        </is>
      </c>
    </row>
    <row r="86">
      <c r="A86" s="84" t="inlineStr">
        <is>
          <t>Lockheed Martin</t>
        </is>
      </c>
      <c r="B86" s="84" t="inlineStr">
        <is>
          <t>Defense &amp; Gov Contracting</t>
        </is>
      </c>
      <c r="C86" s="85" t="n">
        <v>67</v>
      </c>
      <c r="D86" s="85" t="n">
        <v>67</v>
      </c>
      <c r="E86" s="85" t="n">
        <v>67</v>
      </c>
      <c r="F86" s="85" t="n">
        <v>67</v>
      </c>
      <c r="G86" s="85" t="n">
        <v>67</v>
      </c>
      <c r="H86" s="85" t="n">
        <v>67</v>
      </c>
      <c r="I86" s="85" t="n">
        <v>67</v>
      </c>
      <c r="J86" s="85" t="n">
        <v>67</v>
      </c>
      <c r="K86" s="85" t="n">
        <v>67</v>
      </c>
      <c r="L86" s="85" t="n">
        <v>67</v>
      </c>
      <c r="M86" s="85" t="n">
        <v>35</v>
      </c>
      <c r="N86" s="85" t="n">
        <v>35</v>
      </c>
      <c r="O86" s="84" t="n">
        <v>-32</v>
      </c>
      <c r="P86" s="84" t="inlineStr">
        <is>
          <t>Fell from peak</t>
        </is>
      </c>
    </row>
    <row r="87">
      <c r="A87" s="84" t="inlineStr">
        <is>
          <t>RTX (Raytheon)</t>
        </is>
      </c>
      <c r="B87" s="84" t="inlineStr">
        <is>
          <t>Defense &amp; Gov Contracting</t>
        </is>
      </c>
      <c r="C87" s="85" t="n">
        <v>67</v>
      </c>
      <c r="D87" s="85" t="n">
        <v>67</v>
      </c>
      <c r="E87" s="85" t="n">
        <v>67</v>
      </c>
      <c r="F87" s="85" t="n">
        <v>67</v>
      </c>
      <c r="G87" s="85" t="n">
        <v>67</v>
      </c>
      <c r="H87" s="85" t="n">
        <v>67</v>
      </c>
      <c r="I87" s="85" t="n">
        <v>67</v>
      </c>
      <c r="J87" s="85" t="n">
        <v>67</v>
      </c>
      <c r="K87" s="85" t="n">
        <v>67</v>
      </c>
      <c r="L87" s="85" t="n">
        <v>67</v>
      </c>
      <c r="M87" s="85" t="n">
        <v>35</v>
      </c>
      <c r="N87" s="85" t="n">
        <v>35</v>
      </c>
      <c r="O87" s="84" t="n">
        <v>-32</v>
      </c>
      <c r="P87" s="84" t="inlineStr">
        <is>
          <t>Fell from peak</t>
        </is>
      </c>
    </row>
    <row r="88">
      <c r="A88" s="84" t="inlineStr">
        <is>
          <t>Boeing</t>
        </is>
      </c>
      <c r="B88" s="84" t="inlineStr">
        <is>
          <t>Defense &amp; Gov Contracting</t>
        </is>
      </c>
      <c r="C88" s="85" t="n">
        <v>67</v>
      </c>
      <c r="D88" s="85" t="n">
        <v>67</v>
      </c>
      <c r="E88" s="85" t="n">
        <v>67</v>
      </c>
      <c r="F88" s="85" t="n">
        <v>67</v>
      </c>
      <c r="G88" s="85" t="n">
        <v>67</v>
      </c>
      <c r="H88" s="85" t="n">
        <v>67</v>
      </c>
      <c r="I88" s="85" t="n">
        <v>37</v>
      </c>
      <c r="J88" s="85" t="n">
        <v>37</v>
      </c>
      <c r="K88" s="85" t="n">
        <v>37</v>
      </c>
      <c r="L88" s="85" t="n">
        <v>5</v>
      </c>
      <c r="M88" s="85" t="n">
        <v>5</v>
      </c>
      <c r="N88" s="85" t="n">
        <v>5</v>
      </c>
      <c r="O88" s="84" t="n">
        <v>-62</v>
      </c>
      <c r="P88" s="84" t="inlineStr">
        <is>
          <t>Fell from peak</t>
        </is>
      </c>
    </row>
    <row r="89">
      <c r="A89" s="84" t="inlineStr">
        <is>
          <t>Palantir Technologies</t>
        </is>
      </c>
      <c r="B89" s="84" t="inlineStr">
        <is>
          <t>Defense &amp; Gov Contracting</t>
        </is>
      </c>
      <c r="C89" s="85" t="n">
        <v>50</v>
      </c>
      <c r="D89" s="85" t="n">
        <v>50</v>
      </c>
      <c r="E89" s="85" t="n">
        <v>50</v>
      </c>
      <c r="F89" s="85" t="n">
        <v>50</v>
      </c>
      <c r="G89" s="85" t="n">
        <v>50</v>
      </c>
      <c r="H89" s="85" t="n">
        <v>50</v>
      </c>
      <c r="I89" s="85" t="n">
        <v>50</v>
      </c>
      <c r="J89" s="85" t="n">
        <v>50</v>
      </c>
      <c r="K89" s="85" t="n">
        <v>50</v>
      </c>
      <c r="L89" s="85" t="n">
        <v>50</v>
      </c>
      <c r="M89" s="85" t="n">
        <v>50</v>
      </c>
      <c r="N89" s="85" t="n">
        <v>50</v>
      </c>
      <c r="O89" s="84" t="n">
        <v>0</v>
      </c>
      <c r="P89" s="84" t="inlineStr">
        <is>
          <t>Flat</t>
        </is>
      </c>
    </row>
    <row r="90">
      <c r="A90" s="84" t="inlineStr">
        <is>
          <t>Adobe</t>
        </is>
      </c>
      <c r="B90" s="84" t="inlineStr">
        <is>
          <t>Technology</t>
        </is>
      </c>
      <c r="C90" s="85" t="n">
        <v>74</v>
      </c>
      <c r="D90" s="85" t="n">
        <v>74</v>
      </c>
      <c r="E90" s="85" t="n">
        <v>74</v>
      </c>
      <c r="F90" s="85" t="n">
        <v>74</v>
      </c>
      <c r="G90" s="85" t="n">
        <v>74</v>
      </c>
      <c r="H90" s="85" t="n">
        <v>74</v>
      </c>
      <c r="I90" s="85" t="n">
        <v>74</v>
      </c>
      <c r="J90" s="85" t="n">
        <v>74</v>
      </c>
      <c r="K90" s="85" t="n">
        <v>74</v>
      </c>
      <c r="L90" s="85" t="n">
        <v>74</v>
      </c>
      <c r="M90" s="85" t="n">
        <v>74</v>
      </c>
      <c r="N90" s="85" t="n">
        <v>74</v>
      </c>
      <c r="O90" s="84" t="n">
        <v>0</v>
      </c>
      <c r="P90" s="84" t="inlineStr">
        <is>
          <t>Flat</t>
        </is>
      </c>
    </row>
    <row r="91">
      <c r="A91" s="84" t="inlineStr">
        <is>
          <t>Intel</t>
        </is>
      </c>
      <c r="B91" s="84" t="inlineStr">
        <is>
          <t>Technology</t>
        </is>
      </c>
      <c r="C91" s="85" t="n">
        <v>89</v>
      </c>
      <c r="D91" s="85" t="n">
        <v>89</v>
      </c>
      <c r="E91" s="85" t="n">
        <v>89</v>
      </c>
      <c r="F91" s="85" t="n">
        <v>89</v>
      </c>
      <c r="G91" s="85" t="n">
        <v>89</v>
      </c>
      <c r="H91" s="85" t="n">
        <v>89</v>
      </c>
      <c r="I91" s="85" t="n">
        <v>89</v>
      </c>
      <c r="J91" s="85" t="n">
        <v>89</v>
      </c>
      <c r="K91" s="85" t="n">
        <v>89</v>
      </c>
      <c r="L91" s="85" t="n">
        <v>89</v>
      </c>
      <c r="M91" s="85" t="n">
        <v>57</v>
      </c>
      <c r="N91" s="85" t="n">
        <v>57</v>
      </c>
      <c r="O91" s="84" t="n">
        <v>-32</v>
      </c>
      <c r="P91" s="84" t="inlineStr">
        <is>
          <t>Fell from peak</t>
        </is>
      </c>
    </row>
    <row r="92">
      <c r="A92" s="84" t="inlineStr">
        <is>
          <t>Cisco Systems</t>
        </is>
      </c>
      <c r="B92" s="84" t="inlineStr">
        <is>
          <t>Technology</t>
        </is>
      </c>
      <c r="C92" s="85" t="n">
        <v>74</v>
      </c>
      <c r="D92" s="85" t="n">
        <v>74</v>
      </c>
      <c r="E92" s="85" t="n">
        <v>74</v>
      </c>
      <c r="F92" s="85" t="n">
        <v>74</v>
      </c>
      <c r="G92" s="85" t="n">
        <v>74</v>
      </c>
      <c r="H92" s="85" t="n">
        <v>74</v>
      </c>
      <c r="I92" s="85" t="n">
        <v>74</v>
      </c>
      <c r="J92" s="85" t="n">
        <v>74</v>
      </c>
      <c r="K92" s="85" t="n">
        <v>74</v>
      </c>
      <c r="L92" s="85" t="n">
        <v>74</v>
      </c>
      <c r="M92" s="85" t="n">
        <v>92</v>
      </c>
      <c r="N92" s="85" t="n">
        <v>92</v>
      </c>
      <c r="O92" s="84" t="n">
        <v>18</v>
      </c>
      <c r="P92" s="84" t="inlineStr">
        <is>
          <t>Rising</t>
        </is>
      </c>
    </row>
    <row r="93">
      <c r="A93" s="84" t="inlineStr">
        <is>
          <t>NVIDIA</t>
        </is>
      </c>
      <c r="B93" s="84" t="inlineStr">
        <is>
          <t>Technology</t>
        </is>
      </c>
      <c r="C93" s="85" t="n">
        <v>74</v>
      </c>
      <c r="D93" s="85" t="n">
        <v>74</v>
      </c>
      <c r="E93" s="85" t="n">
        <v>74</v>
      </c>
      <c r="F93" s="85" t="n">
        <v>74</v>
      </c>
      <c r="G93" s="85" t="n">
        <v>74</v>
      </c>
      <c r="H93" s="85" t="n">
        <v>74</v>
      </c>
      <c r="I93" s="85" t="n">
        <v>74</v>
      </c>
      <c r="J93" s="85" t="n">
        <v>74</v>
      </c>
      <c r="K93" s="85" t="n">
        <v>74</v>
      </c>
      <c r="L93" s="85" t="n">
        <v>74</v>
      </c>
      <c r="M93" s="85" t="n">
        <v>74</v>
      </c>
      <c r="N93" s="85" t="n">
        <v>74</v>
      </c>
      <c r="O93" s="84" t="n">
        <v>0</v>
      </c>
      <c r="P93" s="84" t="inlineStr">
        <is>
          <t>Flat</t>
        </is>
      </c>
    </row>
    <row r="94">
      <c r="A94" s="84" t="inlineStr">
        <is>
          <t>Qualcomm</t>
        </is>
      </c>
      <c r="B94" s="84" t="inlineStr">
        <is>
          <t>Technology</t>
        </is>
      </c>
      <c r="C94" s="85" t="n">
        <v>67</v>
      </c>
      <c r="D94" s="85" t="n">
        <v>67</v>
      </c>
      <c r="E94" s="85" t="n">
        <v>67</v>
      </c>
      <c r="F94" s="85" t="n">
        <v>67</v>
      </c>
      <c r="G94" s="85" t="n">
        <v>67</v>
      </c>
      <c r="H94" s="85" t="n">
        <v>67</v>
      </c>
      <c r="I94" s="85" t="n">
        <v>67</v>
      </c>
      <c r="J94" s="85" t="n">
        <v>67</v>
      </c>
      <c r="K94" s="85" t="n">
        <v>67</v>
      </c>
      <c r="L94" s="85" t="n">
        <v>67</v>
      </c>
      <c r="M94" s="85" t="n">
        <v>67</v>
      </c>
      <c r="N94" s="85" t="n">
        <v>67</v>
      </c>
      <c r="O94" s="84" t="n">
        <v>0</v>
      </c>
      <c r="P94" s="84" t="inlineStr">
        <is>
          <t>Flat</t>
        </is>
      </c>
    </row>
    <row r="95">
      <c r="A95" s="84" t="inlineStr">
        <is>
          <t>Texas Instruments</t>
        </is>
      </c>
      <c r="B95" s="84" t="inlineStr">
        <is>
          <t>Technology</t>
        </is>
      </c>
      <c r="C95" s="85" t="n">
        <v>52</v>
      </c>
      <c r="D95" s="85" t="n">
        <v>52</v>
      </c>
      <c r="E95" s="85" t="n">
        <v>52</v>
      </c>
      <c r="F95" s="85" t="n">
        <v>52</v>
      </c>
      <c r="G95" s="85" t="n">
        <v>52</v>
      </c>
      <c r="H95" s="85" t="n">
        <v>52</v>
      </c>
      <c r="I95" s="85" t="n">
        <v>52</v>
      </c>
      <c r="J95" s="85" t="n">
        <v>52</v>
      </c>
      <c r="K95" s="85" t="n">
        <v>52</v>
      </c>
      <c r="L95" s="85" t="n">
        <v>52</v>
      </c>
      <c r="M95" s="85" t="n">
        <v>52</v>
      </c>
      <c r="N95" s="85" t="n">
        <v>52</v>
      </c>
      <c r="O95" s="84" t="n">
        <v>0</v>
      </c>
      <c r="P95" s="84" t="inlineStr">
        <is>
          <t>Flat</t>
        </is>
      </c>
    </row>
    <row r="96">
      <c r="A96" s="84" t="inlineStr">
        <is>
          <t>PayPal</t>
        </is>
      </c>
      <c r="B96" s="84" t="inlineStr">
        <is>
          <t>Technology</t>
        </is>
      </c>
      <c r="C96" s="85" t="n">
        <v>67</v>
      </c>
      <c r="D96" s="85" t="n">
        <v>85</v>
      </c>
      <c r="E96" s="85" t="n">
        <v>85</v>
      </c>
      <c r="F96" s="85" t="n">
        <v>85</v>
      </c>
      <c r="G96" s="85" t="n">
        <v>85</v>
      </c>
      <c r="H96" s="85" t="n">
        <v>85</v>
      </c>
      <c r="I96" s="85" t="n">
        <v>85</v>
      </c>
      <c r="J96" s="85" t="n">
        <v>85</v>
      </c>
      <c r="K96" s="85" t="n">
        <v>85</v>
      </c>
      <c r="L96" s="85" t="n">
        <v>85</v>
      </c>
      <c r="M96" s="85" t="n">
        <v>85</v>
      </c>
      <c r="N96" s="85" t="n">
        <v>85</v>
      </c>
      <c r="O96" s="84" t="n">
        <v>18</v>
      </c>
      <c r="P96" s="84" t="inlineStr">
        <is>
          <t>Rising</t>
        </is>
      </c>
    </row>
    <row r="97">
      <c r="A97" s="84" t="inlineStr">
        <is>
          <t>Block (Square)</t>
        </is>
      </c>
      <c r="B97" s="84" t="inlineStr">
        <is>
          <t>Technology</t>
        </is>
      </c>
      <c r="C97" s="85" t="n">
        <v>50</v>
      </c>
      <c r="D97" s="85" t="n">
        <v>50</v>
      </c>
      <c r="E97" s="85" t="n">
        <v>50</v>
      </c>
      <c r="F97" s="85" t="n">
        <v>50</v>
      </c>
      <c r="G97" s="85" t="n">
        <v>50</v>
      </c>
      <c r="H97" s="85" t="n">
        <v>50</v>
      </c>
      <c r="I97" s="85" t="n">
        <v>50</v>
      </c>
      <c r="J97" s="85" t="n">
        <v>50</v>
      </c>
      <c r="K97" s="85" t="n">
        <v>50</v>
      </c>
      <c r="L97" s="85" t="n">
        <v>50</v>
      </c>
      <c r="M97" s="85" t="n">
        <v>50</v>
      </c>
      <c r="N97" s="85" t="n">
        <v>50</v>
      </c>
      <c r="O97" s="84" t="n">
        <v>0</v>
      </c>
      <c r="P97" s="84" t="inlineStr">
        <is>
          <t>Flat</t>
        </is>
      </c>
    </row>
    <row r="98">
      <c r="A98" s="84" t="inlineStr">
        <is>
          <t>Uber</t>
        </is>
      </c>
      <c r="B98" s="84" t="inlineStr">
        <is>
          <t>Technology</t>
        </is>
      </c>
      <c r="C98" s="85" t="n">
        <v>70</v>
      </c>
      <c r="D98" s="85" t="n">
        <v>70</v>
      </c>
      <c r="E98" s="85" t="n">
        <v>70</v>
      </c>
      <c r="F98" s="85" t="n">
        <v>70</v>
      </c>
      <c r="G98" s="85" t="n">
        <v>70</v>
      </c>
      <c r="H98" s="85" t="n">
        <v>70</v>
      </c>
      <c r="I98" s="85" t="n">
        <v>70</v>
      </c>
      <c r="J98" s="85" t="n">
        <v>70</v>
      </c>
      <c r="K98" s="85" t="n">
        <v>70</v>
      </c>
      <c r="L98" s="85" t="n">
        <v>70</v>
      </c>
      <c r="M98" s="85" t="n">
        <v>38</v>
      </c>
      <c r="N98" s="85" t="n">
        <v>38</v>
      </c>
      <c r="O98" s="84" t="n">
        <v>-32</v>
      </c>
      <c r="P98" s="84" t="inlineStr">
        <is>
          <t>Fell from peak</t>
        </is>
      </c>
    </row>
    <row r="99">
      <c r="A99" s="84" t="inlineStr">
        <is>
          <t>Lyft</t>
        </is>
      </c>
      <c r="B99" s="84" t="inlineStr">
        <is>
          <t>Technology</t>
        </is>
      </c>
      <c r="C99" s="85" t="n">
        <v>67</v>
      </c>
      <c r="D99" s="85" t="n">
        <v>67</v>
      </c>
      <c r="E99" s="85" t="n">
        <v>67</v>
      </c>
      <c r="F99" s="85" t="n">
        <v>67</v>
      </c>
      <c r="G99" s="85" t="n">
        <v>67</v>
      </c>
      <c r="H99" s="85" t="n">
        <v>67</v>
      </c>
      <c r="I99" s="85" t="n">
        <v>67</v>
      </c>
      <c r="J99" s="85" t="n">
        <v>67</v>
      </c>
      <c r="K99" s="85" t="n">
        <v>67</v>
      </c>
      <c r="L99" s="85" t="n">
        <v>67</v>
      </c>
      <c r="M99" s="85" t="n">
        <v>67</v>
      </c>
      <c r="N99" s="85" t="n">
        <v>67</v>
      </c>
      <c r="O99" s="84" t="n">
        <v>0</v>
      </c>
      <c r="P99" s="84" t="inlineStr">
        <is>
          <t>Flat</t>
        </is>
      </c>
    </row>
    <row r="100">
      <c r="A100" s="84" t="inlineStr">
        <is>
          <t>eBay</t>
        </is>
      </c>
      <c r="B100" s="84" t="inlineStr">
        <is>
          <t>Technology</t>
        </is>
      </c>
      <c r="C100" s="85" t="n">
        <v>74</v>
      </c>
      <c r="D100" s="85" t="n">
        <v>74</v>
      </c>
      <c r="E100" s="85" t="n">
        <v>74</v>
      </c>
      <c r="F100" s="85" t="n">
        <v>74</v>
      </c>
      <c r="G100" s="85" t="n">
        <v>74</v>
      </c>
      <c r="H100" s="85" t="n">
        <v>74</v>
      </c>
      <c r="I100" s="85" t="n">
        <v>74</v>
      </c>
      <c r="J100" s="85" t="n">
        <v>74</v>
      </c>
      <c r="K100" s="85" t="n">
        <v>74</v>
      </c>
      <c r="L100" s="85" t="n">
        <v>74</v>
      </c>
      <c r="M100" s="85" t="n">
        <v>74</v>
      </c>
      <c r="N100" s="85" t="n">
        <v>74</v>
      </c>
      <c r="O100" s="84" t="n">
        <v>0</v>
      </c>
      <c r="P100" s="84" t="inlineStr">
        <is>
          <t>Flat</t>
        </is>
      </c>
    </row>
    <row r="101">
      <c r="A101" s="84" t="inlineStr">
        <is>
          <t>Intuit</t>
        </is>
      </c>
      <c r="B101" s="84" t="inlineStr">
        <is>
          <t>Technology</t>
        </is>
      </c>
      <c r="C101" s="85" t="n">
        <v>74</v>
      </c>
      <c r="D101" s="85" t="n">
        <v>74</v>
      </c>
      <c r="E101" s="85" t="n">
        <v>74</v>
      </c>
      <c r="F101" s="85" t="n">
        <v>74</v>
      </c>
      <c r="G101" s="85" t="n">
        <v>74</v>
      </c>
      <c r="H101" s="85" t="n">
        <v>74</v>
      </c>
      <c r="I101" s="85" t="n">
        <v>74</v>
      </c>
      <c r="J101" s="85" t="n">
        <v>74</v>
      </c>
      <c r="K101" s="85" t="n">
        <v>74</v>
      </c>
      <c r="L101" s="85" t="n">
        <v>74</v>
      </c>
      <c r="M101" s="85" t="n">
        <v>74</v>
      </c>
      <c r="N101" s="85" t="n">
        <v>74</v>
      </c>
      <c r="O101" s="84" t="n">
        <v>0</v>
      </c>
      <c r="P101" s="84" t="inlineStr">
        <is>
          <t>Flat</t>
        </is>
      </c>
    </row>
    <row r="102">
      <c r="A102" s="84" t="inlineStr">
        <is>
          <t>ServiceNow</t>
        </is>
      </c>
      <c r="B102" s="84" t="inlineStr">
        <is>
          <t>Technology</t>
        </is>
      </c>
      <c r="C102" s="85" t="n">
        <v>67</v>
      </c>
      <c r="D102" s="85" t="n">
        <v>67</v>
      </c>
      <c r="E102" s="85" t="n">
        <v>67</v>
      </c>
      <c r="F102" s="85" t="n">
        <v>67</v>
      </c>
      <c r="G102" s="85" t="n">
        <v>67</v>
      </c>
      <c r="H102" s="85" t="n">
        <v>67</v>
      </c>
      <c r="I102" s="85" t="n">
        <v>67</v>
      </c>
      <c r="J102" s="85" t="n">
        <v>67</v>
      </c>
      <c r="K102" s="85" t="n">
        <v>67</v>
      </c>
      <c r="L102" s="85" t="n">
        <v>67</v>
      </c>
      <c r="M102" s="85" t="n">
        <v>67</v>
      </c>
      <c r="N102" s="85" t="n">
        <v>67</v>
      </c>
      <c r="O102" s="84" t="n">
        <v>0</v>
      </c>
      <c r="P102" s="84" t="inlineStr">
        <is>
          <t>Flat</t>
        </is>
      </c>
    </row>
    <row r="103">
      <c r="A103" s="84" t="inlineStr">
        <is>
          <t>Snap Inc.</t>
        </is>
      </c>
      <c r="B103" s="84" t="inlineStr">
        <is>
          <t>Technology</t>
        </is>
      </c>
      <c r="C103" s="85" t="n">
        <v>53</v>
      </c>
      <c r="D103" s="85" t="n">
        <v>53</v>
      </c>
      <c r="E103" s="85" t="n">
        <v>53</v>
      </c>
      <c r="F103" s="85" t="n">
        <v>53</v>
      </c>
      <c r="G103" s="85" t="n">
        <v>53</v>
      </c>
      <c r="H103" s="85" t="n">
        <v>53</v>
      </c>
      <c r="I103" s="85" t="n">
        <v>53</v>
      </c>
      <c r="J103" s="85" t="n">
        <v>53</v>
      </c>
      <c r="K103" s="85" t="n">
        <v>53</v>
      </c>
      <c r="L103" s="85" t="n">
        <v>53</v>
      </c>
      <c r="M103" s="85" t="n">
        <v>53</v>
      </c>
      <c r="N103" s="85" t="n">
        <v>53</v>
      </c>
      <c r="O103" s="84" t="n">
        <v>0</v>
      </c>
      <c r="P103" s="84" t="inlineStr">
        <is>
          <t>Flat</t>
        </is>
      </c>
    </row>
    <row r="104">
      <c r="A104" s="84" t="inlineStr">
        <is>
          <t>Pinterest</t>
        </is>
      </c>
      <c r="B104" s="84" t="inlineStr">
        <is>
          <t>Technology</t>
        </is>
      </c>
      <c r="C104" s="85" t="n">
        <v>72</v>
      </c>
      <c r="D104" s="85" t="n">
        <v>72</v>
      </c>
      <c r="E104" s="85" t="n">
        <v>72</v>
      </c>
      <c r="F104" s="85" t="n">
        <v>72</v>
      </c>
      <c r="G104" s="85" t="n">
        <v>72</v>
      </c>
      <c r="H104" s="85" t="n">
        <v>72</v>
      </c>
      <c r="I104" s="85" t="n">
        <v>72</v>
      </c>
      <c r="J104" s="85" t="n">
        <v>72</v>
      </c>
      <c r="K104" s="85" t="n">
        <v>72</v>
      </c>
      <c r="L104" s="85" t="n">
        <v>72</v>
      </c>
      <c r="M104" s="85" t="n">
        <v>72</v>
      </c>
      <c r="N104" s="85" t="n">
        <v>72</v>
      </c>
      <c r="O104" s="84" t="n">
        <v>0</v>
      </c>
      <c r="P104" s="84" t="inlineStr">
        <is>
          <t>Flat</t>
        </is>
      </c>
    </row>
    <row r="105">
      <c r="A105" s="84" t="inlineStr">
        <is>
          <t>Kroger</t>
        </is>
      </c>
      <c r="B105" s="84" t="inlineStr">
        <is>
          <t>Retail — Big Box</t>
        </is>
      </c>
      <c r="C105" s="85" t="n">
        <v>67</v>
      </c>
      <c r="D105" s="85" t="n">
        <v>67</v>
      </c>
      <c r="E105" s="85" t="n">
        <v>67</v>
      </c>
      <c r="F105" s="85" t="n">
        <v>67</v>
      </c>
      <c r="G105" s="85" t="n">
        <v>67</v>
      </c>
      <c r="H105" s="85" t="n">
        <v>67</v>
      </c>
      <c r="I105" s="85" t="n">
        <v>67</v>
      </c>
      <c r="J105" s="85" t="n">
        <v>67</v>
      </c>
      <c r="K105" s="85" t="n">
        <v>67</v>
      </c>
      <c r="L105" s="85" t="n">
        <v>67</v>
      </c>
      <c r="M105" s="85" t="n">
        <v>67</v>
      </c>
      <c r="N105" s="85" t="n">
        <v>67</v>
      </c>
      <c r="O105" s="84" t="n">
        <v>0</v>
      </c>
      <c r="P105" s="84" t="inlineStr">
        <is>
          <t>Flat</t>
        </is>
      </c>
    </row>
    <row r="106">
      <c r="A106" s="84" t="inlineStr">
        <is>
          <t>Albertsons</t>
        </is>
      </c>
      <c r="B106" s="84" t="inlineStr">
        <is>
          <t>Retail — Big Box</t>
        </is>
      </c>
      <c r="C106" s="85" t="n">
        <v>52</v>
      </c>
      <c r="D106" s="85" t="n">
        <v>52</v>
      </c>
      <c r="E106" s="85" t="n">
        <v>52</v>
      </c>
      <c r="F106" s="85" t="n">
        <v>52</v>
      </c>
      <c r="G106" s="85" t="n">
        <v>52</v>
      </c>
      <c r="H106" s="85" t="n">
        <v>52</v>
      </c>
      <c r="I106" s="85" t="n">
        <v>52</v>
      </c>
      <c r="J106" s="85" t="n">
        <v>52</v>
      </c>
      <c r="K106" s="85" t="n">
        <v>52</v>
      </c>
      <c r="L106" s="85" t="n">
        <v>52</v>
      </c>
      <c r="M106" s="85" t="n">
        <v>52</v>
      </c>
      <c r="N106" s="85" t="n">
        <v>52</v>
      </c>
      <c r="O106" s="84" t="n">
        <v>0</v>
      </c>
      <c r="P106" s="84" t="inlineStr">
        <is>
          <t>Flat</t>
        </is>
      </c>
    </row>
    <row r="107">
      <c r="A107" s="84" t="inlineStr">
        <is>
          <t>TJX Companies</t>
        </is>
      </c>
      <c r="B107" s="84" t="inlineStr">
        <is>
          <t>Retail — Big Box</t>
        </is>
      </c>
      <c r="C107" s="85" t="n">
        <v>72</v>
      </c>
      <c r="D107" s="85" t="n">
        <v>72</v>
      </c>
      <c r="E107" s="85" t="n">
        <v>72</v>
      </c>
      <c r="F107" s="85" t="n">
        <v>72</v>
      </c>
      <c r="G107" s="85" t="n">
        <v>72</v>
      </c>
      <c r="H107" s="85" t="n">
        <v>72</v>
      </c>
      <c r="I107" s="85" t="n">
        <v>72</v>
      </c>
      <c r="J107" s="85" t="n">
        <v>72</v>
      </c>
      <c r="K107" s="85" t="n">
        <v>72</v>
      </c>
      <c r="L107" s="85" t="n">
        <v>72</v>
      </c>
      <c r="M107" s="85" t="n">
        <v>72</v>
      </c>
      <c r="N107" s="85" t="n">
        <v>72</v>
      </c>
      <c r="O107" s="84" t="n">
        <v>0</v>
      </c>
      <c r="P107" s="84" t="inlineStr">
        <is>
          <t>Flat</t>
        </is>
      </c>
    </row>
    <row r="108">
      <c r="A108" s="84" t="inlineStr">
        <is>
          <t>Macy's</t>
        </is>
      </c>
      <c r="B108" s="84" t="inlineStr">
        <is>
          <t>Retail — Big Box</t>
        </is>
      </c>
      <c r="C108" s="85" t="n">
        <v>70</v>
      </c>
      <c r="D108" s="85" t="n">
        <v>70</v>
      </c>
      <c r="E108" s="85" t="n">
        <v>70</v>
      </c>
      <c r="F108" s="85" t="n">
        <v>70</v>
      </c>
      <c r="G108" s="85" t="n">
        <v>70</v>
      </c>
      <c r="H108" s="85" t="n">
        <v>70</v>
      </c>
      <c r="I108" s="85" t="n">
        <v>70</v>
      </c>
      <c r="J108" s="85" t="n">
        <v>70</v>
      </c>
      <c r="K108" s="85" t="n">
        <v>70</v>
      </c>
      <c r="L108" s="85" t="n">
        <v>70</v>
      </c>
      <c r="M108" s="85" t="n">
        <v>70</v>
      </c>
      <c r="N108" s="85" t="n">
        <v>70</v>
      </c>
      <c r="O108" s="84" t="n">
        <v>0</v>
      </c>
      <c r="P108" s="84" t="inlineStr">
        <is>
          <t>Flat</t>
        </is>
      </c>
    </row>
    <row r="109">
      <c r="A109" s="84" t="inlineStr">
        <is>
          <t>Nordstrom</t>
        </is>
      </c>
      <c r="B109" s="84" t="inlineStr">
        <is>
          <t>Retail — Big Box</t>
        </is>
      </c>
      <c r="C109" s="85" t="n">
        <v>58</v>
      </c>
      <c r="D109" s="85" t="n">
        <v>58</v>
      </c>
      <c r="E109" s="85" t="n">
        <v>58</v>
      </c>
      <c r="F109" s="85" t="n">
        <v>58</v>
      </c>
      <c r="G109" s="85" t="n">
        <v>58</v>
      </c>
      <c r="H109" s="85" t="n">
        <v>58</v>
      </c>
      <c r="I109" s="85" t="n">
        <v>58</v>
      </c>
      <c r="J109" s="85" t="n">
        <v>58</v>
      </c>
      <c r="K109" s="85" t="n">
        <v>58</v>
      </c>
      <c r="L109" s="85" t="n">
        <v>58</v>
      </c>
      <c r="M109" s="85" t="n">
        <v>58</v>
      </c>
      <c r="N109" s="85" t="n">
        <v>58</v>
      </c>
      <c r="O109" s="84" t="n">
        <v>0</v>
      </c>
      <c r="P109" s="84" t="inlineStr">
        <is>
          <t>Flat</t>
        </is>
      </c>
    </row>
    <row r="110">
      <c r="A110" s="84" t="inlineStr">
        <is>
          <t>Kohl's</t>
        </is>
      </c>
      <c r="B110" s="84" t="inlineStr">
        <is>
          <t>Retail — Big Box</t>
        </is>
      </c>
      <c r="C110" s="85" t="n">
        <v>52</v>
      </c>
      <c r="D110" s="85" t="n">
        <v>52</v>
      </c>
      <c r="E110" s="85" t="n">
        <v>52</v>
      </c>
      <c r="F110" s="85" t="n">
        <v>58</v>
      </c>
      <c r="G110" s="85" t="n">
        <v>58</v>
      </c>
      <c r="H110" s="85" t="n">
        <v>58</v>
      </c>
      <c r="I110" s="85" t="n">
        <v>58</v>
      </c>
      <c r="J110" s="85" t="n">
        <v>58</v>
      </c>
      <c r="K110" s="85" t="n">
        <v>58</v>
      </c>
      <c r="L110" s="85" t="n">
        <v>58</v>
      </c>
      <c r="M110" s="85" t="n">
        <v>58</v>
      </c>
      <c r="N110" s="85" t="n">
        <v>58</v>
      </c>
      <c r="O110" s="84" t="n">
        <v>6</v>
      </c>
      <c r="P110" s="84" t="inlineStr">
        <is>
          <t>Rising</t>
        </is>
      </c>
    </row>
    <row r="111">
      <c r="A111" s="84" t="inlineStr">
        <is>
          <t>Dollar General</t>
        </is>
      </c>
      <c r="B111" s="84" t="inlineStr">
        <is>
          <t>Retail — Big Box</t>
        </is>
      </c>
      <c r="C111" s="85" t="n">
        <v>50</v>
      </c>
      <c r="D111" s="85" t="n">
        <v>50</v>
      </c>
      <c r="E111" s="85" t="n">
        <v>50</v>
      </c>
      <c r="F111" s="85" t="n">
        <v>50</v>
      </c>
      <c r="G111" s="85" t="n">
        <v>50</v>
      </c>
      <c r="H111" s="85" t="n">
        <v>50</v>
      </c>
      <c r="I111" s="85" t="n">
        <v>50</v>
      </c>
      <c r="J111" s="85" t="n">
        <v>50</v>
      </c>
      <c r="K111" s="85" t="n">
        <v>50</v>
      </c>
      <c r="L111" s="85" t="n">
        <v>50</v>
      </c>
      <c r="M111" s="85" t="n">
        <v>50</v>
      </c>
      <c r="N111" s="85" t="n">
        <v>50</v>
      </c>
      <c r="O111" s="84" t="n">
        <v>0</v>
      </c>
      <c r="P111" s="84" t="inlineStr">
        <is>
          <t>Flat</t>
        </is>
      </c>
    </row>
    <row r="112">
      <c r="A112" s="84" t="inlineStr">
        <is>
          <t>Dollar Tree</t>
        </is>
      </c>
      <c r="B112" s="84" t="inlineStr">
        <is>
          <t>Retail — Big Box</t>
        </is>
      </c>
      <c r="C112" s="85" t="n">
        <v>50</v>
      </c>
      <c r="D112" s="85" t="n">
        <v>50</v>
      </c>
      <c r="E112" s="85" t="n">
        <v>50</v>
      </c>
      <c r="F112" s="85" t="n">
        <v>50</v>
      </c>
      <c r="G112" s="85" t="n">
        <v>50</v>
      </c>
      <c r="H112" s="85" t="n">
        <v>50</v>
      </c>
      <c r="I112" s="85" t="n">
        <v>50</v>
      </c>
      <c r="J112" s="85" t="n">
        <v>50</v>
      </c>
      <c r="K112" s="85" t="n">
        <v>50</v>
      </c>
      <c r="L112" s="85" t="n">
        <v>50</v>
      </c>
      <c r="M112" s="85" t="n">
        <v>50</v>
      </c>
      <c r="N112" s="85" t="n">
        <v>50</v>
      </c>
      <c r="O112" s="84" t="n">
        <v>0</v>
      </c>
      <c r="P112" s="84" t="inlineStr">
        <is>
          <t>Flat</t>
        </is>
      </c>
    </row>
    <row r="113">
      <c r="A113" s="84" t="inlineStr">
        <is>
          <t>Yum! Brands</t>
        </is>
      </c>
      <c r="B113" s="84" t="inlineStr">
        <is>
          <t>Food &amp; Beverage</t>
        </is>
      </c>
      <c r="C113" s="85" t="n">
        <v>52</v>
      </c>
      <c r="D113" s="85" t="n">
        <v>52</v>
      </c>
      <c r="E113" s="85" t="n">
        <v>52</v>
      </c>
      <c r="F113" s="85" t="n">
        <v>52</v>
      </c>
      <c r="G113" s="85" t="n">
        <v>52</v>
      </c>
      <c r="H113" s="85" t="n">
        <v>52</v>
      </c>
      <c r="I113" s="85" t="n">
        <v>52</v>
      </c>
      <c r="J113" s="85" t="n">
        <v>60</v>
      </c>
      <c r="K113" s="85" t="n">
        <v>60</v>
      </c>
      <c r="L113" s="85" t="n">
        <v>60</v>
      </c>
      <c r="M113" s="85" t="n">
        <v>60</v>
      </c>
      <c r="N113" s="85" t="n">
        <v>60</v>
      </c>
      <c r="O113" s="84" t="n">
        <v>8</v>
      </c>
      <c r="P113" s="84" t="inlineStr">
        <is>
          <t>Rising</t>
        </is>
      </c>
    </row>
    <row r="114">
      <c r="A114" s="84" t="inlineStr">
        <is>
          <t>Domino's Pizza</t>
        </is>
      </c>
      <c r="B114" s="84" t="inlineStr">
        <is>
          <t>Food &amp; Beverage</t>
        </is>
      </c>
      <c r="C114" s="85" t="n">
        <v>50</v>
      </c>
      <c r="D114" s="85" t="n">
        <v>50</v>
      </c>
      <c r="E114" s="85" t="n">
        <v>50</v>
      </c>
      <c r="F114" s="85" t="n">
        <v>50</v>
      </c>
      <c r="G114" s="85" t="n">
        <v>50</v>
      </c>
      <c r="H114" s="85" t="n">
        <v>50</v>
      </c>
      <c r="I114" s="85" t="n">
        <v>50</v>
      </c>
      <c r="J114" s="85" t="n">
        <v>50</v>
      </c>
      <c r="K114" s="85" t="n">
        <v>50</v>
      </c>
      <c r="L114" s="85" t="n">
        <v>50</v>
      </c>
      <c r="M114" s="85" t="n">
        <v>50</v>
      </c>
      <c r="N114" s="85" t="n">
        <v>50</v>
      </c>
      <c r="O114" s="84" t="n">
        <v>0</v>
      </c>
      <c r="P114" s="84" t="inlineStr">
        <is>
          <t>Flat</t>
        </is>
      </c>
    </row>
    <row r="115">
      <c r="A115" s="84" t="inlineStr">
        <is>
          <t>Chipotle</t>
        </is>
      </c>
      <c r="B115" s="84" t="inlineStr">
        <is>
          <t>Food &amp; Beverage</t>
        </is>
      </c>
      <c r="C115" s="85" t="n">
        <v>52</v>
      </c>
      <c r="D115" s="85" t="n">
        <v>52</v>
      </c>
      <c r="E115" s="85" t="n">
        <v>52</v>
      </c>
      <c r="F115" s="85" t="n">
        <v>52</v>
      </c>
      <c r="G115" s="85" t="n">
        <v>52</v>
      </c>
      <c r="H115" s="85" t="n">
        <v>52</v>
      </c>
      <c r="I115" s="85" t="n">
        <v>52</v>
      </c>
      <c r="J115" s="85" t="n">
        <v>52</v>
      </c>
      <c r="K115" s="85" t="n">
        <v>52</v>
      </c>
      <c r="L115" s="85" t="n">
        <v>52</v>
      </c>
      <c r="M115" s="85" t="n">
        <v>52</v>
      </c>
      <c r="N115" s="85" t="n">
        <v>52</v>
      </c>
      <c r="O115" s="84" t="n">
        <v>0</v>
      </c>
      <c r="P115" s="84" t="inlineStr">
        <is>
          <t>Flat</t>
        </is>
      </c>
    </row>
    <row r="116">
      <c r="A116" s="84" t="inlineStr">
        <is>
          <t>Darden Restaurants</t>
        </is>
      </c>
      <c r="B116" s="84" t="inlineStr">
        <is>
          <t>Food &amp; Beverage</t>
        </is>
      </c>
      <c r="C116" s="85" t="n">
        <v>52</v>
      </c>
      <c r="D116" s="85" t="n">
        <v>52</v>
      </c>
      <c r="E116" s="85" t="n">
        <v>52</v>
      </c>
      <c r="F116" s="85" t="n">
        <v>52</v>
      </c>
      <c r="G116" s="85" t="n">
        <v>52</v>
      </c>
      <c r="H116" s="85" t="n">
        <v>52</v>
      </c>
      <c r="I116" s="85" t="n">
        <v>52</v>
      </c>
      <c r="J116" s="85" t="n">
        <v>52</v>
      </c>
      <c r="K116" s="85" t="n">
        <v>52</v>
      </c>
      <c r="L116" s="85" t="n">
        <v>52</v>
      </c>
      <c r="M116" s="85" t="n">
        <v>52</v>
      </c>
      <c r="N116" s="85" t="n">
        <v>52</v>
      </c>
      <c r="O116" s="84" t="n">
        <v>0</v>
      </c>
      <c r="P116" s="84" t="inlineStr">
        <is>
          <t>Flat</t>
        </is>
      </c>
    </row>
    <row r="117">
      <c r="A117" s="84" t="inlineStr">
        <is>
          <t>Molson Coors</t>
        </is>
      </c>
      <c r="B117" s="84" t="inlineStr">
        <is>
          <t>Food &amp; Beverage</t>
        </is>
      </c>
      <c r="C117" s="85" t="n">
        <v>88</v>
      </c>
      <c r="D117" s="85" t="n">
        <v>88</v>
      </c>
      <c r="E117" s="85" t="n">
        <v>88</v>
      </c>
      <c r="F117" s="85" t="n">
        <v>88</v>
      </c>
      <c r="G117" s="85" t="n">
        <v>88</v>
      </c>
      <c r="H117" s="85" t="n">
        <v>88</v>
      </c>
      <c r="I117" s="85" t="n">
        <v>88</v>
      </c>
      <c r="J117" s="85" t="n">
        <v>88</v>
      </c>
      <c r="K117" s="85" t="n">
        <v>88</v>
      </c>
      <c r="L117" s="85" t="n">
        <v>34</v>
      </c>
      <c r="M117" s="85" t="n">
        <v>34</v>
      </c>
      <c r="N117" s="85" t="n">
        <v>34</v>
      </c>
      <c r="O117" s="84" t="n">
        <v>-54</v>
      </c>
      <c r="P117" s="84" t="inlineStr">
        <is>
          <t>Fell from peak</t>
        </is>
      </c>
    </row>
    <row r="118">
      <c r="A118" s="84" t="inlineStr">
        <is>
          <t>Constellation Brands</t>
        </is>
      </c>
      <c r="B118" s="84" t="inlineStr">
        <is>
          <t>Food &amp; Beverage</t>
        </is>
      </c>
      <c r="C118" s="85" t="n">
        <v>52</v>
      </c>
      <c r="D118" s="85" t="n">
        <v>52</v>
      </c>
      <c r="E118" s="85" t="n">
        <v>52</v>
      </c>
      <c r="F118" s="85" t="n">
        <v>52</v>
      </c>
      <c r="G118" s="85" t="n">
        <v>52</v>
      </c>
      <c r="H118" s="85" t="n">
        <v>52</v>
      </c>
      <c r="I118" s="85" t="n">
        <v>52</v>
      </c>
      <c r="J118" s="85" t="n">
        <v>52</v>
      </c>
      <c r="K118" s="85" t="n">
        <v>52</v>
      </c>
      <c r="L118" s="85" t="n">
        <v>52</v>
      </c>
      <c r="M118" s="85" t="n">
        <v>52</v>
      </c>
      <c r="N118" s="85" t="n">
        <v>52</v>
      </c>
      <c r="O118" s="84" t="n">
        <v>0</v>
      </c>
      <c r="P118" s="84" t="inlineStr">
        <is>
          <t>Flat</t>
        </is>
      </c>
    </row>
    <row r="119">
      <c r="A119" s="84" t="inlineStr">
        <is>
          <t>Mondelez International</t>
        </is>
      </c>
      <c r="B119" s="84" t="inlineStr">
        <is>
          <t>Food &amp; Beverage</t>
        </is>
      </c>
      <c r="C119" s="85" t="n">
        <v>52</v>
      </c>
      <c r="D119" s="85" t="n">
        <v>52</v>
      </c>
      <c r="E119" s="85" t="n">
        <v>52</v>
      </c>
      <c r="F119" s="85" t="n">
        <v>52</v>
      </c>
      <c r="G119" s="85" t="n">
        <v>52</v>
      </c>
      <c r="H119" s="85" t="n">
        <v>58</v>
      </c>
      <c r="I119" s="85" t="n">
        <v>66</v>
      </c>
      <c r="J119" s="85" t="n">
        <v>66</v>
      </c>
      <c r="K119" s="85" t="n">
        <v>66</v>
      </c>
      <c r="L119" s="85" t="n">
        <v>66</v>
      </c>
      <c r="M119" s="85" t="n">
        <v>66</v>
      </c>
      <c r="N119" s="85" t="n">
        <v>66</v>
      </c>
      <c r="O119" s="84" t="n">
        <v>14</v>
      </c>
      <c r="P119" s="84" t="inlineStr">
        <is>
          <t>Rising</t>
        </is>
      </c>
    </row>
    <row r="120">
      <c r="A120" s="84" t="inlineStr">
        <is>
          <t>Kraft Heinz</t>
        </is>
      </c>
      <c r="B120" s="84" t="inlineStr">
        <is>
          <t>Food &amp; Beverage</t>
        </is>
      </c>
      <c r="C120" s="85" t="n">
        <v>52</v>
      </c>
      <c r="D120" s="85" t="n">
        <v>52</v>
      </c>
      <c r="E120" s="85" t="n">
        <v>52</v>
      </c>
      <c r="F120" s="85" t="n">
        <v>52</v>
      </c>
      <c r="G120" s="85" t="n">
        <v>52</v>
      </c>
      <c r="H120" s="85" t="n">
        <v>52</v>
      </c>
      <c r="I120" s="85" t="n">
        <v>52</v>
      </c>
      <c r="J120" s="85" t="n">
        <v>52</v>
      </c>
      <c r="K120" s="85" t="n">
        <v>52</v>
      </c>
      <c r="L120" s="85" t="n">
        <v>52</v>
      </c>
      <c r="M120" s="85" t="n">
        <v>52</v>
      </c>
      <c r="N120" s="85" t="n">
        <v>52</v>
      </c>
      <c r="O120" s="84" t="n">
        <v>0</v>
      </c>
      <c r="P120" s="84" t="inlineStr">
        <is>
          <t>Flat</t>
        </is>
      </c>
    </row>
    <row r="121">
      <c r="A121" s="84" t="inlineStr">
        <is>
          <t>Hershey</t>
        </is>
      </c>
      <c r="B121" s="84" t="inlineStr">
        <is>
          <t>Food &amp; Beverage</t>
        </is>
      </c>
      <c r="C121" s="85" t="n">
        <v>52</v>
      </c>
      <c r="D121" s="85" t="n">
        <v>52</v>
      </c>
      <c r="E121" s="85" t="n">
        <v>52</v>
      </c>
      <c r="F121" s="85" t="n">
        <v>52</v>
      </c>
      <c r="G121" s="85" t="n">
        <v>52</v>
      </c>
      <c r="H121" s="85" t="n">
        <v>52</v>
      </c>
      <c r="I121" s="85" t="n">
        <v>52</v>
      </c>
      <c r="J121" s="85" t="n">
        <v>52</v>
      </c>
      <c r="K121" s="85" t="n">
        <v>60</v>
      </c>
      <c r="L121" s="85" t="n">
        <v>60</v>
      </c>
      <c r="M121" s="85" t="n">
        <v>60</v>
      </c>
      <c r="N121" s="85" t="n">
        <v>60</v>
      </c>
      <c r="O121" s="84" t="n">
        <v>8</v>
      </c>
      <c r="P121" s="84" t="inlineStr">
        <is>
          <t>Rising</t>
        </is>
      </c>
    </row>
    <row r="122">
      <c r="A122" s="84" t="inlineStr">
        <is>
          <t>Morgan Stanley</t>
        </is>
      </c>
      <c r="B122" s="84" t="inlineStr">
        <is>
          <t>Financial Services</t>
        </is>
      </c>
      <c r="C122" s="85" t="n">
        <v>67</v>
      </c>
      <c r="D122" s="85" t="n">
        <v>67</v>
      </c>
      <c r="E122" s="85" t="n">
        <v>67</v>
      </c>
      <c r="F122" s="85" t="n">
        <v>67</v>
      </c>
      <c r="G122" s="85" t="n">
        <v>67</v>
      </c>
      <c r="H122" s="85" t="n">
        <v>67</v>
      </c>
      <c r="I122" s="85" t="n">
        <v>67</v>
      </c>
      <c r="J122" s="85" t="n">
        <v>67</v>
      </c>
      <c r="K122" s="85" t="n">
        <v>67</v>
      </c>
      <c r="L122" s="85" t="n">
        <v>67</v>
      </c>
      <c r="M122" s="85" t="n">
        <v>67</v>
      </c>
      <c r="N122" s="85" t="n">
        <v>67</v>
      </c>
      <c r="O122" s="84" t="n">
        <v>0</v>
      </c>
      <c r="P122" s="84" t="inlineStr">
        <is>
          <t>Flat</t>
        </is>
      </c>
    </row>
    <row r="123">
      <c r="A123" s="84" t="inlineStr">
        <is>
          <t>BlackRock</t>
        </is>
      </c>
      <c r="B123" s="84" t="inlineStr">
        <is>
          <t>Financial Services</t>
        </is>
      </c>
      <c r="C123" s="85" t="n">
        <v>67</v>
      </c>
      <c r="D123" s="85" t="n">
        <v>67</v>
      </c>
      <c r="E123" s="85" t="n">
        <v>67</v>
      </c>
      <c r="F123" s="85" t="n">
        <v>67</v>
      </c>
      <c r="G123" s="85" t="n">
        <v>67</v>
      </c>
      <c r="H123" s="85" t="n">
        <v>67</v>
      </c>
      <c r="I123" s="85" t="n">
        <v>67</v>
      </c>
      <c r="J123" s="85" t="n">
        <v>67</v>
      </c>
      <c r="K123" s="85" t="n">
        <v>67</v>
      </c>
      <c r="L123" s="85" t="n">
        <v>67</v>
      </c>
      <c r="M123" s="85" t="n">
        <v>35</v>
      </c>
      <c r="N123" s="85" t="n">
        <v>35</v>
      </c>
      <c r="O123" s="84" t="n">
        <v>-32</v>
      </c>
      <c r="P123" s="84" t="inlineStr">
        <is>
          <t>Fell from peak</t>
        </is>
      </c>
    </row>
    <row r="124">
      <c r="A124" s="84" t="inlineStr">
        <is>
          <t>U.S. Bancorp</t>
        </is>
      </c>
      <c r="B124" s="84" t="inlineStr">
        <is>
          <t>Financial Services</t>
        </is>
      </c>
      <c r="C124" s="85" t="n">
        <v>67</v>
      </c>
      <c r="D124" s="85" t="n">
        <v>67</v>
      </c>
      <c r="E124" s="85" t="n">
        <v>67</v>
      </c>
      <c r="F124" s="85" t="n">
        <v>67</v>
      </c>
      <c r="G124" s="85" t="n">
        <v>67</v>
      </c>
      <c r="H124" s="85" t="n">
        <v>67</v>
      </c>
      <c r="I124" s="85" t="n">
        <v>67</v>
      </c>
      <c r="J124" s="85" t="n">
        <v>67</v>
      </c>
      <c r="K124" s="85" t="n">
        <v>67</v>
      </c>
      <c r="L124" s="85" t="n">
        <v>67</v>
      </c>
      <c r="M124" s="85" t="n">
        <v>67</v>
      </c>
      <c r="N124" s="85" t="n">
        <v>67</v>
      </c>
      <c r="O124" s="84" t="n">
        <v>0</v>
      </c>
      <c r="P124" s="84" t="inlineStr">
        <is>
          <t>Flat</t>
        </is>
      </c>
    </row>
    <row r="125">
      <c r="A125" s="84" t="inlineStr">
        <is>
          <t>PNC Financial Services</t>
        </is>
      </c>
      <c r="B125" s="84" t="inlineStr">
        <is>
          <t>Financial Services</t>
        </is>
      </c>
      <c r="C125" s="85" t="n">
        <v>52</v>
      </c>
      <c r="D125" s="85" t="n">
        <v>52</v>
      </c>
      <c r="E125" s="85" t="n">
        <v>52</v>
      </c>
      <c r="F125" s="85" t="n">
        <v>52</v>
      </c>
      <c r="G125" s="85" t="n">
        <v>52</v>
      </c>
      <c r="H125" s="85" t="n">
        <v>52</v>
      </c>
      <c r="I125" s="85" t="n">
        <v>52</v>
      </c>
      <c r="J125" s="85" t="n">
        <v>52</v>
      </c>
      <c r="K125" s="85" t="n">
        <v>52</v>
      </c>
      <c r="L125" s="85" t="n">
        <v>52</v>
      </c>
      <c r="M125" s="85" t="n">
        <v>52</v>
      </c>
      <c r="N125" s="85" t="n">
        <v>52</v>
      </c>
      <c r="O125" s="84" t="n">
        <v>0</v>
      </c>
      <c r="P125" s="84" t="inlineStr">
        <is>
          <t>Flat</t>
        </is>
      </c>
    </row>
    <row r="126">
      <c r="A126" s="84" t="inlineStr">
        <is>
          <t>Capital One</t>
        </is>
      </c>
      <c r="B126" s="84" t="inlineStr">
        <is>
          <t>Financial Services</t>
        </is>
      </c>
      <c r="C126" s="85" t="n">
        <v>67</v>
      </c>
      <c r="D126" s="85" t="n">
        <v>67</v>
      </c>
      <c r="E126" s="85" t="n">
        <v>67</v>
      </c>
      <c r="F126" s="85" t="n">
        <v>67</v>
      </c>
      <c r="G126" s="85" t="n">
        <v>67</v>
      </c>
      <c r="H126" s="85" t="n">
        <v>67</v>
      </c>
      <c r="I126" s="85" t="n">
        <v>67</v>
      </c>
      <c r="J126" s="85" t="n">
        <v>67</v>
      </c>
      <c r="K126" s="85" t="n">
        <v>67</v>
      </c>
      <c r="L126" s="85" t="n">
        <v>67</v>
      </c>
      <c r="M126" s="85" t="n">
        <v>67</v>
      </c>
      <c r="N126" s="85" t="n">
        <v>67</v>
      </c>
      <c r="O126" s="84" t="n">
        <v>0</v>
      </c>
      <c r="P126" s="84" t="inlineStr">
        <is>
          <t>Flat</t>
        </is>
      </c>
    </row>
    <row r="127">
      <c r="A127" s="84" t="inlineStr">
        <is>
          <t>Discover Financial Services</t>
        </is>
      </c>
      <c r="B127" s="84" t="inlineStr">
        <is>
          <t>Financial Services</t>
        </is>
      </c>
      <c r="C127" s="85" t="n">
        <v>52</v>
      </c>
      <c r="D127" s="85" t="n">
        <v>52</v>
      </c>
      <c r="E127" s="85" t="n">
        <v>52</v>
      </c>
      <c r="F127" s="85" t="n">
        <v>52</v>
      </c>
      <c r="G127" s="85" t="n">
        <v>52</v>
      </c>
      <c r="H127" s="85" t="n">
        <v>52</v>
      </c>
      <c r="I127" s="85" t="n">
        <v>52</v>
      </c>
      <c r="J127" s="85" t="n">
        <v>52</v>
      </c>
      <c r="K127" s="85" t="n">
        <v>52</v>
      </c>
      <c r="L127" s="85" t="n">
        <v>52</v>
      </c>
      <c r="M127" s="85" t="n">
        <v>52</v>
      </c>
      <c r="N127" s="85" t="n">
        <v>52</v>
      </c>
      <c r="O127" s="84" t="n">
        <v>0</v>
      </c>
      <c r="P127" s="84" t="inlineStr">
        <is>
          <t>Flat</t>
        </is>
      </c>
    </row>
    <row r="128">
      <c r="A128" s="84" t="inlineStr">
        <is>
          <t>Progressive Corporation</t>
        </is>
      </c>
      <c r="B128" s="84" t="inlineStr">
        <is>
          <t>Financial Services</t>
        </is>
      </c>
      <c r="C128" s="85" t="n">
        <v>67</v>
      </c>
      <c r="D128" s="85" t="n">
        <v>67</v>
      </c>
      <c r="E128" s="85" t="n">
        <v>67</v>
      </c>
      <c r="F128" s="85" t="n">
        <v>67</v>
      </c>
      <c r="G128" s="85" t="n">
        <v>67</v>
      </c>
      <c r="H128" s="85" t="n">
        <v>67</v>
      </c>
      <c r="I128" s="85" t="n">
        <v>67</v>
      </c>
      <c r="J128" s="85" t="n">
        <v>67</v>
      </c>
      <c r="K128" s="85" t="n">
        <v>67</v>
      </c>
      <c r="L128" s="85" t="n">
        <v>75</v>
      </c>
      <c r="M128" s="85" t="n">
        <v>75</v>
      </c>
      <c r="N128" s="85" t="n">
        <v>75</v>
      </c>
      <c r="O128" s="84" t="n">
        <v>8</v>
      </c>
      <c r="P128" s="84" t="inlineStr">
        <is>
          <t>Rising</t>
        </is>
      </c>
    </row>
    <row r="129">
      <c r="A129" s="84" t="inlineStr">
        <is>
          <t>Allstate</t>
        </is>
      </c>
      <c r="B129" s="84" t="inlineStr">
        <is>
          <t>Financial Services</t>
        </is>
      </c>
      <c r="C129" s="85" t="n">
        <v>52</v>
      </c>
      <c r="D129" s="85" t="n">
        <v>52</v>
      </c>
      <c r="E129" s="85" t="n">
        <v>52</v>
      </c>
      <c r="F129" s="85" t="n">
        <v>52</v>
      </c>
      <c r="G129" s="85" t="n">
        <v>52</v>
      </c>
      <c r="H129" s="85" t="n">
        <v>52</v>
      </c>
      <c r="I129" s="85" t="n">
        <v>52</v>
      </c>
      <c r="J129" s="85" t="n">
        <v>52</v>
      </c>
      <c r="K129" s="85" t="n">
        <v>52</v>
      </c>
      <c r="L129" s="85" t="n">
        <v>52</v>
      </c>
      <c r="M129" s="85" t="n">
        <v>52</v>
      </c>
      <c r="N129" s="85" t="n">
        <v>52</v>
      </c>
      <c r="O129" s="84" t="n">
        <v>0</v>
      </c>
      <c r="P129" s="84" t="inlineStr">
        <is>
          <t>Flat</t>
        </is>
      </c>
    </row>
    <row r="130">
      <c r="A130" s="84" t="inlineStr">
        <is>
          <t>MetLife</t>
        </is>
      </c>
      <c r="B130" s="84" t="inlineStr">
        <is>
          <t>Financial Services</t>
        </is>
      </c>
      <c r="C130" s="85" t="n">
        <v>74</v>
      </c>
      <c r="D130" s="85" t="n">
        <v>74</v>
      </c>
      <c r="E130" s="85" t="n">
        <v>74</v>
      </c>
      <c r="F130" s="85" t="n">
        <v>74</v>
      </c>
      <c r="G130" s="85" t="n">
        <v>74</v>
      </c>
      <c r="H130" s="85" t="n">
        <v>74</v>
      </c>
      <c r="I130" s="85" t="n">
        <v>74</v>
      </c>
      <c r="J130" s="85" t="n">
        <v>74</v>
      </c>
      <c r="K130" s="85" t="n">
        <v>74</v>
      </c>
      <c r="L130" s="85" t="n">
        <v>74</v>
      </c>
      <c r="M130" s="85" t="n">
        <v>74</v>
      </c>
      <c r="N130" s="85" t="n">
        <v>74</v>
      </c>
      <c r="O130" s="84" t="n">
        <v>0</v>
      </c>
      <c r="P130" s="84" t="inlineStr">
        <is>
          <t>Flat</t>
        </is>
      </c>
    </row>
    <row r="131">
      <c r="A131" s="84" t="inlineStr">
        <is>
          <t>Prudential Financial</t>
        </is>
      </c>
      <c r="B131" s="84" t="inlineStr">
        <is>
          <t>Financial Services</t>
        </is>
      </c>
      <c r="C131" s="85" t="n">
        <v>74</v>
      </c>
      <c r="D131" s="85" t="n">
        <v>74</v>
      </c>
      <c r="E131" s="85" t="n">
        <v>74</v>
      </c>
      <c r="F131" s="85" t="n">
        <v>74</v>
      </c>
      <c r="G131" s="85" t="n">
        <v>74</v>
      </c>
      <c r="H131" s="85" t="n">
        <v>74</v>
      </c>
      <c r="I131" s="85" t="n">
        <v>74</v>
      </c>
      <c r="J131" s="85" t="n">
        <v>74</v>
      </c>
      <c r="K131" s="85" t="n">
        <v>74</v>
      </c>
      <c r="L131" s="85" t="n">
        <v>74</v>
      </c>
      <c r="M131" s="85" t="n">
        <v>74</v>
      </c>
      <c r="N131" s="85" t="n">
        <v>74</v>
      </c>
      <c r="O131" s="84" t="n">
        <v>0</v>
      </c>
      <c r="P131" s="84" t="inlineStr">
        <is>
          <t>Flat</t>
        </is>
      </c>
    </row>
    <row r="132">
      <c r="A132" s="84" t="inlineStr">
        <is>
          <t>AIG</t>
        </is>
      </c>
      <c r="B132" s="84" t="inlineStr">
        <is>
          <t>Financial Services</t>
        </is>
      </c>
      <c r="C132" s="85" t="n">
        <v>52</v>
      </c>
      <c r="D132" s="85" t="n">
        <v>52</v>
      </c>
      <c r="E132" s="85" t="n">
        <v>52</v>
      </c>
      <c r="F132" s="85" t="n">
        <v>52</v>
      </c>
      <c r="G132" s="85" t="n">
        <v>52</v>
      </c>
      <c r="H132" s="85" t="n">
        <v>52</v>
      </c>
      <c r="I132" s="85" t="n">
        <v>52</v>
      </c>
      <c r="J132" s="85" t="n">
        <v>52</v>
      </c>
      <c r="K132" s="85" t="n">
        <v>52</v>
      </c>
      <c r="L132" s="85" t="n">
        <v>52</v>
      </c>
      <c r="M132" s="85" t="n">
        <v>52</v>
      </c>
      <c r="N132" s="85" t="n">
        <v>52</v>
      </c>
      <c r="O132" s="84" t="n">
        <v>0</v>
      </c>
      <c r="P132" s="84" t="inlineStr">
        <is>
          <t>Flat</t>
        </is>
      </c>
    </row>
    <row r="133">
      <c r="A133" s="84" t="inlineStr">
        <is>
          <t>Travelers Companies</t>
        </is>
      </c>
      <c r="B133" s="84" t="inlineStr">
        <is>
          <t>Financial Services</t>
        </is>
      </c>
      <c r="C133" s="85" t="n">
        <v>52</v>
      </c>
      <c r="D133" s="85" t="n">
        <v>52</v>
      </c>
      <c r="E133" s="85" t="n">
        <v>52</v>
      </c>
      <c r="F133" s="85" t="n">
        <v>52</v>
      </c>
      <c r="G133" s="85" t="n">
        <v>52</v>
      </c>
      <c r="H133" s="85" t="n">
        <v>52</v>
      </c>
      <c r="I133" s="85" t="n">
        <v>52</v>
      </c>
      <c r="J133" s="85" t="n">
        <v>52</v>
      </c>
      <c r="K133" s="85" t="n">
        <v>52</v>
      </c>
      <c r="L133" s="85" t="n">
        <v>52</v>
      </c>
      <c r="M133" s="85" t="n">
        <v>52</v>
      </c>
      <c r="N133" s="85" t="n">
        <v>52</v>
      </c>
      <c r="O133" s="84" t="n">
        <v>0</v>
      </c>
      <c r="P133" s="84" t="inlineStr">
        <is>
          <t>Flat</t>
        </is>
      </c>
    </row>
    <row r="134">
      <c r="A134" s="84" t="inlineStr">
        <is>
          <t>Eli Lilly</t>
        </is>
      </c>
      <c r="B134" s="84" t="inlineStr">
        <is>
          <t>Healthcare &amp; Pharma</t>
        </is>
      </c>
      <c r="C134" s="85" t="n">
        <v>74</v>
      </c>
      <c r="D134" s="85" t="n">
        <v>74</v>
      </c>
      <c r="E134" s="85" t="n">
        <v>74</v>
      </c>
      <c r="F134" s="85" t="n">
        <v>74</v>
      </c>
      <c r="G134" s="85" t="n">
        <v>74</v>
      </c>
      <c r="H134" s="85" t="n">
        <v>74</v>
      </c>
      <c r="I134" s="85" t="n">
        <v>74</v>
      </c>
      <c r="J134" s="85" t="n">
        <v>74</v>
      </c>
      <c r="K134" s="85" t="n">
        <v>74</v>
      </c>
      <c r="L134" s="85" t="n">
        <v>74</v>
      </c>
      <c r="M134" s="85" t="n">
        <v>74</v>
      </c>
      <c r="N134" s="85" t="n">
        <v>74</v>
      </c>
      <c r="O134" s="84" t="n">
        <v>0</v>
      </c>
      <c r="P134" s="84" t="inlineStr">
        <is>
          <t>Flat</t>
        </is>
      </c>
    </row>
    <row r="135">
      <c r="A135" s="84" t="inlineStr">
        <is>
          <t>Merck &amp; Co.</t>
        </is>
      </c>
      <c r="B135" s="84" t="inlineStr">
        <is>
          <t>Healthcare &amp; Pharma</t>
        </is>
      </c>
      <c r="C135" s="85" t="n">
        <v>74</v>
      </c>
      <c r="D135" s="85" t="n">
        <v>74</v>
      </c>
      <c r="E135" s="85" t="n">
        <v>74</v>
      </c>
      <c r="F135" s="85" t="n">
        <v>74</v>
      </c>
      <c r="G135" s="85" t="n">
        <v>74</v>
      </c>
      <c r="H135" s="85" t="n">
        <v>74</v>
      </c>
      <c r="I135" s="85" t="n">
        <v>44</v>
      </c>
      <c r="J135" s="85" t="n">
        <v>44</v>
      </c>
      <c r="K135" s="85" t="n">
        <v>44</v>
      </c>
      <c r="L135" s="85" t="n">
        <v>44</v>
      </c>
      <c r="M135" s="85" t="n">
        <v>44</v>
      </c>
      <c r="N135" s="85" t="n">
        <v>44</v>
      </c>
      <c r="O135" s="84" t="n">
        <v>-30</v>
      </c>
      <c r="P135" s="84" t="inlineStr">
        <is>
          <t>Fell from peak</t>
        </is>
      </c>
    </row>
    <row r="136">
      <c r="A136" s="84" t="inlineStr">
        <is>
          <t>AbbVie</t>
        </is>
      </c>
      <c r="B136" s="84" t="inlineStr">
        <is>
          <t>Healthcare &amp; Pharma</t>
        </is>
      </c>
      <c r="C136" s="85" t="n">
        <v>74</v>
      </c>
      <c r="D136" s="85" t="n">
        <v>74</v>
      </c>
      <c r="E136" s="85" t="n">
        <v>74</v>
      </c>
      <c r="F136" s="85" t="n">
        <v>74</v>
      </c>
      <c r="G136" s="85" t="n">
        <v>74</v>
      </c>
      <c r="H136" s="85" t="n">
        <v>74</v>
      </c>
      <c r="I136" s="85" t="n">
        <v>74</v>
      </c>
      <c r="J136" s="85" t="n">
        <v>74</v>
      </c>
      <c r="K136" s="85" t="n">
        <v>74</v>
      </c>
      <c r="L136" s="85" t="n">
        <v>74</v>
      </c>
      <c r="M136" s="85" t="n">
        <v>74</v>
      </c>
      <c r="N136" s="85" t="n">
        <v>74</v>
      </c>
      <c r="O136" s="84" t="n">
        <v>0</v>
      </c>
      <c r="P136" s="84" t="inlineStr">
        <is>
          <t>Flat</t>
        </is>
      </c>
    </row>
    <row r="137">
      <c r="A137" s="84" t="inlineStr">
        <is>
          <t>Bristol Myers Squibb</t>
        </is>
      </c>
      <c r="B137" s="84" t="inlineStr">
        <is>
          <t>Healthcare &amp; Pharma</t>
        </is>
      </c>
      <c r="C137" s="85" t="n">
        <v>74</v>
      </c>
      <c r="D137" s="85" t="n">
        <v>74</v>
      </c>
      <c r="E137" s="85" t="n">
        <v>74</v>
      </c>
      <c r="F137" s="85" t="n">
        <v>74</v>
      </c>
      <c r="G137" s="85" t="n">
        <v>74</v>
      </c>
      <c r="H137" s="85" t="n">
        <v>74</v>
      </c>
      <c r="I137" s="85" t="n">
        <v>74</v>
      </c>
      <c r="J137" s="85" t="n">
        <v>74</v>
      </c>
      <c r="K137" s="85" t="n">
        <v>74</v>
      </c>
      <c r="L137" s="85" t="n">
        <v>74</v>
      </c>
      <c r="M137" s="85" t="n">
        <v>74</v>
      </c>
      <c r="N137" s="85" t="n">
        <v>74</v>
      </c>
      <c r="O137" s="84" t="n">
        <v>0</v>
      </c>
      <c r="P137" s="84" t="inlineStr">
        <is>
          <t>Flat</t>
        </is>
      </c>
    </row>
    <row r="138">
      <c r="A138" s="84" t="inlineStr">
        <is>
          <t>Gilead Sciences</t>
        </is>
      </c>
      <c r="B138" s="84" t="inlineStr">
        <is>
          <t>Healthcare &amp; Pharma</t>
        </is>
      </c>
      <c r="C138" s="85" t="n">
        <v>77</v>
      </c>
      <c r="D138" s="85" t="n">
        <v>77</v>
      </c>
      <c r="E138" s="85" t="n">
        <v>77</v>
      </c>
      <c r="F138" s="85" t="n">
        <v>77</v>
      </c>
      <c r="G138" s="85" t="n">
        <v>77</v>
      </c>
      <c r="H138" s="85" t="n">
        <v>77</v>
      </c>
      <c r="I138" s="85" t="n">
        <v>77</v>
      </c>
      <c r="J138" s="85" t="n">
        <v>77</v>
      </c>
      <c r="K138" s="85" t="n">
        <v>77</v>
      </c>
      <c r="L138" s="85" t="n">
        <v>99</v>
      </c>
      <c r="M138" s="85" t="n">
        <v>99</v>
      </c>
      <c r="N138" s="85" t="n">
        <v>99</v>
      </c>
      <c r="O138" s="84" t="n">
        <v>22</v>
      </c>
      <c r="P138" s="84" t="inlineStr">
        <is>
          <t>Rising</t>
        </is>
      </c>
    </row>
    <row r="139">
      <c r="A139" s="84" t="inlineStr">
        <is>
          <t>Amgen</t>
        </is>
      </c>
      <c r="B139" s="84" t="inlineStr">
        <is>
          <t>Healthcare &amp; Pharma</t>
        </is>
      </c>
      <c r="C139" s="85" t="n">
        <v>52</v>
      </c>
      <c r="D139" s="85" t="n">
        <v>52</v>
      </c>
      <c r="E139" s="85" t="n">
        <v>52</v>
      </c>
      <c r="F139" s="85" t="n">
        <v>52</v>
      </c>
      <c r="G139" s="85" t="n">
        <v>52</v>
      </c>
      <c r="H139" s="85" t="n">
        <v>52</v>
      </c>
      <c r="I139" s="85" t="n">
        <v>52</v>
      </c>
      <c r="J139" s="85" t="n">
        <v>52</v>
      </c>
      <c r="K139" s="85" t="n">
        <v>52</v>
      </c>
      <c r="L139" s="85" t="n">
        <v>52</v>
      </c>
      <c r="M139" s="85" t="n">
        <v>52</v>
      </c>
      <c r="N139" s="85" t="n">
        <v>52</v>
      </c>
      <c r="O139" s="84" t="n">
        <v>0</v>
      </c>
      <c r="P139" s="84" t="inlineStr">
        <is>
          <t>Flat</t>
        </is>
      </c>
    </row>
    <row r="140">
      <c r="A140" s="84" t="inlineStr">
        <is>
          <t>Moderna</t>
        </is>
      </c>
      <c r="B140" s="84" t="inlineStr">
        <is>
          <t>Healthcare &amp; Pharma</t>
        </is>
      </c>
      <c r="C140" s="85" t="n">
        <v>52</v>
      </c>
      <c r="D140" s="85" t="n">
        <v>52</v>
      </c>
      <c r="E140" s="85" t="n">
        <v>52</v>
      </c>
      <c r="F140" s="85" t="n">
        <v>52</v>
      </c>
      <c r="G140" s="85" t="n">
        <v>52</v>
      </c>
      <c r="H140" s="85" t="n">
        <v>52</v>
      </c>
      <c r="I140" s="85" t="n">
        <v>52</v>
      </c>
      <c r="J140" s="85" t="n">
        <v>52</v>
      </c>
      <c r="K140" s="85" t="n">
        <v>52</v>
      </c>
      <c r="L140" s="85" t="n">
        <v>52</v>
      </c>
      <c r="M140" s="85" t="n">
        <v>52</v>
      </c>
      <c r="N140" s="85" t="n">
        <v>52</v>
      </c>
      <c r="O140" s="84" t="n">
        <v>0</v>
      </c>
      <c r="P140" s="84" t="inlineStr">
        <is>
          <t>Flat</t>
        </is>
      </c>
    </row>
    <row r="141">
      <c r="A141" s="84" t="inlineStr">
        <is>
          <t>HCA Healthcare</t>
        </is>
      </c>
      <c r="B141" s="84" t="inlineStr">
        <is>
          <t>Healthcare &amp; Pharma</t>
        </is>
      </c>
      <c r="C141" s="85" t="n">
        <v>52</v>
      </c>
      <c r="D141" s="85" t="n">
        <v>52</v>
      </c>
      <c r="E141" s="85" t="n">
        <v>52</v>
      </c>
      <c r="F141" s="85" t="n">
        <v>52</v>
      </c>
      <c r="G141" s="85" t="n">
        <v>52</v>
      </c>
      <c r="H141" s="85" t="n">
        <v>52</v>
      </c>
      <c r="I141" s="85" t="n">
        <v>52</v>
      </c>
      <c r="J141" s="85" t="n">
        <v>52</v>
      </c>
      <c r="K141" s="85" t="n">
        <v>52</v>
      </c>
      <c r="L141" s="85" t="n">
        <v>52</v>
      </c>
      <c r="M141" s="85" t="n">
        <v>52</v>
      </c>
      <c r="N141" s="85" t="n">
        <v>52</v>
      </c>
      <c r="O141" s="84" t="n">
        <v>0</v>
      </c>
      <c r="P141" s="84" t="inlineStr">
        <is>
          <t>Flat</t>
        </is>
      </c>
    </row>
    <row r="142">
      <c r="A142" s="84" t="inlineStr">
        <is>
          <t>Elevance Health</t>
        </is>
      </c>
      <c r="B142" s="84" t="inlineStr">
        <is>
          <t>Healthcare &amp; Pharma</t>
        </is>
      </c>
      <c r="C142" s="85" t="n">
        <v>74</v>
      </c>
      <c r="D142" s="85" t="n">
        <v>74</v>
      </c>
      <c r="E142" s="85" t="n">
        <v>74</v>
      </c>
      <c r="F142" s="85" t="n">
        <v>74</v>
      </c>
      <c r="G142" s="85" t="n">
        <v>74</v>
      </c>
      <c r="H142" s="85" t="n">
        <v>74</v>
      </c>
      <c r="I142" s="85" t="n">
        <v>74</v>
      </c>
      <c r="J142" s="85" t="n">
        <v>74</v>
      </c>
      <c r="K142" s="85" t="n">
        <v>74</v>
      </c>
      <c r="L142" s="85" t="n">
        <v>74</v>
      </c>
      <c r="M142" s="85" t="n">
        <v>42</v>
      </c>
      <c r="N142" s="85" t="n">
        <v>42</v>
      </c>
      <c r="O142" s="84" t="n">
        <v>-32</v>
      </c>
      <c r="P142" s="84" t="inlineStr">
        <is>
          <t>Fell from peak</t>
        </is>
      </c>
    </row>
    <row r="143">
      <c r="A143" s="84" t="inlineStr">
        <is>
          <t>ConocoPhillips</t>
        </is>
      </c>
      <c r="B143" s="84" t="inlineStr">
        <is>
          <t>Energy</t>
        </is>
      </c>
      <c r="C143" s="85" t="n">
        <v>50</v>
      </c>
      <c r="D143" s="85" t="n">
        <v>50</v>
      </c>
      <c r="E143" s="85" t="n">
        <v>50</v>
      </c>
      <c r="F143" s="85" t="n">
        <v>50</v>
      </c>
      <c r="G143" s="85" t="n">
        <v>50</v>
      </c>
      <c r="H143" s="85" t="n">
        <v>50</v>
      </c>
      <c r="I143" s="85" t="n">
        <v>20</v>
      </c>
      <c r="J143" s="85" t="n">
        <v>20</v>
      </c>
      <c r="K143" s="85" t="n">
        <v>20</v>
      </c>
      <c r="L143" s="85" t="n">
        <v>20</v>
      </c>
      <c r="M143" s="85" t="n">
        <v>20</v>
      </c>
      <c r="N143" s="85" t="n">
        <v>20</v>
      </c>
      <c r="O143" s="84" t="n">
        <v>-30</v>
      </c>
      <c r="P143" s="84" t="inlineStr">
        <is>
          <t>Fell from peak</t>
        </is>
      </c>
    </row>
    <row r="144">
      <c r="A144" s="84" t="inlineStr">
        <is>
          <t>Phillips 66</t>
        </is>
      </c>
      <c r="B144" s="84" t="inlineStr">
        <is>
          <t>Energy</t>
        </is>
      </c>
      <c r="C144" s="85" t="n">
        <v>50</v>
      </c>
      <c r="D144" s="85" t="n">
        <v>50</v>
      </c>
      <c r="E144" s="85" t="n">
        <v>50</v>
      </c>
      <c r="F144" s="85" t="n">
        <v>50</v>
      </c>
      <c r="G144" s="85" t="n">
        <v>50</v>
      </c>
      <c r="H144" s="85" t="n">
        <v>50</v>
      </c>
      <c r="I144" s="85" t="n">
        <v>50</v>
      </c>
      <c r="J144" s="85" t="n">
        <v>50</v>
      </c>
      <c r="K144" s="85" t="n">
        <v>50</v>
      </c>
      <c r="L144" s="85" t="n">
        <v>50</v>
      </c>
      <c r="M144" s="85" t="n">
        <v>50</v>
      </c>
      <c r="N144" s="85" t="n">
        <v>50</v>
      </c>
      <c r="O144" s="84" t="n">
        <v>0</v>
      </c>
      <c r="P144" s="84" t="inlineStr">
        <is>
          <t>Flat</t>
        </is>
      </c>
    </row>
    <row r="145">
      <c r="A145" s="84" t="inlineStr">
        <is>
          <t>Marathon Petroleum</t>
        </is>
      </c>
      <c r="B145" s="84" t="inlineStr">
        <is>
          <t>Energy</t>
        </is>
      </c>
      <c r="C145" s="85" t="n">
        <v>50</v>
      </c>
      <c r="D145" s="85" t="n">
        <v>50</v>
      </c>
      <c r="E145" s="85" t="n">
        <v>50</v>
      </c>
      <c r="F145" s="85" t="n">
        <v>50</v>
      </c>
      <c r="G145" s="85" t="n">
        <v>50</v>
      </c>
      <c r="H145" s="85" t="n">
        <v>50</v>
      </c>
      <c r="I145" s="85" t="n">
        <v>20</v>
      </c>
      <c r="J145" s="85" t="n">
        <v>20</v>
      </c>
      <c r="K145" s="85" t="n">
        <v>20</v>
      </c>
      <c r="L145" s="85" t="n">
        <v>20</v>
      </c>
      <c r="M145" s="85" t="n">
        <v>20</v>
      </c>
      <c r="N145" s="85" t="n">
        <v>20</v>
      </c>
      <c r="O145" s="84" t="n">
        <v>-30</v>
      </c>
      <c r="P145" s="84" t="inlineStr">
        <is>
          <t>Fell from peak</t>
        </is>
      </c>
    </row>
    <row r="146">
      <c r="A146" s="84" t="inlineStr">
        <is>
          <t>Duke Energy</t>
        </is>
      </c>
      <c r="B146" s="84" t="inlineStr">
        <is>
          <t>Energy</t>
        </is>
      </c>
      <c r="C146" s="85" t="n">
        <v>52</v>
      </c>
      <c r="D146" s="85" t="n">
        <v>52</v>
      </c>
      <c r="E146" s="85" t="n">
        <v>52</v>
      </c>
      <c r="F146" s="85" t="n">
        <v>52</v>
      </c>
      <c r="G146" s="85" t="n">
        <v>52</v>
      </c>
      <c r="H146" s="85" t="n">
        <v>52</v>
      </c>
      <c r="I146" s="85" t="n">
        <v>52</v>
      </c>
      <c r="J146" s="85" t="n">
        <v>52</v>
      </c>
      <c r="K146" s="85" t="n">
        <v>52</v>
      </c>
      <c r="L146" s="85" t="n">
        <v>52</v>
      </c>
      <c r="M146" s="85" t="n">
        <v>52</v>
      </c>
      <c r="N146" s="85" t="n">
        <v>52</v>
      </c>
      <c r="O146" s="84" t="n">
        <v>0</v>
      </c>
      <c r="P146" s="84" t="inlineStr">
        <is>
          <t>Flat</t>
        </is>
      </c>
    </row>
    <row r="147">
      <c r="A147" s="84" t="inlineStr">
        <is>
          <t>Dominion Energy</t>
        </is>
      </c>
      <c r="B147" s="84" t="inlineStr">
        <is>
          <t>Energy</t>
        </is>
      </c>
      <c r="C147" s="85" t="n">
        <v>62</v>
      </c>
      <c r="D147" s="85" t="n">
        <v>62</v>
      </c>
      <c r="E147" s="85" t="n">
        <v>62</v>
      </c>
      <c r="F147" s="85" t="n">
        <v>62</v>
      </c>
      <c r="G147" s="85" t="n">
        <v>62</v>
      </c>
      <c r="H147" s="85" t="n">
        <v>62</v>
      </c>
      <c r="I147" s="85" t="n">
        <v>62</v>
      </c>
      <c r="J147" s="85" t="n">
        <v>62</v>
      </c>
      <c r="K147" s="85" t="n">
        <v>62</v>
      </c>
      <c r="L147" s="85" t="n">
        <v>62</v>
      </c>
      <c r="M147" s="85" t="n">
        <v>62</v>
      </c>
      <c r="N147" s="85" t="n">
        <v>62</v>
      </c>
      <c r="O147" s="84" t="n">
        <v>0</v>
      </c>
      <c r="P147" s="84" t="inlineStr">
        <is>
          <t>Flat</t>
        </is>
      </c>
    </row>
    <row r="148">
      <c r="A148" s="84" t="inlineStr">
        <is>
          <t>Rivian</t>
        </is>
      </c>
      <c r="B148" s="84" t="inlineStr">
        <is>
          <t>Automotive</t>
        </is>
      </c>
      <c r="C148" s="85" t="n">
        <v>50</v>
      </c>
      <c r="D148" s="85" t="n">
        <v>50</v>
      </c>
      <c r="E148" s="85" t="n">
        <v>50</v>
      </c>
      <c r="F148" s="85" t="n">
        <v>50</v>
      </c>
      <c r="G148" s="85" t="n">
        <v>50</v>
      </c>
      <c r="H148" s="85" t="n">
        <v>50</v>
      </c>
      <c r="I148" s="85" t="n">
        <v>50</v>
      </c>
      <c r="J148" s="85" t="n">
        <v>50</v>
      </c>
      <c r="K148" s="85" t="n">
        <v>50</v>
      </c>
      <c r="L148" s="85" t="n">
        <v>50</v>
      </c>
      <c r="M148" s="85" t="n">
        <v>50</v>
      </c>
      <c r="N148" s="85" t="n">
        <v>50</v>
      </c>
      <c r="O148" s="84" t="n">
        <v>0</v>
      </c>
      <c r="P148" s="84" t="inlineStr">
        <is>
          <t>Flat</t>
        </is>
      </c>
    </row>
    <row r="149">
      <c r="A149" s="84" t="inlineStr">
        <is>
          <t>Lucid Group</t>
        </is>
      </c>
      <c r="B149" s="84" t="inlineStr">
        <is>
          <t>Automotive</t>
        </is>
      </c>
      <c r="C149" s="85" t="n">
        <v>50</v>
      </c>
      <c r="D149" s="85" t="n">
        <v>50</v>
      </c>
      <c r="E149" s="85" t="n">
        <v>50</v>
      </c>
      <c r="F149" s="85" t="n">
        <v>50</v>
      </c>
      <c r="G149" s="85" t="n">
        <v>50</v>
      </c>
      <c r="H149" s="85" t="n">
        <v>50</v>
      </c>
      <c r="I149" s="85" t="n">
        <v>50</v>
      </c>
      <c r="J149" s="85" t="n">
        <v>50</v>
      </c>
      <c r="K149" s="85" t="n">
        <v>50</v>
      </c>
      <c r="L149" s="85" t="n">
        <v>50</v>
      </c>
      <c r="M149" s="85" t="n">
        <v>50</v>
      </c>
      <c r="N149" s="85" t="n">
        <v>50</v>
      </c>
      <c r="O149" s="84" t="n">
        <v>0</v>
      </c>
      <c r="P149" s="84" t="inlineStr">
        <is>
          <t>Flat</t>
        </is>
      </c>
    </row>
    <row r="150">
      <c r="A150" s="84" t="inlineStr">
        <is>
          <t>Wyndham Hotels &amp; Resorts</t>
        </is>
      </c>
      <c r="B150" s="84" t="inlineStr">
        <is>
          <t>Hospitality &amp; Travel</t>
        </is>
      </c>
      <c r="C150" s="85" t="n">
        <v>52</v>
      </c>
      <c r="D150" s="85" t="n">
        <v>52</v>
      </c>
      <c r="E150" s="85" t="n">
        <v>52</v>
      </c>
      <c r="F150" s="85" t="n">
        <v>52</v>
      </c>
      <c r="G150" s="85" t="n">
        <v>52</v>
      </c>
      <c r="H150" s="85" t="n">
        <v>52</v>
      </c>
      <c r="I150" s="85" t="n">
        <v>52</v>
      </c>
      <c r="J150" s="85" t="n">
        <v>52</v>
      </c>
      <c r="K150" s="85" t="n">
        <v>52</v>
      </c>
      <c r="L150" s="85" t="n">
        <v>52</v>
      </c>
      <c r="M150" s="85" t="n">
        <v>52</v>
      </c>
      <c r="N150" s="85" t="n">
        <v>52</v>
      </c>
      <c r="O150" s="84" t="n">
        <v>0</v>
      </c>
      <c r="P150" s="84" t="inlineStr">
        <is>
          <t>Flat</t>
        </is>
      </c>
    </row>
    <row r="151">
      <c r="A151" s="84" t="inlineStr">
        <is>
          <t>Hyatt Hotels</t>
        </is>
      </c>
      <c r="B151" s="84" t="inlineStr">
        <is>
          <t>Hospitality &amp; Travel</t>
        </is>
      </c>
      <c r="C151" s="85" t="n">
        <v>79</v>
      </c>
      <c r="D151" s="85" t="n">
        <v>79</v>
      </c>
      <c r="E151" s="85" t="n">
        <v>79</v>
      </c>
      <c r="F151" s="85" t="n">
        <v>79</v>
      </c>
      <c r="G151" s="85" t="n">
        <v>79</v>
      </c>
      <c r="H151" s="85" t="n">
        <v>79</v>
      </c>
      <c r="I151" s="85" t="n">
        <v>79</v>
      </c>
      <c r="J151" s="85" t="n">
        <v>79</v>
      </c>
      <c r="K151" s="85" t="n">
        <v>79</v>
      </c>
      <c r="L151" s="85" t="n">
        <v>79</v>
      </c>
      <c r="M151" s="85" t="n">
        <v>79</v>
      </c>
      <c r="N151" s="85" t="n">
        <v>79</v>
      </c>
      <c r="O151" s="84" t="n">
        <v>0</v>
      </c>
      <c r="P151" s="84" t="inlineStr">
        <is>
          <t>Flat</t>
        </is>
      </c>
    </row>
    <row r="152">
      <c r="A152" s="84" t="inlineStr">
        <is>
          <t>Southwest Airlines</t>
        </is>
      </c>
      <c r="B152" s="84" t="inlineStr">
        <is>
          <t>Hospitality &amp; Travel</t>
        </is>
      </c>
      <c r="C152" s="85" t="n">
        <v>67</v>
      </c>
      <c r="D152" s="85" t="n">
        <v>67</v>
      </c>
      <c r="E152" s="85" t="n">
        <v>67</v>
      </c>
      <c r="F152" s="85" t="n">
        <v>67</v>
      </c>
      <c r="G152" s="85" t="n">
        <v>67</v>
      </c>
      <c r="H152" s="85" t="n">
        <v>67</v>
      </c>
      <c r="I152" s="85" t="n">
        <v>67</v>
      </c>
      <c r="J152" s="85" t="n">
        <v>67</v>
      </c>
      <c r="K152" s="85" t="n">
        <v>67</v>
      </c>
      <c r="L152" s="85" t="n">
        <v>67</v>
      </c>
      <c r="M152" s="85" t="n">
        <v>67</v>
      </c>
      <c r="N152" s="85" t="n">
        <v>67</v>
      </c>
      <c r="O152" s="84" t="n">
        <v>0</v>
      </c>
      <c r="P152" s="84" t="inlineStr">
        <is>
          <t>Flat</t>
        </is>
      </c>
    </row>
    <row r="153">
      <c r="A153" s="84" t="inlineStr">
        <is>
          <t>JetBlue Airways</t>
        </is>
      </c>
      <c r="B153" s="84" t="inlineStr">
        <is>
          <t>Hospitality &amp; Travel</t>
        </is>
      </c>
      <c r="C153" s="85" t="n">
        <v>79</v>
      </c>
      <c r="D153" s="85" t="n">
        <v>79</v>
      </c>
      <c r="E153" s="85" t="n">
        <v>79</v>
      </c>
      <c r="F153" s="85" t="n">
        <v>79</v>
      </c>
      <c r="G153" s="85" t="n">
        <v>79</v>
      </c>
      <c r="H153" s="85" t="n">
        <v>79</v>
      </c>
      <c r="I153" s="85" t="n">
        <v>79</v>
      </c>
      <c r="J153" s="85" t="n">
        <v>79</v>
      </c>
      <c r="K153" s="85" t="n">
        <v>79</v>
      </c>
      <c r="L153" s="85" t="n">
        <v>79</v>
      </c>
      <c r="M153" s="85" t="n">
        <v>79</v>
      </c>
      <c r="N153" s="85" t="n">
        <v>79</v>
      </c>
      <c r="O153" s="84" t="n">
        <v>0</v>
      </c>
      <c r="P153" s="84" t="inlineStr">
        <is>
          <t>Flat</t>
        </is>
      </c>
    </row>
    <row r="154">
      <c r="A154" s="84" t="inlineStr">
        <is>
          <t>Royal Caribbean Group</t>
        </is>
      </c>
      <c r="B154" s="84" t="inlineStr">
        <is>
          <t>Hospitality &amp; Travel</t>
        </is>
      </c>
      <c r="C154" s="85" t="n">
        <v>52</v>
      </c>
      <c r="D154" s="85" t="n">
        <v>52</v>
      </c>
      <c r="E154" s="85" t="n">
        <v>52</v>
      </c>
      <c r="F154" s="85" t="n">
        <v>52</v>
      </c>
      <c r="G154" s="85" t="n">
        <v>52</v>
      </c>
      <c r="H154" s="85" t="n">
        <v>52</v>
      </c>
      <c r="I154" s="85" t="n">
        <v>52</v>
      </c>
      <c r="J154" s="85" t="n">
        <v>52</v>
      </c>
      <c r="K154" s="85" t="n">
        <v>52</v>
      </c>
      <c r="L154" s="85" t="n">
        <v>52</v>
      </c>
      <c r="M154" s="85" t="n">
        <v>52</v>
      </c>
      <c r="N154" s="85" t="n">
        <v>52</v>
      </c>
      <c r="O154" s="84" t="n">
        <v>0</v>
      </c>
      <c r="P154" s="84" t="inlineStr">
        <is>
          <t>Flat</t>
        </is>
      </c>
    </row>
    <row r="155">
      <c r="A155" s="84" t="inlineStr">
        <is>
          <t>Carnival Corporation</t>
        </is>
      </c>
      <c r="B155" s="84" t="inlineStr">
        <is>
          <t>Hospitality &amp; Travel</t>
        </is>
      </c>
      <c r="C155" s="85" t="n">
        <v>52</v>
      </c>
      <c r="D155" s="85" t="n">
        <v>52</v>
      </c>
      <c r="E155" s="85" t="n">
        <v>52</v>
      </c>
      <c r="F155" s="85" t="n">
        <v>52</v>
      </c>
      <c r="G155" s="85" t="n">
        <v>52</v>
      </c>
      <c r="H155" s="85" t="n">
        <v>52</v>
      </c>
      <c r="I155" s="85" t="n">
        <v>52</v>
      </c>
      <c r="J155" s="85" t="n">
        <v>52</v>
      </c>
      <c r="K155" s="85" t="n">
        <v>52</v>
      </c>
      <c r="L155" s="85" t="n">
        <v>52</v>
      </c>
      <c r="M155" s="85" t="n">
        <v>52</v>
      </c>
      <c r="N155" s="85" t="n">
        <v>52</v>
      </c>
      <c r="O155" s="84" t="n">
        <v>0</v>
      </c>
      <c r="P155" s="84" t="inlineStr">
        <is>
          <t>Flat</t>
        </is>
      </c>
    </row>
    <row r="156">
      <c r="A156" s="84" t="inlineStr">
        <is>
          <t>Kimberly-Clark</t>
        </is>
      </c>
      <c r="B156" s="84" t="inlineStr">
        <is>
          <t>Consumer Goods</t>
        </is>
      </c>
      <c r="C156" s="85" t="n">
        <v>74</v>
      </c>
      <c r="D156" s="85" t="n">
        <v>74</v>
      </c>
      <c r="E156" s="85" t="n">
        <v>74</v>
      </c>
      <c r="F156" s="85" t="n">
        <v>74</v>
      </c>
      <c r="G156" s="85" t="n">
        <v>74</v>
      </c>
      <c r="H156" s="85" t="n">
        <v>74</v>
      </c>
      <c r="I156" s="85" t="n">
        <v>74</v>
      </c>
      <c r="J156" s="85" t="n">
        <v>74</v>
      </c>
      <c r="K156" s="85" t="n">
        <v>74</v>
      </c>
      <c r="L156" s="85" t="n">
        <v>74</v>
      </c>
      <c r="M156" s="85" t="n">
        <v>74</v>
      </c>
      <c r="N156" s="85" t="n">
        <v>74</v>
      </c>
      <c r="O156" s="84" t="n">
        <v>0</v>
      </c>
      <c r="P156" s="84" t="inlineStr">
        <is>
          <t>Flat</t>
        </is>
      </c>
    </row>
    <row r="157">
      <c r="A157" s="84" t="inlineStr">
        <is>
          <t>Estée Lauder</t>
        </is>
      </c>
      <c r="B157" s="84" t="inlineStr">
        <is>
          <t>Consumer Goods</t>
        </is>
      </c>
      <c r="C157" s="85" t="n">
        <v>100</v>
      </c>
      <c r="D157" s="85" t="n">
        <v>100</v>
      </c>
      <c r="E157" s="85" t="n">
        <v>100</v>
      </c>
      <c r="F157" s="85" t="n">
        <v>100</v>
      </c>
      <c r="G157" s="85" t="n">
        <v>100</v>
      </c>
      <c r="H157" s="85" t="n">
        <v>100</v>
      </c>
      <c r="I157" s="85" t="n">
        <v>100</v>
      </c>
      <c r="J157" s="85" t="n">
        <v>100</v>
      </c>
      <c r="K157" s="85" t="n">
        <v>100</v>
      </c>
      <c r="L157" s="85" t="n">
        <v>100</v>
      </c>
      <c r="M157" s="85" t="n">
        <v>100</v>
      </c>
      <c r="N157" s="85" t="n">
        <v>100</v>
      </c>
      <c r="O157" s="84" t="n">
        <v>0</v>
      </c>
      <c r="P157" s="84" t="inlineStr">
        <is>
          <t>Flat</t>
        </is>
      </c>
    </row>
    <row r="158">
      <c r="A158" s="84" t="inlineStr">
        <is>
          <t>Clorox</t>
        </is>
      </c>
      <c r="B158" s="84" t="inlineStr">
        <is>
          <t>Consumer Goods</t>
        </is>
      </c>
      <c r="C158" s="85" t="n">
        <v>74</v>
      </c>
      <c r="D158" s="85" t="n">
        <v>74</v>
      </c>
      <c r="E158" s="85" t="n">
        <v>74</v>
      </c>
      <c r="F158" s="85" t="n">
        <v>74</v>
      </c>
      <c r="G158" s="85" t="n">
        <v>74</v>
      </c>
      <c r="H158" s="85" t="n">
        <v>74</v>
      </c>
      <c r="I158" s="85" t="n">
        <v>74</v>
      </c>
      <c r="J158" s="85" t="n">
        <v>74</v>
      </c>
      <c r="K158" s="85" t="n">
        <v>74</v>
      </c>
      <c r="L158" s="85" t="n">
        <v>74</v>
      </c>
      <c r="M158" s="85" t="n">
        <v>74</v>
      </c>
      <c r="N158" s="85" t="n">
        <v>74</v>
      </c>
      <c r="O158" s="84" t="n">
        <v>0</v>
      </c>
      <c r="P158" s="84" t="inlineStr">
        <is>
          <t>Flat</t>
        </is>
      </c>
    </row>
    <row r="159">
      <c r="A159" s="84" t="inlineStr">
        <is>
          <t>Northrop Grumman</t>
        </is>
      </c>
      <c r="B159" s="84" t="inlineStr">
        <is>
          <t>Defense &amp; Gov Contracting</t>
        </is>
      </c>
      <c r="C159" s="85" t="n">
        <v>67</v>
      </c>
      <c r="D159" s="85" t="n">
        <v>67</v>
      </c>
      <c r="E159" s="85" t="n">
        <v>67</v>
      </c>
      <c r="F159" s="85" t="n">
        <v>67</v>
      </c>
      <c r="G159" s="85" t="n">
        <v>67</v>
      </c>
      <c r="H159" s="85" t="n">
        <v>67</v>
      </c>
      <c r="I159" s="85" t="n">
        <v>67</v>
      </c>
      <c r="J159" s="85" t="n">
        <v>67</v>
      </c>
      <c r="K159" s="85" t="n">
        <v>67</v>
      </c>
      <c r="L159" s="85" t="n">
        <v>67</v>
      </c>
      <c r="M159" s="85" t="n">
        <v>35</v>
      </c>
      <c r="N159" s="85" t="n">
        <v>35</v>
      </c>
      <c r="O159" s="84" t="n">
        <v>-32</v>
      </c>
      <c r="P159" s="84" t="inlineStr">
        <is>
          <t>Fell from peak</t>
        </is>
      </c>
    </row>
    <row r="160">
      <c r="A160" s="84" t="inlineStr">
        <is>
          <t>General Dynamics</t>
        </is>
      </c>
      <c r="B160" s="84" t="inlineStr">
        <is>
          <t>Defense &amp; Gov Contracting</t>
        </is>
      </c>
      <c r="C160" s="85" t="n">
        <v>67</v>
      </c>
      <c r="D160" s="85" t="n">
        <v>67</v>
      </c>
      <c r="E160" s="85" t="n">
        <v>67</v>
      </c>
      <c r="F160" s="85" t="n">
        <v>67</v>
      </c>
      <c r="G160" s="85" t="n">
        <v>67</v>
      </c>
      <c r="H160" s="85" t="n">
        <v>67</v>
      </c>
      <c r="I160" s="85" t="n">
        <v>67</v>
      </c>
      <c r="J160" s="85" t="n">
        <v>67</v>
      </c>
      <c r="K160" s="85" t="n">
        <v>67</v>
      </c>
      <c r="L160" s="85" t="n">
        <v>67</v>
      </c>
      <c r="M160" s="85" t="n">
        <v>35</v>
      </c>
      <c r="N160" s="85" t="n">
        <v>35</v>
      </c>
      <c r="O160" s="84" t="n">
        <v>-32</v>
      </c>
      <c r="P160" s="84" t="inlineStr">
        <is>
          <t>Fell from peak</t>
        </is>
      </c>
    </row>
    <row r="161">
      <c r="A161" s="84" t="inlineStr">
        <is>
          <t>L3Harris Technologies</t>
        </is>
      </c>
      <c r="B161" s="84" t="inlineStr">
        <is>
          <t>Defense &amp; Gov Contracting</t>
        </is>
      </c>
      <c r="C161" s="85" t="n">
        <v>67</v>
      </c>
      <c r="D161" s="85" t="n">
        <v>67</v>
      </c>
      <c r="E161" s="85" t="n">
        <v>67</v>
      </c>
      <c r="F161" s="85" t="n">
        <v>67</v>
      </c>
      <c r="G161" s="85" t="n">
        <v>67</v>
      </c>
      <c r="H161" s="85" t="n">
        <v>67</v>
      </c>
      <c r="I161" s="85" t="n">
        <v>67</v>
      </c>
      <c r="J161" s="85" t="n">
        <v>67</v>
      </c>
      <c r="K161" s="85" t="n">
        <v>67</v>
      </c>
      <c r="L161" s="85" t="n">
        <v>67</v>
      </c>
      <c r="M161" s="85" t="n">
        <v>35</v>
      </c>
      <c r="N161" s="85" t="n">
        <v>35</v>
      </c>
      <c r="O161" s="84" t="n">
        <v>-32</v>
      </c>
      <c r="P161" s="84" t="inlineStr">
        <is>
          <t>Fell from peak</t>
        </is>
      </c>
    </row>
    <row r="162">
      <c r="A162" s="84" t="inlineStr">
        <is>
          <t>3M</t>
        </is>
      </c>
      <c r="B162" s="84" t="inlineStr">
        <is>
          <t>Industrial &amp; Logistics</t>
        </is>
      </c>
      <c r="C162" s="85" t="n">
        <v>67</v>
      </c>
      <c r="D162" s="85" t="n">
        <v>67</v>
      </c>
      <c r="E162" s="85" t="n">
        <v>67</v>
      </c>
      <c r="F162" s="85" t="n">
        <v>67</v>
      </c>
      <c r="G162" s="85" t="n">
        <v>67</v>
      </c>
      <c r="H162" s="85" t="n">
        <v>67</v>
      </c>
      <c r="I162" s="85" t="n">
        <v>67</v>
      </c>
      <c r="J162" s="85" t="n">
        <v>67</v>
      </c>
      <c r="K162" s="85" t="n">
        <v>67</v>
      </c>
      <c r="L162" s="85" t="n">
        <v>67</v>
      </c>
      <c r="M162" s="85" t="n">
        <v>35</v>
      </c>
      <c r="N162" s="85" t="n">
        <v>35</v>
      </c>
      <c r="O162" s="84" t="n">
        <v>-32</v>
      </c>
      <c r="P162" s="84" t="inlineStr">
        <is>
          <t>Fell from peak</t>
        </is>
      </c>
    </row>
    <row r="163">
      <c r="A163" s="84" t="inlineStr">
        <is>
          <t>Honeywell</t>
        </is>
      </c>
      <c r="B163" s="84" t="inlineStr">
        <is>
          <t>Industrial &amp; Logistics</t>
        </is>
      </c>
      <c r="C163" s="85" t="n">
        <v>52</v>
      </c>
      <c r="D163" s="85" t="n">
        <v>52</v>
      </c>
      <c r="E163" s="85" t="n">
        <v>52</v>
      </c>
      <c r="F163" s="85" t="n">
        <v>52</v>
      </c>
      <c r="G163" s="85" t="n">
        <v>52</v>
      </c>
      <c r="H163" s="85" t="n">
        <v>52</v>
      </c>
      <c r="I163" s="85" t="n">
        <v>52</v>
      </c>
      <c r="J163" s="85" t="n">
        <v>52</v>
      </c>
      <c r="K163" s="85" t="n">
        <v>52</v>
      </c>
      <c r="L163" s="85" t="n">
        <v>52</v>
      </c>
      <c r="M163" s="85" t="n">
        <v>52</v>
      </c>
      <c r="N163" s="85" t="n">
        <v>52</v>
      </c>
      <c r="O163" s="84" t="n">
        <v>0</v>
      </c>
      <c r="P163" s="84" t="inlineStr">
        <is>
          <t>Flat</t>
        </is>
      </c>
    </row>
    <row r="164">
      <c r="A164" s="84" t="inlineStr">
        <is>
          <t>General Electric (GE Aerospace)</t>
        </is>
      </c>
      <c r="B164" s="84" t="inlineStr">
        <is>
          <t>Industrial &amp; Logistics</t>
        </is>
      </c>
      <c r="C164" s="85" t="n">
        <v>52</v>
      </c>
      <c r="D164" s="85" t="n">
        <v>52</v>
      </c>
      <c r="E164" s="85" t="n">
        <v>52</v>
      </c>
      <c r="F164" s="85" t="n">
        <v>52</v>
      </c>
      <c r="G164" s="85" t="n">
        <v>52</v>
      </c>
      <c r="H164" s="85" t="n">
        <v>52</v>
      </c>
      <c r="I164" s="85" t="n">
        <v>52</v>
      </c>
      <c r="J164" s="85" t="n">
        <v>52</v>
      </c>
      <c r="K164" s="85" t="n">
        <v>52</v>
      </c>
      <c r="L164" s="85" t="n">
        <v>52</v>
      </c>
      <c r="M164" s="85" t="n">
        <v>52</v>
      </c>
      <c r="N164" s="85" t="n">
        <v>52</v>
      </c>
      <c r="O164" s="84" t="n">
        <v>0</v>
      </c>
      <c r="P164" s="84" t="inlineStr">
        <is>
          <t>Flat</t>
        </is>
      </c>
    </row>
    <row r="165">
      <c r="A165" s="84" t="inlineStr">
        <is>
          <t>Caterpillar</t>
        </is>
      </c>
      <c r="B165" s="84" t="inlineStr">
        <is>
          <t>Industrial &amp; Logistics</t>
        </is>
      </c>
      <c r="C165" s="85" t="n">
        <v>67</v>
      </c>
      <c r="D165" s="85" t="n">
        <v>67</v>
      </c>
      <c r="E165" s="85" t="n">
        <v>67</v>
      </c>
      <c r="F165" s="85" t="n">
        <v>67</v>
      </c>
      <c r="G165" s="85" t="n">
        <v>67</v>
      </c>
      <c r="H165" s="85" t="n">
        <v>67</v>
      </c>
      <c r="I165" s="85" t="n">
        <v>67</v>
      </c>
      <c r="J165" s="85" t="n">
        <v>67</v>
      </c>
      <c r="K165" s="85" t="n">
        <v>67</v>
      </c>
      <c r="L165" s="85" t="n">
        <v>35</v>
      </c>
      <c r="M165" s="85" t="n">
        <v>35</v>
      </c>
      <c r="N165" s="85" t="n">
        <v>35</v>
      </c>
      <c r="O165" s="84" t="n">
        <v>-32</v>
      </c>
      <c r="P165" s="84" t="inlineStr">
        <is>
          <t>Fell from peak</t>
        </is>
      </c>
    </row>
    <row r="166">
      <c r="A166" s="84" t="inlineStr">
        <is>
          <t>Deere &amp; Company</t>
        </is>
      </c>
      <c r="B166" s="84" t="inlineStr">
        <is>
          <t>Industrial &amp; Logistics</t>
        </is>
      </c>
      <c r="C166" s="85" t="n">
        <v>79</v>
      </c>
      <c r="D166" s="85" t="n">
        <v>79</v>
      </c>
      <c r="E166" s="85" t="n">
        <v>79</v>
      </c>
      <c r="F166" s="85" t="n">
        <v>79</v>
      </c>
      <c r="G166" s="85" t="n">
        <v>79</v>
      </c>
      <c r="H166" s="85" t="n">
        <v>79</v>
      </c>
      <c r="I166" s="85" t="n">
        <v>79</v>
      </c>
      <c r="J166" s="85" t="n">
        <v>79</v>
      </c>
      <c r="K166" s="85" t="n">
        <v>79</v>
      </c>
      <c r="L166" s="85" t="n">
        <v>25</v>
      </c>
      <c r="M166" s="85" t="n">
        <v>25</v>
      </c>
      <c r="N166" s="85" t="n">
        <v>25</v>
      </c>
      <c r="O166" s="84" t="n">
        <v>-54</v>
      </c>
      <c r="P166" s="84" t="inlineStr">
        <is>
          <t>Fell from peak</t>
        </is>
      </c>
    </row>
    <row r="167">
      <c r="A167" s="84" t="inlineStr">
        <is>
          <t>UPS</t>
        </is>
      </c>
      <c r="B167" s="84" t="inlineStr">
        <is>
          <t>Industrial &amp; Logistics</t>
        </is>
      </c>
      <c r="C167" s="85" t="n">
        <v>67</v>
      </c>
      <c r="D167" s="85" t="n">
        <v>67</v>
      </c>
      <c r="E167" s="85" t="n">
        <v>67</v>
      </c>
      <c r="F167" s="85" t="n">
        <v>67</v>
      </c>
      <c r="G167" s="85" t="n">
        <v>67</v>
      </c>
      <c r="H167" s="85" t="n">
        <v>67</v>
      </c>
      <c r="I167" s="85" t="n">
        <v>67</v>
      </c>
      <c r="J167" s="85" t="n">
        <v>67</v>
      </c>
      <c r="K167" s="85" t="n">
        <v>67</v>
      </c>
      <c r="L167" s="85" t="n">
        <v>35</v>
      </c>
      <c r="M167" s="85" t="n">
        <v>35</v>
      </c>
      <c r="N167" s="85" t="n">
        <v>35</v>
      </c>
      <c r="O167" s="84" t="n">
        <v>-32</v>
      </c>
      <c r="P167" s="84" t="inlineStr">
        <is>
          <t>Fell from peak</t>
        </is>
      </c>
    </row>
    <row r="168">
      <c r="A168" s="84" t="inlineStr">
        <is>
          <t>FedEx</t>
        </is>
      </c>
      <c r="B168" s="84" t="inlineStr">
        <is>
          <t>Industrial &amp; Logistics</t>
        </is>
      </c>
      <c r="C168" s="85" t="n">
        <v>67</v>
      </c>
      <c r="D168" s="85" t="n">
        <v>67</v>
      </c>
      <c r="E168" s="85" t="n">
        <v>67</v>
      </c>
      <c r="F168" s="85" t="n">
        <v>67</v>
      </c>
      <c r="G168" s="85" t="n">
        <v>67</v>
      </c>
      <c r="H168" s="85" t="n">
        <v>67</v>
      </c>
      <c r="I168" s="85" t="n">
        <v>37</v>
      </c>
      <c r="J168" s="85" t="n">
        <v>37</v>
      </c>
      <c r="K168" s="85" t="n">
        <v>37</v>
      </c>
      <c r="L168" s="85" t="n">
        <v>37</v>
      </c>
      <c r="M168" s="85" t="n">
        <v>37</v>
      </c>
      <c r="N168" s="85" t="n">
        <v>37</v>
      </c>
      <c r="O168" s="84" t="n">
        <v>-30</v>
      </c>
      <c r="P168" s="84" t="inlineStr">
        <is>
          <t>Fell from peak</t>
        </is>
      </c>
    </row>
    <row r="169">
      <c r="A169" s="84" t="inlineStr">
        <is>
          <t>Sirius XM</t>
        </is>
      </c>
      <c r="B169" s="84" t="inlineStr">
        <is>
          <t>Media &amp; Entertainment</t>
        </is>
      </c>
      <c r="C169" s="85" t="n">
        <v>50</v>
      </c>
      <c r="D169" s="85" t="n">
        <v>50</v>
      </c>
      <c r="E169" s="85" t="n">
        <v>50</v>
      </c>
      <c r="F169" s="85" t="n">
        <v>50</v>
      </c>
      <c r="G169" s="85" t="n">
        <v>50</v>
      </c>
      <c r="H169" s="85" t="n">
        <v>50</v>
      </c>
      <c r="I169" s="85" t="n">
        <v>50</v>
      </c>
      <c r="J169" s="85" t="n">
        <v>50</v>
      </c>
      <c r="K169" s="85" t="n">
        <v>50</v>
      </c>
      <c r="L169" s="85" t="n">
        <v>58</v>
      </c>
      <c r="M169" s="85" t="n">
        <v>58</v>
      </c>
      <c r="N169" s="85" t="n">
        <v>58</v>
      </c>
      <c r="O169" s="84" t="n">
        <v>8</v>
      </c>
      <c r="P169" s="84" t="inlineStr">
        <is>
          <t>Rising</t>
        </is>
      </c>
    </row>
    <row r="170">
      <c r="A170" s="84" t="inlineStr">
        <is>
          <t>Fox Corporation</t>
        </is>
      </c>
      <c r="B170" s="84" t="inlineStr">
        <is>
          <t>Media &amp; Entertainment</t>
        </is>
      </c>
      <c r="C170" s="85" t="n">
        <v>65</v>
      </c>
      <c r="D170" s="85" t="n">
        <v>65</v>
      </c>
      <c r="E170" s="85" t="n">
        <v>65</v>
      </c>
      <c r="F170" s="85" t="n">
        <v>65</v>
      </c>
      <c r="G170" s="85" t="n">
        <v>65</v>
      </c>
      <c r="H170" s="85" t="n">
        <v>65</v>
      </c>
      <c r="I170" s="85" t="n">
        <v>65</v>
      </c>
      <c r="J170" s="85" t="n">
        <v>65</v>
      </c>
      <c r="K170" s="85" t="n">
        <v>65</v>
      </c>
      <c r="L170" s="85" t="n">
        <v>47</v>
      </c>
      <c r="M170" s="85" t="n">
        <v>47</v>
      </c>
      <c r="N170" s="85" t="n">
        <v>47</v>
      </c>
      <c r="O170" s="84" t="n">
        <v>-18</v>
      </c>
      <c r="P170" s="84" t="inlineStr">
        <is>
          <t>Fell from peak</t>
        </is>
      </c>
    </row>
    <row r="171">
      <c r="A171" s="84" t="inlineStr">
        <is>
          <t>Tractor Supply Co.</t>
        </is>
      </c>
      <c r="B171" s="84" t="inlineStr">
        <is>
          <t>Retail — Big Box</t>
        </is>
      </c>
      <c r="C171" s="85" t="n">
        <v>82</v>
      </c>
      <c r="D171" s="85" t="n">
        <v>82</v>
      </c>
      <c r="E171" s="85" t="n">
        <v>82</v>
      </c>
      <c r="F171" s="85" t="n">
        <v>82</v>
      </c>
      <c r="G171" s="85" t="n">
        <v>82</v>
      </c>
      <c r="H171" s="85" t="n">
        <v>82</v>
      </c>
      <c r="I171" s="85" t="n">
        <v>82</v>
      </c>
      <c r="J171" s="85" t="n">
        <v>82</v>
      </c>
      <c r="K171" s="85" t="n">
        <v>82</v>
      </c>
      <c r="L171" s="85" t="n">
        <v>28</v>
      </c>
      <c r="M171" s="85" t="n">
        <v>28</v>
      </c>
      <c r="N171" s="85" t="n">
        <v>28</v>
      </c>
      <c r="O171" s="84" t="n">
        <v>-54</v>
      </c>
      <c r="P171" s="84" t="inlineStr">
        <is>
          <t>Fell from peak</t>
        </is>
      </c>
    </row>
    <row r="172">
      <c r="A172" s="84" t="inlineStr">
        <is>
          <t>Dick's Sporting Goods</t>
        </is>
      </c>
      <c r="B172" s="84" t="inlineStr">
        <is>
          <t>Retail — Big Box</t>
        </is>
      </c>
      <c r="C172" s="85" t="n">
        <v>52</v>
      </c>
      <c r="D172" s="85" t="n">
        <v>52</v>
      </c>
      <c r="E172" s="85" t="n">
        <v>52</v>
      </c>
      <c r="F172" s="85" t="n">
        <v>52</v>
      </c>
      <c r="G172" s="85" t="n">
        <v>52</v>
      </c>
      <c r="H172" s="85" t="n">
        <v>52</v>
      </c>
      <c r="I172" s="85" t="n">
        <v>52</v>
      </c>
      <c r="J172" s="85" t="n">
        <v>52</v>
      </c>
      <c r="K172" s="85" t="n">
        <v>52</v>
      </c>
      <c r="L172" s="85" t="n">
        <v>52</v>
      </c>
      <c r="M172" s="85" t="n">
        <v>52</v>
      </c>
      <c r="N172" s="85" t="n">
        <v>52</v>
      </c>
      <c r="O172" s="84" t="n">
        <v>0</v>
      </c>
      <c r="P172" s="84" t="inlineStr">
        <is>
          <t>Flat</t>
        </is>
      </c>
    </row>
    <row r="173">
      <c r="A173" s="84" t="inlineStr">
        <is>
          <t>AutoZone</t>
        </is>
      </c>
      <c r="B173" s="84" t="inlineStr">
        <is>
          <t>Retail — Automotive</t>
        </is>
      </c>
      <c r="C173" s="85" t="n">
        <v>50</v>
      </c>
      <c r="D173" s="85" t="n">
        <v>50</v>
      </c>
      <c r="E173" s="85" t="n">
        <v>50</v>
      </c>
      <c r="F173" s="85" t="n">
        <v>50</v>
      </c>
      <c r="G173" s="85" t="n">
        <v>50</v>
      </c>
      <c r="H173" s="85" t="n">
        <v>50</v>
      </c>
      <c r="I173" s="85" t="n">
        <v>50</v>
      </c>
      <c r="J173" s="85" t="n">
        <v>50</v>
      </c>
      <c r="K173" s="85" t="n">
        <v>50</v>
      </c>
      <c r="L173" s="85" t="n">
        <v>50</v>
      </c>
      <c r="M173" s="85" t="n">
        <v>50</v>
      </c>
      <c r="N173" s="85" t="n">
        <v>50</v>
      </c>
      <c r="O173" s="84" t="n">
        <v>0</v>
      </c>
      <c r="P173" s="84" t="inlineStr">
        <is>
          <t>Flat</t>
        </is>
      </c>
    </row>
    <row r="174">
      <c r="A174" s="84" t="inlineStr">
        <is>
          <t>Bath &amp; Body Works</t>
        </is>
      </c>
      <c r="B174" s="84" t="inlineStr">
        <is>
          <t>Retail / Consumer Goods</t>
        </is>
      </c>
      <c r="C174" s="85" t="n">
        <v>55</v>
      </c>
      <c r="D174" s="85" t="n">
        <v>55</v>
      </c>
      <c r="E174" s="85" t="n">
        <v>55</v>
      </c>
      <c r="F174" s="85" t="n">
        <v>55</v>
      </c>
      <c r="G174" s="85" t="n">
        <v>55</v>
      </c>
      <c r="H174" s="85" t="n">
        <v>55</v>
      </c>
      <c r="I174" s="85" t="n">
        <v>61</v>
      </c>
      <c r="J174" s="85" t="n">
        <v>61</v>
      </c>
      <c r="K174" s="85" t="n">
        <v>61</v>
      </c>
      <c r="L174" s="85" t="n">
        <v>61</v>
      </c>
      <c r="M174" s="85" t="n">
        <v>61</v>
      </c>
      <c r="N174" s="85" t="n">
        <v>61</v>
      </c>
      <c r="O174" s="84" t="n">
        <v>6</v>
      </c>
      <c r="P174" s="84" t="inlineStr">
        <is>
          <t>Rising</t>
        </is>
      </c>
    </row>
    <row r="175">
      <c r="A175" s="84" t="inlineStr">
        <is>
          <t>Publix</t>
        </is>
      </c>
      <c r="B175" s="84" t="inlineStr">
        <is>
          <t>Retail — Grocery</t>
        </is>
      </c>
      <c r="C175" s="85" t="n">
        <v>50</v>
      </c>
      <c r="D175" s="85" t="n">
        <v>50</v>
      </c>
      <c r="E175" s="85" t="n">
        <v>50</v>
      </c>
      <c r="F175" s="85" t="n">
        <v>40</v>
      </c>
      <c r="G175" s="85" t="n">
        <v>40</v>
      </c>
      <c r="H175" s="85" t="n">
        <v>40</v>
      </c>
      <c r="I175" s="85" t="n">
        <v>40</v>
      </c>
      <c r="J175" s="85" t="n">
        <v>10</v>
      </c>
      <c r="K175" s="85" t="n">
        <v>10</v>
      </c>
      <c r="L175" s="85" t="n">
        <v>10</v>
      </c>
      <c r="M175" s="85" t="n">
        <v>10</v>
      </c>
      <c r="N175" s="85" t="n">
        <v>10</v>
      </c>
      <c r="O175" s="84" t="n">
        <v>-40</v>
      </c>
      <c r="P175" s="84" t="inlineStr">
        <is>
          <t>Fell from peak</t>
        </is>
      </c>
    </row>
    <row r="176">
      <c r="A176" s="84" t="inlineStr">
        <is>
          <t>Hobby Lobby</t>
        </is>
      </c>
      <c r="B176" s="84" t="inlineStr">
        <is>
          <t>Retail — Big Box / Crafts</t>
        </is>
      </c>
      <c r="C176" s="85" t="n">
        <v>5</v>
      </c>
      <c r="D176" s="85" t="n">
        <v>5</v>
      </c>
      <c r="E176" s="85" t="n">
        <v>5</v>
      </c>
      <c r="F176" s="85" t="n">
        <v>5</v>
      </c>
      <c r="G176" s="85" t="n">
        <v>5</v>
      </c>
      <c r="H176" s="85" t="n">
        <v>5</v>
      </c>
      <c r="I176" s="85" t="n">
        <v>5</v>
      </c>
      <c r="J176" s="85" t="n">
        <v>5</v>
      </c>
      <c r="K176" s="85" t="n">
        <v>5</v>
      </c>
      <c r="L176" s="85" t="n">
        <v>5</v>
      </c>
      <c r="M176" s="85" t="n">
        <v>5</v>
      </c>
      <c r="N176" s="85" t="n">
        <v>5</v>
      </c>
      <c r="O176" s="84" t="n">
        <v>0</v>
      </c>
      <c r="P176" s="84" t="inlineStr">
        <is>
          <t>Flat</t>
        </is>
      </c>
    </row>
    <row r="177">
      <c r="A177" s="84" t="inlineStr">
        <is>
          <t>Ross Stores / Ross Dress for Less</t>
        </is>
      </c>
      <c r="B177" s="84" t="inlineStr">
        <is>
          <t>Retail / Apparel Retail</t>
        </is>
      </c>
      <c r="C177" s="85" t="n">
        <v>50</v>
      </c>
      <c r="D177" s="85" t="n">
        <v>50</v>
      </c>
      <c r="E177" s="85" t="n">
        <v>50</v>
      </c>
      <c r="F177" s="85" t="n">
        <v>50</v>
      </c>
      <c r="G177" s="85" t="n">
        <v>50</v>
      </c>
      <c r="H177" s="85" t="n">
        <v>50</v>
      </c>
      <c r="I177" s="85" t="n">
        <v>50</v>
      </c>
      <c r="J177" s="85" t="n">
        <v>50</v>
      </c>
      <c r="K177" s="85" t="n">
        <v>50</v>
      </c>
      <c r="L177" s="85" t="n">
        <v>50</v>
      </c>
      <c r="M177" s="85" t="n">
        <v>50</v>
      </c>
      <c r="N177" s="85" t="n">
        <v>50</v>
      </c>
      <c r="O177" s="84" t="n">
        <v>0</v>
      </c>
      <c r="P177" s="84" t="inlineStr">
        <is>
          <t>Flat</t>
        </is>
      </c>
    </row>
    <row r="178">
      <c r="A178" s="84" t="inlineStr">
        <is>
          <t>Burlington Stores</t>
        </is>
      </c>
      <c r="B178" s="84" t="inlineStr">
        <is>
          <t>Retail / Apparel Retail</t>
        </is>
      </c>
      <c r="C178" s="85" t="n">
        <v>50</v>
      </c>
      <c r="D178" s="85" t="n">
        <v>50</v>
      </c>
      <c r="E178" s="85" t="n">
        <v>50</v>
      </c>
      <c r="F178" s="85" t="n">
        <v>50</v>
      </c>
      <c r="G178" s="85" t="n">
        <v>50</v>
      </c>
      <c r="H178" s="85" t="n">
        <v>50</v>
      </c>
      <c r="I178" s="85" t="n">
        <v>50</v>
      </c>
      <c r="J178" s="85" t="n">
        <v>50</v>
      </c>
      <c r="K178" s="85" t="n">
        <v>50</v>
      </c>
      <c r="L178" s="85" t="n">
        <v>50</v>
      </c>
      <c r="M178" s="85" t="n">
        <v>50</v>
      </c>
      <c r="N178" s="85" t="n">
        <v>50</v>
      </c>
      <c r="O178" s="84" t="n">
        <v>0</v>
      </c>
      <c r="P178" s="84" t="inlineStr">
        <is>
          <t>Flat</t>
        </is>
      </c>
    </row>
    <row r="179">
      <c r="A179" s="84" t="inlineStr">
        <is>
          <t>Ulta Beauty</t>
        </is>
      </c>
      <c r="B179" s="84" t="inlineStr">
        <is>
          <t>Retail / Beauty</t>
        </is>
      </c>
      <c r="C179" s="85" t="n">
        <v>52</v>
      </c>
      <c r="D179" s="85" t="n">
        <v>52</v>
      </c>
      <c r="E179" s="85" t="n">
        <v>52</v>
      </c>
      <c r="F179" s="85" t="n">
        <v>58</v>
      </c>
      <c r="G179" s="85" t="n">
        <v>58</v>
      </c>
      <c r="H179" s="85" t="n">
        <v>58</v>
      </c>
      <c r="I179" s="85" t="n">
        <v>58</v>
      </c>
      <c r="J179" s="85" t="n">
        <v>66</v>
      </c>
      <c r="K179" s="85" t="n">
        <v>66</v>
      </c>
      <c r="L179" s="85" t="n">
        <v>66</v>
      </c>
      <c r="M179" s="85" t="n">
        <v>66</v>
      </c>
      <c r="N179" s="85" t="n">
        <v>66</v>
      </c>
      <c r="O179" s="84" t="n">
        <v>14</v>
      </c>
      <c r="P179" s="84" t="inlineStr">
        <is>
          <t>Rising</t>
        </is>
      </c>
    </row>
    <row r="180">
      <c r="A180" s="84" t="inlineStr">
        <is>
          <t>Wayfair</t>
        </is>
      </c>
      <c r="B180" s="84" t="inlineStr">
        <is>
          <t>Retail / E-commerce</t>
        </is>
      </c>
      <c r="C180" s="85" t="n">
        <v>52</v>
      </c>
      <c r="D180" s="85" t="n">
        <v>52</v>
      </c>
      <c r="E180" s="85" t="n">
        <v>52</v>
      </c>
      <c r="F180" s="85" t="n">
        <v>52</v>
      </c>
      <c r="G180" s="85" t="n">
        <v>52</v>
      </c>
      <c r="H180" s="85" t="n">
        <v>52</v>
      </c>
      <c r="I180" s="85" t="n">
        <v>52</v>
      </c>
      <c r="J180" s="85" t="n">
        <v>52</v>
      </c>
      <c r="K180" s="85" t="n">
        <v>52</v>
      </c>
      <c r="L180" s="85" t="n">
        <v>52</v>
      </c>
      <c r="M180" s="85" t="n">
        <v>52</v>
      </c>
      <c r="N180" s="85" t="n">
        <v>52</v>
      </c>
      <c r="O180" s="84" t="n">
        <v>0</v>
      </c>
      <c r="P180" s="84" t="inlineStr">
        <is>
          <t>Flat</t>
        </is>
      </c>
    </row>
    <row r="181">
      <c r="A181" s="84" t="inlineStr">
        <is>
          <t>Chewy</t>
        </is>
      </c>
      <c r="B181" s="84" t="inlineStr">
        <is>
          <t>Retail / E-commerce / Pet</t>
        </is>
      </c>
      <c r="C181" s="85" t="n">
        <v>50</v>
      </c>
      <c r="D181" s="85" t="n">
        <v>50</v>
      </c>
      <c r="E181" s="85" t="n">
        <v>50</v>
      </c>
      <c r="F181" s="85" t="n">
        <v>50</v>
      </c>
      <c r="G181" s="85" t="n">
        <v>50</v>
      </c>
      <c r="H181" s="85" t="n">
        <v>50</v>
      </c>
      <c r="I181" s="85" t="n">
        <v>50</v>
      </c>
      <c r="J181" s="85" t="n">
        <v>50</v>
      </c>
      <c r="K181" s="85" t="n">
        <v>50</v>
      </c>
      <c r="L181" s="85" t="n">
        <v>50</v>
      </c>
      <c r="M181" s="85" t="n">
        <v>50</v>
      </c>
      <c r="N181" s="85" t="n">
        <v>50</v>
      </c>
      <c r="O181" s="84" t="n">
        <v>0</v>
      </c>
      <c r="P181" s="84" t="inlineStr">
        <is>
          <t>Flat</t>
        </is>
      </c>
    </row>
    <row r="182">
      <c r="A182" s="84" t="inlineStr">
        <is>
          <t>Lululemon</t>
        </is>
      </c>
      <c r="B182" s="84" t="inlineStr">
        <is>
          <t>Fashion &amp; Apparel</t>
        </is>
      </c>
      <c r="C182" s="85" t="n">
        <v>55</v>
      </c>
      <c r="D182" s="85" t="n">
        <v>55</v>
      </c>
      <c r="E182" s="85" t="n">
        <v>55</v>
      </c>
      <c r="F182" s="85" t="n">
        <v>55</v>
      </c>
      <c r="G182" s="85" t="n">
        <v>55</v>
      </c>
      <c r="H182" s="85" t="n">
        <v>55</v>
      </c>
      <c r="I182" s="85" t="n">
        <v>55</v>
      </c>
      <c r="J182" s="85" t="n">
        <v>55</v>
      </c>
      <c r="K182" s="85" t="n">
        <v>55</v>
      </c>
      <c r="L182" s="85" t="n">
        <v>55</v>
      </c>
      <c r="M182" s="85" t="n">
        <v>55</v>
      </c>
      <c r="N182" s="85" t="n">
        <v>55</v>
      </c>
      <c r="O182" s="84" t="n">
        <v>0</v>
      </c>
      <c r="P182" s="84" t="inlineStr">
        <is>
          <t>Flat</t>
        </is>
      </c>
    </row>
    <row r="183">
      <c r="A183" s="84" t="inlineStr">
        <is>
          <t>Under Armour</t>
        </is>
      </c>
      <c r="B183" s="84" t="inlineStr">
        <is>
          <t>Fashion &amp; Apparel</t>
        </is>
      </c>
      <c r="C183" s="85" t="n">
        <v>52</v>
      </c>
      <c r="D183" s="85" t="n">
        <v>52</v>
      </c>
      <c r="E183" s="85" t="n">
        <v>52</v>
      </c>
      <c r="F183" s="85" t="n">
        <v>52</v>
      </c>
      <c r="G183" s="85" t="n">
        <v>52</v>
      </c>
      <c r="H183" s="85" t="n">
        <v>52</v>
      </c>
      <c r="I183" s="85" t="n">
        <v>52</v>
      </c>
      <c r="J183" s="85" t="n">
        <v>52</v>
      </c>
      <c r="K183" s="85" t="n">
        <v>52</v>
      </c>
      <c r="L183" s="85" t="n">
        <v>52</v>
      </c>
      <c r="M183" s="85" t="n">
        <v>52</v>
      </c>
      <c r="N183" s="85" t="n">
        <v>52</v>
      </c>
      <c r="O183" s="84" t="n">
        <v>0</v>
      </c>
      <c r="P183" s="84" t="inlineStr">
        <is>
          <t>Flat</t>
        </is>
      </c>
    </row>
    <row r="184">
      <c r="A184" s="84" t="inlineStr">
        <is>
          <t>VF Corp.</t>
        </is>
      </c>
      <c r="B184" s="84" t="inlineStr">
        <is>
          <t>Fashion &amp; Apparel</t>
        </is>
      </c>
      <c r="C184" s="85" t="n">
        <v>55</v>
      </c>
      <c r="D184" s="85" t="n">
        <v>55</v>
      </c>
      <c r="E184" s="85" t="n">
        <v>61</v>
      </c>
      <c r="F184" s="85" t="n">
        <v>61</v>
      </c>
      <c r="G184" s="85" t="n">
        <v>61</v>
      </c>
      <c r="H184" s="85" t="n">
        <v>61</v>
      </c>
      <c r="I184" s="85" t="n">
        <v>61</v>
      </c>
      <c r="J184" s="85" t="n">
        <v>61</v>
      </c>
      <c r="K184" s="85" t="n">
        <v>69</v>
      </c>
      <c r="L184" s="85" t="n">
        <v>69</v>
      </c>
      <c r="M184" s="85" t="n">
        <v>69</v>
      </c>
      <c r="N184" s="85" t="n">
        <v>69</v>
      </c>
      <c r="O184" s="84" t="n">
        <v>14</v>
      </c>
      <c r="P184" s="84" t="inlineStr">
        <is>
          <t>Rising</t>
        </is>
      </c>
    </row>
    <row r="185">
      <c r="A185" s="84" t="inlineStr">
        <is>
          <t>Tapestry</t>
        </is>
      </c>
      <c r="B185" s="84" t="inlineStr">
        <is>
          <t>Fashion &amp; Apparel</t>
        </is>
      </c>
      <c r="C185" s="85" t="n">
        <v>55</v>
      </c>
      <c r="D185" s="85" t="n">
        <v>55</v>
      </c>
      <c r="E185" s="85" t="n">
        <v>55</v>
      </c>
      <c r="F185" s="85" t="n">
        <v>55</v>
      </c>
      <c r="G185" s="85" t="n">
        <v>65</v>
      </c>
      <c r="H185" s="85" t="n">
        <v>65</v>
      </c>
      <c r="I185" s="85" t="n">
        <v>65</v>
      </c>
      <c r="J185" s="85" t="n">
        <v>65</v>
      </c>
      <c r="K185" s="85" t="n">
        <v>65</v>
      </c>
      <c r="L185" s="85" t="n">
        <v>65</v>
      </c>
      <c r="M185" s="85" t="n">
        <v>65</v>
      </c>
      <c r="N185" s="85" t="n">
        <v>65</v>
      </c>
      <c r="O185" s="84" t="n">
        <v>10</v>
      </c>
      <c r="P185" s="84" t="inlineStr">
        <is>
          <t>Rising</t>
        </is>
      </c>
    </row>
    <row r="186">
      <c r="A186" s="84" t="inlineStr">
        <is>
          <t>Wendy's</t>
        </is>
      </c>
      <c r="B186" s="84" t="inlineStr">
        <is>
          <t>Food &amp; Beverage</t>
        </is>
      </c>
      <c r="C186" s="85" t="n">
        <v>52</v>
      </c>
      <c r="D186" s="85" t="n">
        <v>52</v>
      </c>
      <c r="E186" s="85" t="n">
        <v>52</v>
      </c>
      <c r="F186" s="85" t="n">
        <v>52</v>
      </c>
      <c r="G186" s="85" t="n">
        <v>52</v>
      </c>
      <c r="H186" s="85" t="n">
        <v>52</v>
      </c>
      <c r="I186" s="85" t="n">
        <v>52</v>
      </c>
      <c r="J186" s="85" t="n">
        <v>52</v>
      </c>
      <c r="K186" s="85" t="n">
        <v>52</v>
      </c>
      <c r="L186" s="85" t="n">
        <v>52</v>
      </c>
      <c r="M186" s="85" t="n">
        <v>52</v>
      </c>
      <c r="N186" s="85" t="n">
        <v>52</v>
      </c>
      <c r="O186" s="84" t="n">
        <v>0</v>
      </c>
      <c r="P186" s="84" t="inlineStr">
        <is>
          <t>Flat</t>
        </is>
      </c>
    </row>
    <row r="187">
      <c r="A187" s="84" t="inlineStr">
        <is>
          <t>DoorDash</t>
        </is>
      </c>
      <c r="B187" s="84" t="inlineStr">
        <is>
          <t>Food &amp; Beverage / Technology</t>
        </is>
      </c>
      <c r="C187" s="85" t="n">
        <v>67</v>
      </c>
      <c r="D187" s="85" t="n">
        <v>67</v>
      </c>
      <c r="E187" s="85" t="n">
        <v>67</v>
      </c>
      <c r="F187" s="85" t="n">
        <v>67</v>
      </c>
      <c r="G187" s="85" t="n">
        <v>67</v>
      </c>
      <c r="H187" s="85" t="n">
        <v>67</v>
      </c>
      <c r="I187" s="85" t="n">
        <v>67</v>
      </c>
      <c r="J187" s="85" t="n">
        <v>67</v>
      </c>
      <c r="K187" s="85" t="n">
        <v>67</v>
      </c>
      <c r="L187" s="85" t="n">
        <v>67</v>
      </c>
      <c r="M187" s="85" t="n">
        <v>67</v>
      </c>
      <c r="N187" s="85" t="n">
        <v>67</v>
      </c>
      <c r="O187" s="84" t="n">
        <v>0</v>
      </c>
      <c r="P187" s="84" t="inlineStr">
        <is>
          <t>Flat</t>
        </is>
      </c>
    </row>
    <row r="188">
      <c r="A188" s="84" t="inlineStr">
        <is>
          <t>Mars, Inc.</t>
        </is>
      </c>
      <c r="B188" s="84" t="inlineStr">
        <is>
          <t>Food &amp; Beverage / Consumer Goods</t>
        </is>
      </c>
      <c r="C188" s="85" t="n">
        <v>52</v>
      </c>
      <c r="D188" s="85" t="n">
        <v>52</v>
      </c>
      <c r="E188" s="85" t="n">
        <v>52</v>
      </c>
      <c r="F188" s="85" t="n">
        <v>52</v>
      </c>
      <c r="G188" s="85" t="n">
        <v>52</v>
      </c>
      <c r="H188" s="85" t="n">
        <v>52</v>
      </c>
      <c r="I188" s="85" t="n">
        <v>52</v>
      </c>
      <c r="J188" s="85" t="n">
        <v>52</v>
      </c>
      <c r="K188" s="85" t="n">
        <v>52</v>
      </c>
      <c r="L188" s="85" t="n">
        <v>52</v>
      </c>
      <c r="M188" s="85" t="n">
        <v>52</v>
      </c>
      <c r="N188" s="85" t="n">
        <v>52</v>
      </c>
      <c r="O188" s="84" t="n">
        <v>0</v>
      </c>
      <c r="P188" s="84" t="inlineStr">
        <is>
          <t>Flat</t>
        </is>
      </c>
    </row>
    <row r="189">
      <c r="A189" s="84" t="inlineStr">
        <is>
          <t>Panera Bread</t>
        </is>
      </c>
      <c r="B189" s="84" t="inlineStr">
        <is>
          <t>Food &amp; Beverage</t>
        </is>
      </c>
      <c r="C189" s="85" t="n">
        <v>52</v>
      </c>
      <c r="D189" s="85" t="n">
        <v>52</v>
      </c>
      <c r="E189" s="85" t="n">
        <v>52</v>
      </c>
      <c r="F189" s="85" t="n">
        <v>52</v>
      </c>
      <c r="G189" s="85" t="n">
        <v>52</v>
      </c>
      <c r="H189" s="85" t="n">
        <v>52</v>
      </c>
      <c r="I189" s="85" t="n">
        <v>52</v>
      </c>
      <c r="J189" s="85" t="n">
        <v>52</v>
      </c>
      <c r="K189" s="85" t="n">
        <v>52</v>
      </c>
      <c r="L189" s="85" t="n">
        <v>52</v>
      </c>
      <c r="M189" s="85" t="n">
        <v>52</v>
      </c>
      <c r="N189" s="85" t="n">
        <v>52</v>
      </c>
      <c r="O189" s="84" t="n">
        <v>0</v>
      </c>
      <c r="P189" s="84" t="inlineStr">
        <is>
          <t>Flat</t>
        </is>
      </c>
    </row>
    <row r="190">
      <c r="A190" s="84" t="inlineStr">
        <is>
          <t>State Farm</t>
        </is>
      </c>
      <c r="B190" s="84" t="inlineStr">
        <is>
          <t>Financial Services / Insurance</t>
        </is>
      </c>
      <c r="C190" s="85" t="n">
        <v>52</v>
      </c>
      <c r="D190" s="85" t="n">
        <v>52</v>
      </c>
      <c r="E190" s="85" t="n">
        <v>52</v>
      </c>
      <c r="F190" s="85" t="n">
        <v>52</v>
      </c>
      <c r="G190" s="85" t="n">
        <v>52</v>
      </c>
      <c r="H190" s="85" t="n">
        <v>52</v>
      </c>
      <c r="I190" s="85" t="n">
        <v>22</v>
      </c>
      <c r="J190" s="85" t="n">
        <v>12</v>
      </c>
      <c r="K190" s="85" t="n">
        <v>12</v>
      </c>
      <c r="L190" s="85" t="n">
        <v>12</v>
      </c>
      <c r="M190" s="85" t="n">
        <v>12</v>
      </c>
      <c r="N190" s="85" t="n">
        <v>12</v>
      </c>
      <c r="O190" s="84" t="n">
        <v>-40</v>
      </c>
      <c r="P190" s="84" t="inlineStr">
        <is>
          <t>Fell from peak</t>
        </is>
      </c>
    </row>
    <row r="191">
      <c r="A191" s="84" t="inlineStr">
        <is>
          <t>Geico</t>
        </is>
      </c>
      <c r="B191" s="84" t="inlineStr">
        <is>
          <t>Financial Services / Insurance</t>
        </is>
      </c>
      <c r="C191" s="85" t="n">
        <v>52</v>
      </c>
      <c r="D191" s="85" t="n">
        <v>52</v>
      </c>
      <c r="E191" s="85" t="n">
        <v>52</v>
      </c>
      <c r="F191" s="85" t="n">
        <v>52</v>
      </c>
      <c r="G191" s="85" t="n">
        <v>52</v>
      </c>
      <c r="H191" s="85" t="n">
        <v>52</v>
      </c>
      <c r="I191" s="85" t="n">
        <v>52</v>
      </c>
      <c r="J191" s="85" t="n">
        <v>52</v>
      </c>
      <c r="K191" s="85" t="n">
        <v>52</v>
      </c>
      <c r="L191" s="85" t="n">
        <v>52</v>
      </c>
      <c r="M191" s="85" t="n">
        <v>52</v>
      </c>
      <c r="N191" s="85" t="n">
        <v>52</v>
      </c>
      <c r="O191" s="84" t="n">
        <v>0</v>
      </c>
      <c r="P191" s="84" t="inlineStr">
        <is>
          <t>Flat</t>
        </is>
      </c>
    </row>
    <row r="192">
      <c r="A192" s="84" t="inlineStr">
        <is>
          <t>Liberty Mutual</t>
        </is>
      </c>
      <c r="B192" s="84" t="inlineStr">
        <is>
          <t>Financial Services / Insurance</t>
        </is>
      </c>
      <c r="C192" s="85" t="n">
        <v>74</v>
      </c>
      <c r="D192" s="85" t="n">
        <v>74</v>
      </c>
      <c r="E192" s="85" t="n">
        <v>74</v>
      </c>
      <c r="F192" s="85" t="n">
        <v>74</v>
      </c>
      <c r="G192" s="85" t="n">
        <v>74</v>
      </c>
      <c r="H192" s="85" t="n">
        <v>74</v>
      </c>
      <c r="I192" s="85" t="n">
        <v>74</v>
      </c>
      <c r="J192" s="85" t="n">
        <v>74</v>
      </c>
      <c r="K192" s="85" t="n">
        <v>74</v>
      </c>
      <c r="L192" s="85" t="n">
        <v>74</v>
      </c>
      <c r="M192" s="85" t="n">
        <v>74</v>
      </c>
      <c r="N192" s="85" t="n">
        <v>74</v>
      </c>
      <c r="O192" s="84" t="n">
        <v>0</v>
      </c>
      <c r="P192" s="84" t="inlineStr">
        <is>
          <t>Flat</t>
        </is>
      </c>
    </row>
    <row r="193">
      <c r="A193" s="84" t="inlineStr">
        <is>
          <t>Farmers Insurance</t>
        </is>
      </c>
      <c r="B193" s="84" t="inlineStr">
        <is>
          <t>Financial Services / Insurance</t>
        </is>
      </c>
      <c r="C193" s="85" t="n">
        <v>52</v>
      </c>
      <c r="D193" s="85" t="n">
        <v>52</v>
      </c>
      <c r="E193" s="85" t="n">
        <v>52</v>
      </c>
      <c r="F193" s="85" t="n">
        <v>52</v>
      </c>
      <c r="G193" s="85" t="n">
        <v>52</v>
      </c>
      <c r="H193" s="85" t="n">
        <v>52</v>
      </c>
      <c r="I193" s="85" t="n">
        <v>22</v>
      </c>
      <c r="J193" s="85" t="n">
        <v>22</v>
      </c>
      <c r="K193" s="85" t="n">
        <v>22</v>
      </c>
      <c r="L193" s="85" t="n">
        <v>22</v>
      </c>
      <c r="M193" s="85" t="n">
        <v>22</v>
      </c>
      <c r="N193" s="85" t="n">
        <v>22</v>
      </c>
      <c r="O193" s="84" t="n">
        <v>-30</v>
      </c>
      <c r="P193" s="84" t="inlineStr">
        <is>
          <t>Fell from peak</t>
        </is>
      </c>
    </row>
    <row r="194">
      <c r="A194" s="84" t="inlineStr">
        <is>
          <t>Electronic Arts</t>
        </is>
      </c>
      <c r="B194" s="84" t="inlineStr">
        <is>
          <t>Media &amp; Entertainment / Gaming</t>
        </is>
      </c>
      <c r="C194" s="85" t="n">
        <v>67</v>
      </c>
      <c r="D194" s="85" t="n">
        <v>67</v>
      </c>
      <c r="E194" s="85" t="n">
        <v>67</v>
      </c>
      <c r="F194" s="85" t="n">
        <v>67</v>
      </c>
      <c r="G194" s="85" t="n">
        <v>67</v>
      </c>
      <c r="H194" s="85" t="n">
        <v>67</v>
      </c>
      <c r="I194" s="85" t="n">
        <v>67</v>
      </c>
      <c r="J194" s="85" t="n">
        <v>75</v>
      </c>
      <c r="K194" s="85" t="n">
        <v>75</v>
      </c>
      <c r="L194" s="85" t="n">
        <v>75</v>
      </c>
      <c r="M194" s="85" t="n">
        <v>75</v>
      </c>
      <c r="N194" s="85" t="n">
        <v>75</v>
      </c>
      <c r="O194" s="84" t="n">
        <v>8</v>
      </c>
      <c r="P194" s="84" t="inlineStr">
        <is>
          <t>Rising</t>
        </is>
      </c>
    </row>
    <row r="195">
      <c r="A195" s="84" t="inlineStr">
        <is>
          <t>Take-Two Interactive</t>
        </is>
      </c>
      <c r="B195" s="84" t="inlineStr">
        <is>
          <t>Media &amp; Entertainment / Gaming</t>
        </is>
      </c>
      <c r="C195" s="85" t="n">
        <v>52</v>
      </c>
      <c r="D195" s="85" t="n">
        <v>52</v>
      </c>
      <c r="E195" s="85" t="n">
        <v>52</v>
      </c>
      <c r="F195" s="85" t="n">
        <v>52</v>
      </c>
      <c r="G195" s="85" t="n">
        <v>52</v>
      </c>
      <c r="H195" s="85" t="n">
        <v>52</v>
      </c>
      <c r="I195" s="85" t="n">
        <v>52</v>
      </c>
      <c r="J195" s="85" t="n">
        <v>52</v>
      </c>
      <c r="K195" s="85" t="n">
        <v>52</v>
      </c>
      <c r="L195" s="85" t="n">
        <v>52</v>
      </c>
      <c r="M195" s="85" t="n">
        <v>52</v>
      </c>
      <c r="N195" s="85" t="n">
        <v>52</v>
      </c>
      <c r="O195" s="84" t="n">
        <v>0</v>
      </c>
      <c r="P195" s="84" t="inlineStr">
        <is>
          <t>Flat</t>
        </is>
      </c>
    </row>
    <row r="196">
      <c r="A196" s="84" t="inlineStr">
        <is>
          <t>The New York Times Company</t>
        </is>
      </c>
      <c r="B196" s="84" t="inlineStr">
        <is>
          <t>Media &amp; Entertainment</t>
        </is>
      </c>
      <c r="C196" s="85" t="n">
        <v>67</v>
      </c>
      <c r="D196" s="85" t="n">
        <v>67</v>
      </c>
      <c r="E196" s="85" t="n">
        <v>67</v>
      </c>
      <c r="F196" s="85" t="n">
        <v>67</v>
      </c>
      <c r="G196" s="85" t="n">
        <v>67</v>
      </c>
      <c r="H196" s="85" t="n">
        <v>67</v>
      </c>
      <c r="I196" s="85" t="n">
        <v>67</v>
      </c>
      <c r="J196" s="85" t="n">
        <v>67</v>
      </c>
      <c r="K196" s="85" t="n">
        <v>57</v>
      </c>
      <c r="L196" s="85" t="n">
        <v>57</v>
      </c>
      <c r="M196" s="85" t="n">
        <v>57</v>
      </c>
      <c r="N196" s="85" t="n">
        <v>57</v>
      </c>
      <c r="O196" s="84" t="n">
        <v>-10</v>
      </c>
      <c r="P196" s="84" t="inlineStr">
        <is>
          <t>Declined</t>
        </is>
      </c>
    </row>
    <row r="197">
      <c r="A197" s="84" t="inlineStr">
        <is>
          <t>iHeartMedia</t>
        </is>
      </c>
      <c r="B197" s="84" t="inlineStr">
        <is>
          <t>Media &amp; Entertainment</t>
        </is>
      </c>
      <c r="C197" s="85" t="n">
        <v>52</v>
      </c>
      <c r="D197" s="85" t="n">
        <v>52</v>
      </c>
      <c r="E197" s="85" t="n">
        <v>52</v>
      </c>
      <c r="F197" s="85" t="n">
        <v>52</v>
      </c>
      <c r="G197" s="85" t="n">
        <v>52</v>
      </c>
      <c r="H197" s="85" t="n">
        <v>52</v>
      </c>
      <c r="I197" s="85" t="n">
        <v>52</v>
      </c>
      <c r="J197" s="85" t="n">
        <v>52</v>
      </c>
      <c r="K197" s="85" t="n">
        <v>52</v>
      </c>
      <c r="L197" s="85" t="n">
        <v>52</v>
      </c>
      <c r="M197" s="85" t="n">
        <v>52</v>
      </c>
      <c r="N197" s="85" t="n">
        <v>52</v>
      </c>
      <c r="O197" s="84" t="n">
        <v>0</v>
      </c>
      <c r="P197" s="84" t="inlineStr">
        <is>
          <t>Flat</t>
        </is>
      </c>
    </row>
    <row r="198">
      <c r="A198" s="84" t="inlineStr">
        <is>
          <t>Kaiser Permanente</t>
        </is>
      </c>
      <c r="B198" s="84" t="inlineStr">
        <is>
          <t>Healthcare &amp; Pharma</t>
        </is>
      </c>
      <c r="C198" s="85" t="n">
        <v>89</v>
      </c>
      <c r="D198" s="85" t="n">
        <v>89</v>
      </c>
      <c r="E198" s="85" t="n">
        <v>89</v>
      </c>
      <c r="F198" s="85" t="n">
        <v>89</v>
      </c>
      <c r="G198" s="85" t="n">
        <v>89</v>
      </c>
      <c r="H198" s="85" t="n">
        <v>89</v>
      </c>
      <c r="I198" s="85" t="n">
        <v>89</v>
      </c>
      <c r="J198" s="85" t="n">
        <v>89</v>
      </c>
      <c r="K198" s="85" t="n">
        <v>89</v>
      </c>
      <c r="L198" s="85" t="n">
        <v>89</v>
      </c>
      <c r="M198" s="85" t="n">
        <v>89</v>
      </c>
      <c r="N198" s="85" t="n">
        <v>89</v>
      </c>
      <c r="O198" s="84" t="n">
        <v>0</v>
      </c>
      <c r="P198" s="84" t="inlineStr">
        <is>
          <t>Flat</t>
        </is>
      </c>
    </row>
    <row r="199">
      <c r="A199" s="84" t="inlineStr">
        <is>
          <t>Quest Diagnostics</t>
        </is>
      </c>
      <c r="B199" s="84" t="inlineStr">
        <is>
          <t>Healthcare &amp; Pharma</t>
        </is>
      </c>
      <c r="C199" s="85" t="n">
        <v>52</v>
      </c>
      <c r="D199" s="85" t="n">
        <v>52</v>
      </c>
      <c r="E199" s="85" t="n">
        <v>52</v>
      </c>
      <c r="F199" s="85" t="n">
        <v>52</v>
      </c>
      <c r="G199" s="85" t="n">
        <v>52</v>
      </c>
      <c r="H199" s="85" t="n">
        <v>52</v>
      </c>
      <c r="I199" s="85" t="n">
        <v>52</v>
      </c>
      <c r="J199" s="85" t="n">
        <v>52</v>
      </c>
      <c r="K199" s="85" t="n">
        <v>52</v>
      </c>
      <c r="L199" s="85" t="n">
        <v>52</v>
      </c>
      <c r="M199" s="85" t="n">
        <v>52</v>
      </c>
      <c r="N199" s="85" t="n">
        <v>52</v>
      </c>
      <c r="O199" s="84" t="n">
        <v>0</v>
      </c>
      <c r="P199" s="84" t="inlineStr">
        <is>
          <t>Flat</t>
        </is>
      </c>
    </row>
    <row r="200">
      <c r="A200" s="84" t="inlineStr">
        <is>
          <t>AMD</t>
        </is>
      </c>
      <c r="B200" s="84" t="inlineStr">
        <is>
          <t>Technology</t>
        </is>
      </c>
      <c r="C200" s="85" t="n">
        <v>74</v>
      </c>
      <c r="D200" s="85" t="n">
        <v>74</v>
      </c>
      <c r="E200" s="85" t="n">
        <v>74</v>
      </c>
      <c r="F200" s="85" t="n">
        <v>74</v>
      </c>
      <c r="G200" s="85" t="n">
        <v>74</v>
      </c>
      <c r="H200" s="85" t="n">
        <v>74</v>
      </c>
      <c r="I200" s="85" t="n">
        <v>74</v>
      </c>
      <c r="J200" s="85" t="n">
        <v>74</v>
      </c>
      <c r="K200" s="85" t="n">
        <v>74</v>
      </c>
      <c r="L200" s="85" t="n">
        <v>74</v>
      </c>
      <c r="M200" s="85" t="n">
        <v>74</v>
      </c>
      <c r="N200" s="85" t="n">
        <v>74</v>
      </c>
      <c r="O200" s="84" t="n">
        <v>0</v>
      </c>
      <c r="P200" s="84" t="inlineStr">
        <is>
          <t>Flat</t>
        </is>
      </c>
    </row>
    <row r="201">
      <c r="A201" s="84" t="inlineStr">
        <is>
          <t>Booz Allen Hamilton</t>
        </is>
      </c>
      <c r="B201" s="84" t="inlineStr">
        <is>
          <t>Defense &amp; Gov Contracting</t>
        </is>
      </c>
      <c r="C201" s="85" t="n">
        <v>79</v>
      </c>
      <c r="D201" s="85" t="n">
        <v>79</v>
      </c>
      <c r="E201" s="85" t="n">
        <v>79</v>
      </c>
      <c r="F201" s="85" t="n">
        <v>79</v>
      </c>
      <c r="G201" s="85" t="n">
        <v>79</v>
      </c>
      <c r="H201" s="85" t="n">
        <v>79</v>
      </c>
      <c r="I201" s="85" t="n">
        <v>79</v>
      </c>
      <c r="J201" s="85" t="n">
        <v>79</v>
      </c>
      <c r="K201" s="85" t="n">
        <v>79</v>
      </c>
      <c r="L201" s="85" t="n">
        <v>79</v>
      </c>
      <c r="M201" s="85" t="n">
        <v>25</v>
      </c>
      <c r="N201" s="85" t="n">
        <v>25</v>
      </c>
      <c r="O201" s="84" t="n">
        <v>-54</v>
      </c>
      <c r="P201" s="84" t="inlineStr">
        <is>
          <t>Fell from peak</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style="42" min="1" max="1"/>
  </cols>
  <sheetData>
    <row r="1">
      <c r="A1" s="86" t="inlineStr">
        <is>
          <t>YEARLY SCORE TIMELINE — METHODOLOGY</t>
        </is>
      </c>
    </row>
    <row r="2">
      <c r="A2" s="84" t="inlineStr"/>
    </row>
    <row r="3">
      <c r="A3" s="84" t="inlineStr">
        <is>
          <t>Score(year) = clamp(0-100, 50 + capped positives active by that year + negatives incurred by that year).</t>
        </is>
      </c>
    </row>
    <row r="4">
      <c r="A4" s="84" t="inlineStr">
        <is>
          <t>Positive cap: Cosmetic + Commercial tiers capped at +20 combined, matching the Company_Master formula.</t>
        </is>
      </c>
    </row>
    <row r="5">
      <c r="A5" s="84" t="inlineStr"/>
    </row>
    <row r="6">
      <c r="A6" s="84" t="inlineStr">
        <is>
          <t>Activity windows:</t>
        </is>
      </c>
    </row>
    <row r="7">
      <c r="A7" s="84" t="inlineStr">
        <is>
          <t>- Long-running 'ambient' programs (branding, merchandise lines, sponsorships, ERGs, benefits, policies) are credited from 2015</t>
        </is>
      </c>
    </row>
    <row r="8">
      <c r="A8" s="84" t="inlineStr">
        <is>
          <t xml:space="preserve">  (the timeline start) unless evidence dates a later launch (e.g., Apple Pride Edition 2016, Mastercard True Name 2019,</t>
        </is>
      </c>
    </row>
    <row r="9">
      <c r="A9" s="84" t="inlineStr">
        <is>
          <t xml:space="preserve">  H&amp;M/AEO proceeds programs 2018, Kellanova 2021). See script OVERRIDES for the full list.</t>
        </is>
      </c>
    </row>
    <row r="10">
      <c r="A10" s="84" t="inlineStr">
        <is>
          <t>- Dated events (collaborations, donations, marches, executive advocacy, one-off campaigns) are credited from their logged year.</t>
        </is>
      </c>
    </row>
    <row r="11">
      <c r="A11" s="84" t="inlineStr">
        <is>
          <t>- Negative actions persist from their year onward: the ledger is cumulative, so a reversal permanently marks the record</t>
        </is>
      </c>
    </row>
    <row r="12">
      <c r="A12" s="84" t="inlineStr">
        <is>
          <t xml:space="preserve">  (per the index's reversal-asymmetry principle). The 2026 column therefore equals the Company_Master Final Score.</t>
        </is>
      </c>
    </row>
    <row r="13">
      <c r="A13" s="84" t="inlineStr"/>
    </row>
    <row r="14">
      <c r="A14" s="84" t="inlineStr">
        <is>
          <t>Anti-LGBTQ+ political donations:</t>
        </is>
      </c>
    </row>
    <row r="15">
      <c r="A15" s="84" t="inlineStr">
        <is>
          <t>- Sources: Data for Progress 'Accountable Allies' dataset (state contributions to anti-LGBTQ+ bill sponsors, 2019-Mar 2022)</t>
        </is>
      </c>
    </row>
    <row r="16">
      <c r="A16" s="84" t="inlineStr">
        <is>
          <t xml:space="preserve">  and Popular Information's investigation of giving to zero-HRC-rated members of Congress, anti-LGBTQ+ state sponsors,</t>
        </is>
      </c>
    </row>
    <row r="17">
      <c r="A17" s="84" t="inlineStr">
        <is>
          <t xml:space="preserve">  and the RGA/RSLC/RAGA (Nov 2022-Jun 2024). OpenSecrets 2024 reporting supplements.</t>
        </is>
      </c>
    </row>
    <row r="18">
      <c r="A18" s="84" t="inlineStr">
        <is>
          <t>- Documented totals &gt;= $25,000 are scored as n_anti_lgbtq_donations (-30) in Action_Log (timeline year: 2021 for the</t>
        </is>
      </c>
    </row>
    <row r="19">
      <c r="A19" s="84" t="inlineStr">
        <is>
          <t xml:space="preserve">  2019-22 window, 2023 for the Nov 2022-24 window). Totals below $25,000 are recorded in Political_Donations for</t>
        </is>
      </c>
    </row>
    <row r="20">
      <c r="A20" s="84" t="inlineStr">
        <is>
          <t xml:space="preserve">  transparency but not scored, to avoid a -30 penalty for de-minimis giving (e.g., Microsoft $2,000).</t>
        </is>
      </c>
    </row>
    <row r="21">
      <c r="A21" s="84" t="inlineStr">
        <is>
          <t>- Disney and Publix donation rows were already scored from prior evidence and are cross-referenced, not double-counted.</t>
        </is>
      </c>
    </row>
    <row r="22">
      <c r="A22" s="84" t="inlineStr"/>
    </row>
    <row r="23">
      <c r="A23" s="84" t="inlineStr">
        <is>
          <t>Caveats:</t>
        </is>
      </c>
    </row>
    <row r="24">
      <c r="A24" s="84" t="inlineStr">
        <is>
          <t>- Pre-2020 years rely on program-continuity assumptions for ambient activities; confidence is lower for 2015-2018.</t>
        </is>
      </c>
    </row>
    <row r="25">
      <c r="A25" s="84" t="inlineStr">
        <is>
          <t>- Yearly_Scores values are computed (static). Re-run build_timeline.py after editing Action_Log to refresh.</t>
        </is>
      </c>
    </row>
    <row r="26">
      <c r="A26" s="84" t="inlineStr">
        <is>
          <t>- Political donation records reflect documented analyses, not exhaustive FEC/state filings; absence of a row is not</t>
        </is>
      </c>
    </row>
    <row r="27">
      <c r="A27" s="84" t="inlineStr">
        <is>
          <t xml:space="preserve">  proof of absence of giving.</t>
        </is>
      </c>
    </row>
    <row r="28">
      <c r="A28" s="84" t="inlineStr"/>
    </row>
    <row r="29">
      <c r="A29" s="84" t="inlineStr">
        <is>
          <t>Yearly_Rationale sheet:</t>
        </is>
      </c>
    </row>
    <row r="30">
      <c r="A30" s="84" t="inlineStr">
        <is>
          <t>- One 'Baseline' row per company (2015) listing every evidence item active at timeline start, and one 'Change' row for each</t>
        </is>
      </c>
    </row>
    <row r="31">
      <c r="A31" s="84" t="inlineStr">
        <is>
          <t xml:space="preserve">  year in which evidence enters the record (new program credited, dated event, or negative action). Years with no change</t>
        </is>
      </c>
    </row>
    <row r="32">
      <c r="A32" s="84" t="inlineStr">
        <is>
          <t xml:space="preserve">  are omitted — the score carries forward.</t>
        </is>
      </c>
    </row>
    <row r="33">
      <c r="A33" s="84" t="inlineStr">
        <is>
          <t>- Each row cites the underlying Action_Log items with their point values and source URLs, so every yearly score is</t>
        </is>
      </c>
    </row>
    <row r="34">
      <c r="A34" s="84" t="inlineStr">
        <is>
          <t xml:space="preserve">  reconstructible: Score(year) = 50 + capped positives + negatives from the cited items.</t>
        </is>
      </c>
    </row>
    <row r="35">
      <c r="A35" s="84" t="inlineStr">
        <is>
          <t>- Items marked '[documented as of YYYY; credited from 2015 per methodology]' are long-running programs whose evidence</t>
        </is>
      </c>
    </row>
    <row r="36">
      <c r="A36" s="84" t="inlineStr">
        <is>
          <t xml:space="preserve">  was captured in later sources; their pre-documentation continuity is an assumption (see caveats above), and confidence</t>
        </is>
      </c>
    </row>
    <row r="37">
      <c r="A37" s="84" t="inlineStr">
        <is>
          <t xml:space="preserve">  for 2015-2018 is correspondingly lower.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22"/>
  <sheetViews>
    <sheetView workbookViewId="0">
      <pane ySplit="1" topLeftCell="A2" activePane="bottomLeft" state="frozen"/>
      <selection pane="bottomLeft" activeCell="A1" sqref="A1"/>
    </sheetView>
  </sheetViews>
  <sheetFormatPr baseColWidth="8" defaultRowHeight="15"/>
  <cols>
    <col width="26" customWidth="1" style="42" min="1" max="1"/>
    <col width="7" customWidth="1" style="42" min="2" max="2"/>
    <col width="7" customWidth="1" style="42" min="3" max="3"/>
    <col width="9" customWidth="1" style="42" min="4" max="4"/>
    <col width="10" customWidth="1" style="42" min="5" max="5"/>
    <col width="95" customWidth="1" style="42" min="6" max="6"/>
    <col width="90" customWidth="1" style="42" min="7" max="7"/>
  </cols>
  <sheetData>
    <row r="1">
      <c r="A1" s="82" t="inlineStr">
        <is>
          <t>Company</t>
        </is>
      </c>
      <c r="B1" s="82" t="inlineStr">
        <is>
          <t>Year</t>
        </is>
      </c>
      <c r="C1" s="82" t="inlineStr">
        <is>
          <t>Score</t>
        </is>
      </c>
      <c r="D1" s="82" t="inlineStr">
        <is>
          <t>Δ vs prior</t>
        </is>
      </c>
      <c r="E1" s="82" t="inlineStr">
        <is>
          <t>Entry Type</t>
        </is>
      </c>
      <c r="F1" s="82" t="inlineStr">
        <is>
          <t>Rationale — why the score is what it is / why it changed (with score math)</t>
        </is>
      </c>
      <c r="G1" s="82" t="inlineStr">
        <is>
          <t>Evidence (points | action | source URL)</t>
        </is>
      </c>
    </row>
    <row r="2">
      <c r="A2" s="83" t="inlineStr">
        <is>
          <t>Verizon</t>
        </is>
      </c>
      <c r="B2" s="83" t="n">
        <v>2015</v>
      </c>
      <c r="C2" s="83" t="n">
        <v>86</v>
      </c>
      <c r="D2" s="83" t="inlineStr"/>
      <c r="E2" s="83" t="inlineStr">
        <is>
          <t>Baseline</t>
        </is>
      </c>
      <c r="F2" s="83" t="inlineStr">
        <is>
          <t>2015 baseline = 86. Math: 50 +9 capped cosmetic/commercial +27 civic/financial/structural +0 negatives. Positive evidence in force: Annual June rainbow logo/social branding across Verizon channels (thr… (+3); Annual Pride Month statements and #Pride social posts (+2); Pride flags and displays at Verizon offices during Pride Month (pre-2… (+4); Sponsorship of Pride events/parades in multiple markets (pre-2025) (+12); Funded LGBTQ+ employee resource group (Prism) with company support (+15)</t>
        </is>
      </c>
      <c r="G2" s="83" t="inlineStr">
        <is>
          <t>(+3) p_logo_rainbow — https://popular.info/p/verizon-said-it-was-fiercely-committed [documented as of 2024; credited from 2015 per methodology] || (+2) p_generic_post — https://popular.info/p/verizon-said-it-was-fiercely-committed [documented as of 2024; credited from 2015 per methodology] || (+4) p_flag_display — https://popular.info/p/verizon-said-it-was-fiercely-committed [documented as of 2024; credited from 2015 per methodology] || (+12) p_parade_sponsor — https://theintercept.com/2025/05/15/trump-dei-verizon-fcc/ [documented as of 2024; credited from 2015 per methodology] || (+15) p_erg_support — https://popular.info/p/verizon-said-it-was-fiercely-committed [documented as of 2024; credited from 2015 per methodology]</t>
        </is>
      </c>
    </row>
    <row r="3">
      <c r="A3" s="83" t="inlineStr">
        <is>
          <t>Verizon</t>
        </is>
      </c>
      <c r="B3" s="83" t="n">
        <v>2025</v>
      </c>
      <c r="C3" s="83" t="n">
        <v>32</v>
      </c>
      <c r="D3" s="83" t="n">
        <v>-54</v>
      </c>
      <c r="E3" s="83" t="inlineStr">
        <is>
          <t>Change</t>
        </is>
      </c>
      <c r="F3" s="83" t="inlineStr">
        <is>
          <t>Score falls from 86 to 32 (-54). Driver(s): n_dei_removal (-32): Pledged to FCC to end DEI policies; scrubbed DEI language from trainings, web pages and public materials | n_pride_retreat (-22): Retreated from Pride/diversity sponsorships and deleted prior DEI commitments incl. CEO's 2020 diversity statement. New total: 50 +9 capped cosmetic/commercial +27 civic/financial/structural -54 negatives = 32.</t>
        </is>
      </c>
      <c r="G3" s="83" t="inlineStr">
        <is>
          <t>(-32) n_dei_removal — https://www.npr.org/2025/05/19/nx-s1-5402863/verizon-fcc-frontier-dei-trump || (-22) n_pride_retreat — https://theintercept.com/2025/05/15/trump-dei-verizon-fcc/</t>
        </is>
      </c>
    </row>
    <row r="4">
      <c r="A4" s="83" t="inlineStr">
        <is>
          <t>AT&amp;T</t>
        </is>
      </c>
      <c r="B4" s="83" t="n">
        <v>2015</v>
      </c>
      <c r="C4" s="83" t="n">
        <v>82</v>
      </c>
      <c r="D4" s="83" t="inlineStr"/>
      <c r="E4" s="83" t="inlineStr">
        <is>
          <t>Baseline</t>
        </is>
      </c>
      <c r="F4" s="83" t="inlineStr">
        <is>
          <t>2015 baseline = 82. Math: 50 +5 capped cosmetic/commercial +27 civic/financial/structural +0 negatives. Positive evidence in force: Annual rainbow branding ('Turn Up The Love' Pride campaigns) (+3); Annual Pride Month statements and posts (+2); Long-running sponsorship of Pride events incl. Dallas Pride and other… (+12); LEAGUE at AT&amp;T — LGBTQ+ ERG founded 1987, one of the oldest in corpor… (+15)</t>
        </is>
      </c>
      <c r="G4" s="83" t="inlineStr">
        <is>
          <t>(+3) p_logo_rainbow — https://web.archive.org/web/2023/https://about.att.com/pages/diversity [documented as of 2023; credited from 2015 per methodology] || (+2) p_generic_post — https://web.archive.org/web/2024/https://about.att.com/pages/diversity [documented as of 2024; credited from 2015 per methodology] || (+12) p_parade_sponsor — https://web.archive.org/web/2023/https://about.att.com/pages/diversity [documented as of 2023; credited from 2015 per methodology] || (+15) p_erg_support — https://www.cnn.com/2025/12/02/business/dei-at-and-t-mobile-fcc [documented as of 2024; credited from 2015 per methodology]</t>
        </is>
      </c>
    </row>
    <row r="5">
      <c r="A5" s="83" t="inlineStr">
        <is>
          <t>AT&amp;T</t>
        </is>
      </c>
      <c r="B5" s="83" t="n">
        <v>2021</v>
      </c>
      <c r="C5" s="83" t="n">
        <v>52</v>
      </c>
      <c r="D5" s="83" t="n">
        <v>-30</v>
      </c>
      <c r="E5" s="83" t="inlineStr">
        <is>
          <t>Change</t>
        </is>
      </c>
      <c r="F5" s="83" t="inlineStr">
        <is>
          <t>Score falls from 82 to 52 (-30). Driver(s): n_anti_lgbtq_donations (-30): Documented $307,138 to 67 anti-LGBTQ+ bill sponsors across 6 states (2019-2022, Data for Progress); plus $1,269,650 to anti-LGBTQ…. New total: 50 +5 capped cosmetic/commercial +27 civic/financial/structural -30 negatives = 52.</t>
        </is>
      </c>
      <c r="G5" s="83" t="inlineStr">
        <is>
          <t>(-30) n_anti_lgbtq_donations — https://popular.info/p/these-25-rainbow-flag-waving-companies</t>
        </is>
      </c>
    </row>
    <row r="6">
      <c r="A6" s="83" t="inlineStr">
        <is>
          <t>AT&amp;T</t>
        </is>
      </c>
      <c r="B6" s="83" t="n">
        <v>2025</v>
      </c>
      <c r="C6" s="83" t="n">
        <v>0</v>
      </c>
      <c r="D6" s="83" t="n">
        <v>-52</v>
      </c>
      <c r="E6" s="83" t="inlineStr">
        <is>
          <t>Change</t>
        </is>
      </c>
      <c r="F6" s="83" t="inlineStr">
        <is>
          <t>Score falls from 52 to 0 (-52). Driver(s): n_pride_retreat (-22): Stopped HRC CEI participation and ceased funding some LGBTQ+ organizations | n_dei_removal (-32): Dec 1, 2025 FCC filing committing to end DEI programs; FCC approved pending transaction days later. Net effect differs from the raw -54 of the new item(s) because of the 0-100 clamp. New total: 50 +5 capped cosmetic/commercial +27 civic/financial/structural -84 negatives (clamped) = 0.</t>
        </is>
      </c>
      <c r="G6" s="83" t="inlineStr">
        <is>
          <t>(-22) n_pride_retreat — https://www.cnn.com/2025/12/02/business/dei-at-and-t-mobile-fcc || (-32) n_dei_removal — https://www.esgdive.com/news/att-drops-dei-gets-1b-acquisition-of-uscellular-greenlit-fcc/807309/</t>
        </is>
      </c>
    </row>
    <row r="7">
      <c r="A7" s="83" t="inlineStr">
        <is>
          <t>T-Mobile</t>
        </is>
      </c>
      <c r="B7" s="83" t="n">
        <v>2015</v>
      </c>
      <c r="C7" s="83" t="n">
        <v>82</v>
      </c>
      <c r="D7" s="83" t="inlineStr"/>
      <c r="E7" s="83" t="inlineStr">
        <is>
          <t>Baseline</t>
        </is>
      </c>
      <c r="F7" s="83" t="inlineStr">
        <is>
          <t>2015 baseline = 82. Math: 50 +5 capped cosmetic/commercial +27 civic/financial/structural +0 negatives. Positive evidence in force: Annual rainbow/magenta Pride branding across social channels (+3); Annual Pride Month posts and statements (+2); Sponsorship of Pride events in multiple markets (pre-2025) (+12); Funded LGBTQ+ employee resource group (Pride &amp; Allies network) (+15)</t>
        </is>
      </c>
      <c r="G7" s="83" t="inlineStr">
        <is>
          <t>(+3) p_logo_rainbow — https://web.archive.org/web/2024/https://www.t-mobile.com/responsibility/diversity-equity-inclusion [documented as of 2024; credited from 2015 per methodology] || (+2) p_generic_post — https://web.archive.org/web/2024/https://www.t-mobile.com/responsibility/diversity-equity-inclusion [documented as of 2024; credited from 2015 per methodology] || (+12) p_parade_sponsor — https://web.archive.org/web/2024/https://www.t-mobile.com/responsibility/diversity-equity-inclusion [documented as of 2024; credited from 2015 per methodology] || (+15) p_erg_support — https://web.archive.org/web/2024/https://www.t-mobile.com/responsibility/diversity-equity-inclusion [documented as of 2024; credited from 2015 per methodology]</t>
        </is>
      </c>
    </row>
    <row r="8">
      <c r="A8" s="83" t="inlineStr">
        <is>
          <t>T-Mobile</t>
        </is>
      </c>
      <c r="B8" s="83" t="n">
        <v>2025</v>
      </c>
      <c r="C8" s="83" t="n">
        <v>28</v>
      </c>
      <c r="D8" s="83" t="n">
        <v>-54</v>
      </c>
      <c r="E8" s="83" t="inlineStr">
        <is>
          <t>Change</t>
        </is>
      </c>
      <c r="F8" s="83" t="inlineStr">
        <is>
          <t>Score falls from 82 to 28 (-54). Driver(s): n_dei_removal (-32): Letter to FCC ending DEI programs 'not just in name, but in substance'; DEI scrubbed from sites and trainings | n_pride_retreat (-22): Public renunciation of prior inclusion commitments under FCC pressure. New total: 50 +5 capped cosmetic/commercial +27 civic/financial/structural -54 negatives = 28.</t>
        </is>
      </c>
      <c r="G8" s="83" t="inlineStr">
        <is>
          <t>(-32) n_dei_removal — https://deadline.com/2025/07/t-mobile-dei-fcc-brendan-carr-1236453389/ || (-22) n_pride_retreat — https://fortune.com/2025/07/17/trump-administration-anti-dei-movement-new-ally-fcc-t-mobile-paramount-verizon/</t>
        </is>
      </c>
    </row>
    <row r="9">
      <c r="A9" s="83" t="inlineStr">
        <is>
          <t>Comcast / Xfinity</t>
        </is>
      </c>
      <c r="B9" s="83" t="n">
        <v>2015</v>
      </c>
      <c r="C9" s="83" t="n">
        <v>82</v>
      </c>
      <c r="D9" s="83" t="inlineStr"/>
      <c r="E9" s="83" t="inlineStr">
        <is>
          <t>Baseline</t>
        </is>
      </c>
      <c r="F9" s="83" t="inlineStr">
        <is>
          <t>2015 baseline = 82. Math: 50 +5 capped cosmetic/commercial +27 civic/financial/structural +0 negatives. Positive evidence in force: Annual Pride branding and Xfinity Pride content hub (+3); Annual Pride Month posts and statements (+2); Decades-long San Francisco Pride sponsorship (ended 2025); continued… (+12); Funded LGBTQ+ ERG and workplace inclusion programs (+15)</t>
        </is>
      </c>
      <c r="G9" s="83" t="inlineStr">
        <is>
          <t>(+3) p_logo_rainbow — https://web.archive.org/web/2024/https://corporate.comcast.com/values/diversity-equity-inclusion [documented as of 2024; credited from 2015 per methodology] || (+2) p_generic_post — https://web.archive.org/web/2024/https://corporate.comcast.com/values/diversity-equity-inclusion [documented as of 2024; credited from 2015 per methodology] || (+12) p_parade_sponsor — https://www.npr.org/2025/03/24/nx-s1-5334685/san-francisco-pride-parade-loses-several-corporate-sponsors-organizers-say [documented as of 2024; credited from 2015 per methodology] || (+15) p_erg_support — https://web.archive.org/web/2024/https://corporate.comcast.com/values/diversity-equity-inclusion [documented as of 2024; credited from 2015 per methodology]</t>
        </is>
      </c>
    </row>
    <row r="10">
      <c r="A10" s="83" t="inlineStr">
        <is>
          <t>Comcast / Xfinity</t>
        </is>
      </c>
      <c r="B10" s="83" t="n">
        <v>2021</v>
      </c>
      <c r="C10" s="83" t="n">
        <v>52</v>
      </c>
      <c r="D10" s="83" t="n">
        <v>-30</v>
      </c>
      <c r="E10" s="83" t="inlineStr">
        <is>
          <t>Change</t>
        </is>
      </c>
      <c r="F10" s="83" t="inlineStr">
        <is>
          <t>Score falls from 82 to 52 (-30). Driver(s): n_anti_lgbtq_donations (-30): Documented $121,350 to 40 anti-LGBTQ+ bill sponsors across 4 states (2019-2022, DFP); plus $1,224,000 to anti-LGBTQ+ politicians…. New total: 50 +5 capped cosmetic/commercial +27 civic/financial/structural -30 negatives = 52.</t>
        </is>
      </c>
      <c r="G10" s="83" t="inlineStr">
        <is>
          <t>(-30) n_anti_lgbtq_donations — https://popular.info/p/these-25-rainbow-flag-waving-companies</t>
        </is>
      </c>
    </row>
    <row r="11">
      <c r="A11" s="83" t="inlineStr">
        <is>
          <t>Comcast / Xfinity</t>
        </is>
      </c>
      <c r="B11" s="83" t="n">
        <v>2025</v>
      </c>
      <c r="C11" s="83" t="n">
        <v>30</v>
      </c>
      <c r="D11" s="83" t="n">
        <v>-22</v>
      </c>
      <c r="E11" s="83" t="inlineStr">
        <is>
          <t>Change</t>
        </is>
      </c>
      <c r="F11" s="83" t="inlineStr">
        <is>
          <t>Score falls from 52 to 30 (-22). Driver(s): n_pride_retreat (-22): Withdrew San Francisco Pride sponsorship after decades; declined to comment on reasons. New total: 50 +5 capped cosmetic/commercial +27 civic/financial/structural -52 negatives = 30.</t>
        </is>
      </c>
      <c r="G11" s="83" t="inlineStr">
        <is>
          <t>(-22) n_pride_retreat — https://www.advocate.com/news/companies-that-stopped-sponsoring-pride</t>
        </is>
      </c>
    </row>
    <row r="12">
      <c r="A12" s="83" t="inlineStr">
        <is>
          <t>Charter / Spectrum</t>
        </is>
      </c>
      <c r="B12" s="83" t="n">
        <v>2015</v>
      </c>
      <c r="C12" s="83" t="n">
        <v>50</v>
      </c>
      <c r="D12" s="83" t="inlineStr"/>
      <c r="E12" s="83" t="inlineStr">
        <is>
          <t>Baseline</t>
        </is>
      </c>
      <c r="F12" s="83" t="inlineStr">
        <is>
          <t>2015 baseline = 50 (neutral). No documented LGBTQ+-related actions, positive or negative, attributable to this year; the company starts at the index's no-engagement baseline.</t>
        </is>
      </c>
      <c r="G12" s="83" t="inlineStr"/>
    </row>
    <row r="13">
      <c r="A13" s="83" t="inlineStr">
        <is>
          <t>Charter / Spectrum</t>
        </is>
      </c>
      <c r="B13" s="83" t="n">
        <v>2021</v>
      </c>
      <c r="C13" s="83" t="n">
        <v>20</v>
      </c>
      <c r="D13" s="83" t="n">
        <v>-30</v>
      </c>
      <c r="E13" s="83" t="inlineStr">
        <is>
          <t>Change</t>
        </is>
      </c>
      <c r="F13" s="83" t="inlineStr">
        <is>
          <t>Score falls from 50 to 20 (-30). Driver(s): n_anti_lgbtq_donations (-30): Documented $168,077 to 34 anti-LGBTQ+ bill sponsors across 5 states, 2019-2022 (Data for Progress). New total: 50 +0 capped cosmetic/commercial +0 civic/financial/structural -30 negatives = 20.</t>
        </is>
      </c>
      <c r="G13" s="83" t="inlineStr">
        <is>
          <t>(-30) n_anti_lgbtq_donations — https://www.filesforprogress.org/datasets/2022/5/AccountableAllies-Data.pdf</t>
        </is>
      </c>
    </row>
    <row r="14">
      <c r="A14" s="83" t="inlineStr">
        <is>
          <t>Apple</t>
        </is>
      </c>
      <c r="B14" s="83" t="n">
        <v>2015</v>
      </c>
      <c r="C14" s="83" t="n">
        <v>100</v>
      </c>
      <c r="D14" s="83" t="inlineStr"/>
      <c r="E14" s="83" t="inlineStr">
        <is>
          <t>Baseline</t>
        </is>
      </c>
      <c r="F14" s="83" t="inlineStr">
        <is>
          <t>2015 baseline = 100. Math: 50 +3 capped cosmetic/commercial +97 civic/financial/structural +0 negatives (clamped to 0-100). Positive evidence in force: Annual Pride branding incl. rainbow Apple logos at retail and Pride w… (+3); San Francisco Pride sponsorship and employee contingent (+12); Funded Pride@Apple employee resource group (+15); Inclusion &amp; diversity commitments naming LGBTQ+ inclusion remain publ… (+20); Comprehensive partner and gender-affirming healthcare benefits (CEI-v… (+22); 10+ years of consistent support: marriage-equality amicus briefs, opp… (+28)</t>
        </is>
      </c>
      <c r="G14" s="83" t="inlineStr">
        <is>
          <t>(+3) p_logo_rainbow — https://www.apple.com/newsroom/2024/05/apple-introduces-new-pride-collection/ [documented as of 2025; credited from 2015 per methodology] || (+12) p_parade_sponsor — https://web.archive.org/web/2024/https://www.apple.com/diversity/ [documented as of 2024; credited from 2015 per methodology] || (+15) p_erg_support — https://web.archive.org/web/2024/https://www.apple.com/diversity/ [documented as of 2024; credited from 2015 per methodology] || (+20) p_dei_explicit — https://www.apple.com/diversity/ [documented as of 2025; credited from 2015 per methodology] || (+22) p_benefits — https://reports.hrc.org/corporate-equality-index-2025 [documented as of 2025; credited from 2015 per methodology] || (+28) p_consistent_history — https://reports.hrc.org/corporate-equality-index-2025 [documented as of 2025; credited from 2015 per methodology]</t>
        </is>
      </c>
    </row>
    <row r="15">
      <c r="A15" s="83" t="inlineStr">
        <is>
          <t>Apple</t>
        </is>
      </c>
      <c r="B15" s="83" t="n">
        <v>2016</v>
      </c>
      <c r="C15" s="83" t="n">
        <v>100</v>
      </c>
      <c r="D15" s="83" t="n">
        <v>0</v>
      </c>
      <c r="E15" s="83" t="inlineStr">
        <is>
          <t>Change</t>
        </is>
      </c>
      <c r="F15" s="83" t="inlineStr">
        <is>
          <t>Score is unchanged from 100 to 100 (+0). Driver(s): p_merch_collection (+6): Apple Watch Pride Edition band released annually since 2016 (incl. 2025 edition). Net effect differs from the raw +6 of the new item(s) because of the 0-100 clamp and +20 cosmetic/commercial cap. New total: 50 +9 capped cosmetic/commercial +97 civic/financial/structural +0 negatives (clamped) = 100.</t>
        </is>
      </c>
      <c r="G15" s="83" t="inlineStr">
        <is>
          <t>(+6) p_merch_collection — https://www.apple.com/newsroom/2024/05/apple-introduces-new-pride-collection/</t>
        </is>
      </c>
    </row>
    <row r="16">
      <c r="A16" s="83" t="inlineStr">
        <is>
          <t>Apple</t>
        </is>
      </c>
      <c r="B16" s="83" t="n">
        <v>2024</v>
      </c>
      <c r="C16" s="83" t="n">
        <v>100</v>
      </c>
      <c r="D16" s="83" t="n">
        <v>0</v>
      </c>
      <c r="E16" s="83" t="inlineStr">
        <is>
          <t>Change</t>
        </is>
      </c>
      <c r="F16" s="83" t="inlineStr">
        <is>
          <t>Score is unchanged from 100 to 100 (+0). Driver(s): p_leadership_vocal (+18): Tim Cook publicly out since 2014; repeated public advocacy on LGBTQ+ rights. Net effect differs from the raw +18 of the new item(s) because of the 0-100 clamp. New total: 50 +9 capped cosmetic/commercial +115 civic/financial/structural +0 negatives (clamped) = 100.</t>
        </is>
      </c>
      <c r="G16" s="83" t="inlineStr">
        <is>
          <t>(+18) p_leadership_vocal — https://www.reuters.com/technology/apple-investors-reject-proposal-against-dei-policies-2025-02-25/</t>
        </is>
      </c>
    </row>
    <row r="17">
      <c r="A17" s="83" t="inlineStr">
        <is>
          <t>Google / Alphabet</t>
        </is>
      </c>
      <c r="B17" s="83" t="n">
        <v>2015</v>
      </c>
      <c r="C17" s="83" t="n">
        <v>100</v>
      </c>
      <c r="D17" s="83" t="inlineStr"/>
      <c r="E17" s="83" t="inlineStr">
        <is>
          <t>Baseline</t>
        </is>
      </c>
      <c r="F17" s="83" t="inlineStr">
        <is>
          <t>2015 baseline = 100. Math: 50 +3 capped cosmetic/commercial +49 civic/financial/structural +0 negatives (clamped to 0-100). Positive evidence in force: Annual Pride Doodles/branding and rainbow campaigns (+3); San Francisco Pride sponsorship and employee march contingent (two de… (+12); Funded LGBTQ+ ERGs (Pride at Google) (+15); Trans-inclusive healthcare benefits, early industry gold standard, st… (+22)</t>
        </is>
      </c>
      <c r="G17" s="83" t="inlineStr">
        <is>
          <t>(+3) p_logo_rainbow — https://web.archive.org/web/2024/https://about.google/belonging/ [documented as of 2024; credited from 2015 per methodology] || (+12) p_parade_sponsor — https://web.archive.org/web/2024/https://about.google/belonging/ [documented as of 2024; credited from 2015 per methodology] || (+15) p_erg_support — https://web.archive.org/web/2024/https://about.google/belonging/ [documented as of 2024; credited from 2015 per methodology] || (+22) p_benefits — https://reports.hrc.org/corporate-equality-index-2025 [documented as of 2025; credited from 2015 per methodology]</t>
        </is>
      </c>
    </row>
    <row r="18">
      <c r="A18" s="83" t="inlineStr">
        <is>
          <t>Google / Alphabet</t>
        </is>
      </c>
      <c r="B18" s="83" t="n">
        <v>2025</v>
      </c>
      <c r="C18" s="83" t="n">
        <v>48</v>
      </c>
      <c r="D18" s="83" t="n">
        <v>-52</v>
      </c>
      <c r="E18" s="83" t="inlineStr">
        <is>
          <t>Change</t>
        </is>
      </c>
      <c r="F18" s="83" t="inlineStr">
        <is>
          <t>Score falls from 100 to 48 (-52). Driver(s): n_dei_removal (-32): Ended diversity hiring targets; scrubbed diversity from 10-K and Responsible AI page; CDO title changed | n_pride_retreat (-22): Removed Pride Month (and other heritage observances) from Google Calendar defaults. Net effect differs from the raw -54 of the new item(s) because of the 0-100 clamp. New total: 50 +3 capped cosmetic/commercial +49 civic/financial/structural -54 negatives = 48.</t>
        </is>
      </c>
      <c r="G18" s="83" t="inlineStr">
        <is>
          <t>(-32) n_dei_removal — https://techcrunch.com/2025/04/17/here-are-all-the-tech-companies-rolling-back-dei-or-still-committed-to-it-so-far/ || (-22) n_pride_retreat — https://www.axios.com/2025/02/12/google-calendar-holidays-heritage-months-remove-diversity</t>
        </is>
      </c>
    </row>
    <row r="19">
      <c r="A19" s="83" t="inlineStr">
        <is>
          <t>Meta</t>
        </is>
      </c>
      <c r="B19" s="83" t="n">
        <v>2015</v>
      </c>
      <c r="C19" s="83" t="n">
        <v>92</v>
      </c>
      <c r="D19" s="83" t="inlineStr"/>
      <c r="E19" s="83" t="inlineStr">
        <is>
          <t>Baseline</t>
        </is>
      </c>
      <c r="F19" s="83" t="inlineStr">
        <is>
          <t>2015 baseline = 92. Math: 50 +5 capped cosmetic/commercial +37 civic/financial/structural +0 negatives. Positive evidence in force: Annual Pride branding, rainbow reactions and profile frames across pl… (+3); Annual corporate Pride Month statements (+2); Funded LGBTQ+ employee resource group (pre-2025) (+15); Trans-inclusive healthcare and partner benefits (CEI-verified) (+22)</t>
        </is>
      </c>
      <c r="G19" s="83" t="inlineStr">
        <is>
          <t>(+3) p_logo_rainbow — https://web.archive.org/web/2024/https://about.meta.com/community/ [documented as of 2024; credited from 2015 per methodology] || (+2) p_generic_post — https://web.archive.org/web/2024/https://about.meta.com/community/ [documented as of 2024; credited from 2015 per methodology] || (+15) p_erg_support — https://web.archive.org/web/2024/https://about.meta.com/community/ [documented as of 2024; credited from 2015 per methodology] || (+22) p_benefits — https://reports.hrc.org/corporate-equality-index-2025 [documented as of 2024; credited from 2015 per methodology]</t>
        </is>
      </c>
    </row>
    <row r="20">
      <c r="A20" s="83" t="inlineStr">
        <is>
          <t>Meta</t>
        </is>
      </c>
      <c r="B20" s="83" t="n">
        <v>2025</v>
      </c>
      <c r="C20" s="83" t="n">
        <v>28</v>
      </c>
      <c r="D20" s="83" t="n">
        <v>-64</v>
      </c>
      <c r="E20" s="83" t="inlineStr">
        <is>
          <t>Change</t>
        </is>
      </c>
      <c r="F20" s="83" t="inlineStr">
        <is>
          <t>Score falls from 92 to 28 (-64). Driver(s): n_dei_removal (-32): Dissolved DEI team, ended representation goals and diverse-slate hiring (leaked memo) | n_selective (-10): Hateful Conduct policy rewritten to permit calling LGBTQ+ people mentally ill; trans/nonbinary Messenger themes removed | n_pride_retreat (-22): Public renunciation of DEI commitments framed around 'legal and policy landscape'; GLAAD severed ties. New total: 50 +5 capped cosmetic/commercial +37 civic/financial/structural -64 negatives = 28.</t>
        </is>
      </c>
      <c r="G20" s="83" t="inlineStr">
        <is>
          <t>(-32) n_dei_removal — https://www.cbsnews.com/news/meta-dei-programs-mcdonalds-walmart-ford-diversity/ || (-10) n_selective — https://www.lgbtqnation.com/2025/01/amazon-removes-section-on-lgbtq-rights-from-its-policy-page/ || (-22) n_pride_retreat — https://www.cbsnews.com/news/meta-dei-programs-mcdonalds-walmart-ford-diversity/</t>
        </is>
      </c>
    </row>
    <row r="21">
      <c r="A21" s="83" t="inlineStr">
        <is>
          <t>Microsoft</t>
        </is>
      </c>
      <c r="B21" s="83" t="n">
        <v>2015</v>
      </c>
      <c r="C21" s="83" t="n">
        <v>100</v>
      </c>
      <c r="D21" s="83" t="inlineStr"/>
      <c r="E21" s="83" t="inlineStr">
        <is>
          <t>Baseline</t>
        </is>
      </c>
      <c r="F21" s="83" t="inlineStr">
        <is>
          <t>2015 baseline = 100. Math: 50 +11 capped cosmetic/commercial +85 civic/financial/structural +0 negatives (clamped to 0-100). Positive evidence in force: Annual Pride branding across Microsoft/Xbox channels (+3); Annual Pride Month statements (+2); Xbox Pride controller and Pride merchandise with LGBTQ+ nonprofit sup… (+6); GLEAM (Global LGBTQIA+ Employees and Allies at Microsoft) ERG, compan… (+15); Comprehensive partner and gender-affirming benefits (CEI-verified) (+22); Global Diversity &amp; Inclusion report and explicit LGBTQ+ inclusion com… (+20); 35+ years: sexual orientation in nondiscrimination policy since 1989;… (+28)</t>
        </is>
      </c>
      <c r="G21" s="83" t="inlineStr">
        <is>
          <t>(+3) p_logo_rainbow — https://unlocked.microsoft.com/pride/ [documented as of 2025; credited from 2015 per methodology] || (+2) p_generic_post — https://unlocked.microsoft.com/pride/ [documented as of 2025; credited from 2015 per methodology] || (+6) p_merch_collection — https://news.xbox.com/en-us/2024/06/01/xbox-pride-2024/ [documented as of 2024; credited from 2015 per methodology] || (+15) p_erg_support — https://www.microsoft.com/en-us/diversity/inside-microsoft/global-lgbtqia [documented as of 2025; credited from 2015 per methodology] || (+22) p_benefits — https://reports.hrc.org/corporate-equality-index-2025 [documented as of 2025; credited from 2015 per methodology] || (+20) p_dei_explicit — https://blogs.microsoft.com/blog/2024/10/23/microsofts-2024-global-diversity-inclusion-report-our-most-global-transparent-report-yet/ [documented as of 2025; credited from 2015 per methodology] || (+28) p_consistent_history — https://reports.hrc.org/corporate-equality-index-2025 [documented as of 2025; credited from 2015 per methodology]</t>
        </is>
      </c>
    </row>
    <row r="22">
      <c r="A22" s="83" t="inlineStr">
        <is>
          <t>Amazon</t>
        </is>
      </c>
      <c r="B22" s="83" t="n">
        <v>2015</v>
      </c>
      <c r="C22" s="83" t="n">
        <v>76</v>
      </c>
      <c r="D22" s="83" t="inlineStr"/>
      <c r="E22" s="83" t="inlineStr">
        <is>
          <t>Baseline</t>
        </is>
      </c>
      <c r="F22" s="83" t="inlineStr">
        <is>
          <t>2015 baseline = 76. Math: 50 +11 capped cosmetic/commercial +15 civic/financial/structural +0 negatives. Positive evidence in force: Annual Pride branding and storefronts (+3); Annual Pride Month posts/statements (+2); Pride merchandise collections and dedicated Pride storefront (+6); glamazon LGBTQ+ ERG, company-funded, continues to operate (+15)</t>
        </is>
      </c>
      <c r="G22" s="83" t="inlineStr">
        <is>
          <t>(+3) p_logo_rainbow — https://web.archive.org/web/2024/https://www.aboutamazon.com/affinity-groups/glamazon [documented as of 2024; credited from 2015 per methodology] || (+2) p_generic_post — https://web.archive.org/web/2024/https://www.aboutamazon.com/affinity-groups/glamazon [documented as of 2024; credited from 2015 per methodology] || (+6) p_merch_collection — https://web.archive.org/web/2024/https://www.amazon.com/pride [documented as of 2024; credited from 2015 per methodology] || (+15) p_erg_support — https://www.aboutamazon.com/affinity-groups/glamazon [documented as of 2025; credited from 2015 per methodology]</t>
        </is>
      </c>
    </row>
    <row r="23">
      <c r="A23" s="83" t="inlineStr">
        <is>
          <t>Amazon</t>
        </is>
      </c>
      <c r="B23" s="83" t="n">
        <v>2021</v>
      </c>
      <c r="C23" s="83" t="n">
        <v>46</v>
      </c>
      <c r="D23" s="83" t="n">
        <v>-30</v>
      </c>
      <c r="E23" s="83" t="inlineStr">
        <is>
          <t>Change</t>
        </is>
      </c>
      <c r="F23" s="83" t="inlineStr">
        <is>
          <t>Score falls from 76 to 46 (-30). Driver(s): n_anti_lgbtq_donations (-30): Documented $87,900 to 17 anti-LGBTQ+ bill sponsors, 2019-2022 (Data for Progress). New total: 50 +11 capped cosmetic/commercial +15 civic/financial/structural -30 negatives = 46.</t>
        </is>
      </c>
      <c r="G23" s="83" t="inlineStr">
        <is>
          <t>(-30) n_anti_lgbtq_donations — https://www.filesforprogress.org/datasets/2022/5/AccountableAllies-Data.pdf</t>
        </is>
      </c>
    </row>
    <row r="24">
      <c r="A24" s="83" t="inlineStr">
        <is>
          <t>Amazon</t>
        </is>
      </c>
      <c r="B24" s="83" t="n">
        <v>2025</v>
      </c>
      <c r="C24" s="83" t="n">
        <v>14</v>
      </c>
      <c r="D24" s="83" t="n">
        <v>-32</v>
      </c>
      <c r="E24" s="83" t="inlineStr">
        <is>
          <t>Change</t>
        </is>
      </c>
      <c r="F24" s="83" t="inlineStr">
        <is>
          <t>Score falls from 46 to 14 (-32). Driver(s): n_dei_removal (-32): Wound down DEI programs (Dec 2024 memo); scrubbed 'LGBTQ+ rights,' 'transgender' and gender-affirming-care language from position…. New total: 50 +11 capped cosmetic/commercial +15 civic/financial/structural -62 negatives = 14.</t>
        </is>
      </c>
      <c r="G24" s="83" t="inlineStr">
        <is>
          <t>(-32) n_dei_removal — https://www.lgbtqnation.com/2025/01/amazon-removes-section-on-lgbtq-rights-from-its-policy-page/</t>
        </is>
      </c>
    </row>
    <row r="25">
      <c r="A25" s="83" t="inlineStr">
        <is>
          <t>Salesforce</t>
        </is>
      </c>
      <c r="B25" s="83" t="n">
        <v>2015</v>
      </c>
      <c r="C25" s="83" t="n">
        <v>92</v>
      </c>
      <c r="D25" s="83" t="inlineStr"/>
      <c r="E25" s="83" t="inlineStr">
        <is>
          <t>Baseline</t>
        </is>
      </c>
      <c r="F25" s="83" t="inlineStr">
        <is>
          <t>2015 baseline = 92. Math: 50 +5 capped cosmetic/commercial +37 civic/financial/structural +0 negatives. Positive evidence in force: Annual Pride/rainbow Salesforce branding incl. Pride-themed mascots a… (+3); Annual Pride Month statements (+2); Outforce LGBTQ+ ERG, company-funded (+15); Inclusive partner and gender-affirming benefits (CEI-verified) (+22)</t>
        </is>
      </c>
      <c r="G25" s="83" t="inlineStr">
        <is>
          <t>(+3) p_logo_rainbow — https://web.archive.org/web/2024/https://www.salesforce.com/company/equality/ [documented as of 2024; credited from 2015 per methodology] || (+2) p_generic_post — https://web.archive.org/web/2024/https://www.salesforce.com/company/equality/ [documented as of 2024; credited from 2015 per methodology] || (+15) p_erg_support — https://www.salesforce.com/company/equality/ [documented as of 2025; credited from 2015 per methodology] || (+22) p_benefits — https://reports.hrc.org/corporate-equality-index-2025 [documented as of 2025; credited from 2015 per methodology]</t>
        </is>
      </c>
    </row>
    <row r="26">
      <c r="A26" s="83" t="inlineStr">
        <is>
          <t>Salesforce</t>
        </is>
      </c>
      <c r="B26" s="83" t="n">
        <v>2025</v>
      </c>
      <c r="C26" s="83" t="n">
        <v>78</v>
      </c>
      <c r="D26" s="83" t="n">
        <v>-14</v>
      </c>
      <c r="E26" s="83" t="inlineStr">
        <is>
          <t>Change</t>
        </is>
      </c>
      <c r="F26" s="83" t="inlineStr">
        <is>
          <t>Score falls from 92 to 78 (-14). Driver(s): p_leadership_vocal (+18): Benioff's public campaigns against Indiana RFRA (2015) and Georgia anti-LGBTQ+ legislation; 2025 pledge to stand by employees | n_dei_removal (-32): Dropped diversity hiring goals; removed diversity-as-core-value and exec-comp diversity language from annual filing. New total: 50 +5 capped cosmetic/commercial +55 civic/financial/structural -32 negatives = 78.</t>
        </is>
      </c>
      <c r="G26" s="83" t="inlineStr">
        <is>
          <t>(+18) p_leadership_vocal — https://www.sfexaminer.com/news/technology/salesforce-drops-goals-for-hiring-minorities-and-women/article_0fd0ceec-fa23-11ef-913d-8f79e68d0c56.html || (-32) n_dei_removal — https://www.techrepublic.com/article/salesforce-diversity-shift-legal-compliance/</t>
        </is>
      </c>
    </row>
    <row r="27">
      <c r="A27" s="83" t="inlineStr">
        <is>
          <t>IBM</t>
        </is>
      </c>
      <c r="B27" s="83" t="n">
        <v>2015</v>
      </c>
      <c r="C27" s="83" t="n">
        <v>89</v>
      </c>
      <c r="D27" s="83" t="inlineStr"/>
      <c r="E27" s="83" t="inlineStr">
        <is>
          <t>Baseline</t>
        </is>
      </c>
      <c r="F27" s="83" t="inlineStr">
        <is>
          <t>2015 baseline = 89. Math: 50 +2 capped cosmetic/commercial +37 civic/financial/structural +0 negatives. Positive evidence in force: Annual Pride Month statements and branding (+2); EAGLE LGBTQ+ ERG, funded for decades (+15); Early adopter of trans-inclusive health benefits; comprehensive partn… (+22)</t>
        </is>
      </c>
      <c r="G27" s="83" t="inlineStr">
        <is>
          <t>(+2) p_generic_post — https://web.archive.org/web/2024/https://www.ibm.com/impact/be-equal [documented as of 2024; credited from 2015 per methodology] || (+15) p_erg_support — https://web.archive.org/web/2024/https://www.ibm.com/impact/be-equal [documented as of 2024; credited from 2015 per methodology] || (+22) p_benefits — https://reports.hrc.org/corporate-equality-index-2025 [documented as of 2024; credited from 2015 per methodology]</t>
        </is>
      </c>
    </row>
    <row r="28">
      <c r="A28" s="83" t="inlineStr">
        <is>
          <t>IBM</t>
        </is>
      </c>
      <c r="B28" s="83" t="n">
        <v>2025</v>
      </c>
      <c r="C28" s="83" t="n">
        <v>57</v>
      </c>
      <c r="D28" s="83" t="n">
        <v>-32</v>
      </c>
      <c r="E28" s="83" t="inlineStr">
        <is>
          <t>Change</t>
        </is>
      </c>
      <c r="F28" s="83" t="inlineStr">
        <is>
          <t>Score falls from 89 to 57 (-32). Driver(s): n_dei_removal (-32): Ended DEI department and Diversity Council; dropped exec-comp diversity ties; revised supplier diversity (April 2025 memo). New total: 50 +2 capped cosmetic/commercial +37 civic/financial/structural -32 negatives = 57.</t>
        </is>
      </c>
      <c r="G28" s="83" t="inlineStr">
        <is>
          <t>(-32) n_dei_removal — https://www.hr-brew.com/stories/2025/05/06/ibm-reverses-course-on-decades-of-dei-efforts</t>
        </is>
      </c>
    </row>
    <row r="29">
      <c r="A29" s="83" t="inlineStr">
        <is>
          <t>Oracle</t>
        </is>
      </c>
      <c r="B29" s="83" t="n">
        <v>2015</v>
      </c>
      <c r="C29" s="83" t="n">
        <v>52</v>
      </c>
      <c r="D29" s="83" t="inlineStr"/>
      <c r="E29" s="83" t="inlineStr">
        <is>
          <t>Baseline</t>
        </is>
      </c>
      <c r="F29" s="83" t="inlineStr">
        <is>
          <t>2015 baseline = 52. Math: 50 +2 capped cosmetic/commercial +0 civic/financial/structural +0 negatives. Positive evidence in force: Occasional Pride Month posts; culture-and-inclusion careers page rema… (+2)</t>
        </is>
      </c>
      <c r="G29" s="83" t="inlineStr">
        <is>
          <t>(+2) p_generic_post — https://www.oracle.com/careers/culture-inclusion/ [documented as of 2024; credited from 2015 per methodology]</t>
        </is>
      </c>
    </row>
    <row r="30">
      <c r="A30" s="83" t="inlineStr">
        <is>
          <t>Dell</t>
        </is>
      </c>
      <c r="B30" s="83" t="n">
        <v>2015</v>
      </c>
      <c r="C30" s="83" t="n">
        <v>67</v>
      </c>
      <c r="D30" s="83" t="inlineStr"/>
      <c r="E30" s="83" t="inlineStr">
        <is>
          <t>Baseline</t>
        </is>
      </c>
      <c r="F30" s="83" t="inlineStr">
        <is>
          <t>2015 baseline = 67. Math: 50 +2 capped cosmetic/commercial +15 civic/financial/structural +0 negatives. Positive evidence in force: Annual Pride Month posts and branding (+2); Funded Pride ERG at Dell Technologies (+15)</t>
        </is>
      </c>
      <c r="G30" s="83" t="inlineStr">
        <is>
          <t>(+2) p_generic_post — https://web.archive.org/web/2024/https://www.dell.com/en-us/dt/corporate/social-impact/cultivating-inclusion.htm [documented as of 2024; credited from 2015 per methodology] || (+15) p_erg_support — https://web.archive.org/web/2024/https://www.dell.com/en-us/dt/corporate/social-impact/cultivating-inclusion.htm [documented as of 2024; credited from 2015 per methodology]</t>
        </is>
      </c>
    </row>
    <row r="31">
      <c r="A31" s="83" t="inlineStr">
        <is>
          <t>Dell</t>
        </is>
      </c>
      <c r="B31" s="83" t="n">
        <v>2025</v>
      </c>
      <c r="C31" s="83" t="n">
        <v>35</v>
      </c>
      <c r="D31" s="83" t="n">
        <v>-32</v>
      </c>
      <c r="E31" s="83" t="inlineStr">
        <is>
          <t>Change</t>
        </is>
      </c>
      <c r="F31" s="83" t="inlineStr">
        <is>
          <t>Score falls from 67 to 35 (-32). Driver(s): n_dei_removal (-32): Rolled back DEI programs and diversity goals during the 2024-25 retreat wave. New total: 50 +2 capped cosmetic/commercial +15 civic/financial/structural -32 negatives = 35.</t>
        </is>
      </c>
      <c r="G31" s="83" t="inlineStr">
        <is>
          <t>(-32) n_dei_removal — https://www.cio.com/article/3854334/the-current-state-of-dei-in-the-tech-industry.html</t>
        </is>
      </c>
    </row>
    <row r="32">
      <c r="A32" s="83" t="inlineStr">
        <is>
          <t>HP</t>
        </is>
      </c>
      <c r="B32" s="83" t="n">
        <v>2015</v>
      </c>
      <c r="C32" s="83" t="n">
        <v>89</v>
      </c>
      <c r="D32" s="83" t="inlineStr"/>
      <c r="E32" s="83" t="inlineStr">
        <is>
          <t>Baseline</t>
        </is>
      </c>
      <c r="F32" s="83" t="inlineStr">
        <is>
          <t>2015 baseline = 89. Math: 50 +2 capped cosmetic/commercial +37 civic/financial/structural +0 negatives. Positive evidence in force: Annual Pride Month posts and branding (+2); Funded LGBTQ+ ERG (Pride Business Impact Network) (+15); Inclusive partner and gender-affirming benefits (CEI-verified) (+22)</t>
        </is>
      </c>
      <c r="G32" s="83" t="inlineStr">
        <is>
          <t>(+2) p_generic_post — https://web.archive.org/web/2024/https://www.hp.com/us-en/hp-information/about-hp/diversity.html [documented as of 2024; credited from 2015 per methodology] || (+15) p_erg_support — https://web.archive.org/web/2024/https://www.hp.com/us-en/hp-information/about-hp/diversity.html [documented as of 2024; credited from 2015 per methodology] || (+22) p_benefits — https://reports.hrc.org/corporate-equality-index-2025 [documented as of 2024; credited from 2015 per methodology]</t>
        </is>
      </c>
    </row>
    <row r="33">
      <c r="A33" s="83" t="inlineStr">
        <is>
          <t>Walmart</t>
        </is>
      </c>
      <c r="B33" s="83" t="n">
        <v>2015</v>
      </c>
      <c r="C33" s="83" t="n">
        <v>88</v>
      </c>
      <c r="D33" s="83" t="inlineStr"/>
      <c r="E33" s="83" t="inlineStr">
        <is>
          <t>Baseline</t>
        </is>
      </c>
      <c r="F33" s="83" t="inlineStr">
        <is>
          <t>2015 baseline = 88. Math: 50 +11 capped cosmetic/commercial +27 civic/financial/structural +0 negatives. Positive evidence in force: Annual rainbow branding during Pride Month (through 2024) (+3); Annual Pride Month statements (+2); Pride merchandise assortment sold annually (scaled back after 2024) (+6); Sponsorship of Pride events incl. Stonewall Columbus (ended 2025) (+12); Funded PRIDE associate resource group (+15)</t>
        </is>
      </c>
      <c r="G33" s="83" t="inlineStr">
        <is>
          <t>(+3) p_logo_rainbow — https://web.archive.org/web/2024/https://corporate.walmart.com/purpose/belonging [documented as of 2024; credited from 2015 per methodology] || (+2) p_generic_post — https://web.archive.org/web/2024/https://corporate.walmart.com/purpose/belonging [documented as of 2024; credited from 2015 per methodology] || (+6) p_merch_collection — https://www.techtarget.com/whatis/feature/What-companies-are-rolling-back-DEI-policies [documented as of 2024; credited from 2015 per methodology] || (+12) p_parade_sponsor — https://www.advocate.com/news/companies-that-stopped-sponsoring-pride [documented as of 2024; credited from 2015 per methodology] || (+15) p_erg_support — https://web.archive.org/web/2024/https://corporate.walmart.com/purpose/belonging [documented as of 2024; credited from 2015 per methodology]</t>
        </is>
      </c>
    </row>
    <row r="34">
      <c r="A34" s="83" t="inlineStr">
        <is>
          <t>Walmart</t>
        </is>
      </c>
      <c r="B34" s="83" t="n">
        <v>2023</v>
      </c>
      <c r="C34" s="83" t="n">
        <v>58</v>
      </c>
      <c r="D34" s="83" t="n">
        <v>-30</v>
      </c>
      <c r="E34" s="83" t="inlineStr">
        <is>
          <t>Change</t>
        </is>
      </c>
      <c r="F34" s="83" t="inlineStr">
        <is>
          <t>Score falls from 88 to 58 (-30). Driver(s): n_anti_lgbtq_donations (-30): Documented $965,000 since Nov 2022 to anti-LGBTQ+ politicians: $280,500 to 79 zero-HRC-rated members of Congress, $535,000 to RGA…. New total: 50 +11 capped cosmetic/commercial +27 civic/financial/structural -30 negatives = 58.</t>
        </is>
      </c>
      <c r="G34" s="83" t="inlineStr">
        <is>
          <t>(-30) n_anti_lgbtq_donations — https://popular.info/p/these-25-rainbow-flag-waving-companies</t>
        </is>
      </c>
    </row>
    <row r="35">
      <c r="A35" s="83" t="inlineStr">
        <is>
          <t>Walmart</t>
        </is>
      </c>
      <c r="B35" s="83" t="n">
        <v>2024</v>
      </c>
      <c r="C35" s="83" t="n">
        <v>26</v>
      </c>
      <c r="D35" s="83" t="n">
        <v>-32</v>
      </c>
      <c r="E35" s="83" t="inlineStr">
        <is>
          <t>Change</t>
        </is>
      </c>
      <c r="F35" s="83" t="inlineStr">
        <is>
          <t>Score falls from 58 to 26 (-32). Driver(s): n_dei_removal (-32): Ended CEI participation, supplier diversity, equity training; erased 'diversity' from documents; pulled some LGBTQ+ products. New total: 50 +11 capped cosmetic/commercial +27 civic/financial/structural -62 negatives = 26.</t>
        </is>
      </c>
      <c r="G35" s="83" t="inlineStr">
        <is>
          <t>(-32) n_dei_removal — https://www.techtarget.com/whatis/feature/What-companies-are-rolling-back-DEI-policies</t>
        </is>
      </c>
    </row>
    <row r="36">
      <c r="A36" s="83" t="inlineStr">
        <is>
          <t>Walmart</t>
        </is>
      </c>
      <c r="B36" s="83" t="n">
        <v>2025</v>
      </c>
      <c r="C36" s="83" t="n">
        <v>4</v>
      </c>
      <c r="D36" s="83" t="n">
        <v>-22</v>
      </c>
      <c r="E36" s="83" t="inlineStr">
        <is>
          <t>Change</t>
        </is>
      </c>
      <c r="F36" s="83" t="inlineStr">
        <is>
          <t>Score falls from 26 to 4 (-22). Driver(s): n_pride_retreat (-22): Withdrew Stonewall Columbus Pride sponsorship; scaled back Pride event support nationally. New total: 50 +11 capped cosmetic/commercial +27 civic/financial/structural -84 negatives = 4.</t>
        </is>
      </c>
      <c r="G36" s="83" t="inlineStr">
        <is>
          <t>(-22) n_pride_retreat — https://www.advocate.com/news/companies-that-stopped-sponsoring-pride</t>
        </is>
      </c>
    </row>
    <row r="37">
      <c r="A37" s="83" t="inlineStr">
        <is>
          <t>Target</t>
        </is>
      </c>
      <c r="B37" s="83" t="n">
        <v>2015</v>
      </c>
      <c r="C37" s="83" t="n">
        <v>73</v>
      </c>
      <c r="D37" s="83" t="inlineStr"/>
      <c r="E37" s="83" t="inlineStr">
        <is>
          <t>Baseline</t>
        </is>
      </c>
      <c r="F37" s="83" t="inlineStr">
        <is>
          <t>2015 baseline = 73. Math: 50 +11 capped cosmetic/commercial +12 civic/financial/structural +0 negatives. Positive evidence in force: Annual rainbow branding and Pride campaign visuals (+3); Annual Pride Month statements (+2); Major annual Pride merchandise collections (2012-2023 era flagship re… (+6); Longtime Twin Cities Pride sponsor; NYC Pride Platinum-level donor ($… (+12)</t>
        </is>
      </c>
      <c r="G37" s="83" t="inlineStr">
        <is>
          <t>(+3) p_logo_rainbow — https://en.wikipedia.org/wiki/2023_Target_Pride_Month_merchandise_backlash [documented as of 2024; credited from 2015 per methodology] || (+2) p_generic_post — https://web.archive.org/web/2024/https://corporate.target.com/sustainability-governance/our-team/diversity-equity-inclusion [documented as of 2024; credited from 2015 per methodology] || (+6) p_merch_collection — https://en.wikipedia.org/wiki/2023_Target_Pride_Month_merchandise_backlash [documented as of 2023; credited from 2015 per methodology] || (+12) p_parade_sponsor — https://www.advocate.com/news/companies-that-stopped-sponsoring-pride [documented as of 2024; credited from 2015 per methodology]</t>
        </is>
      </c>
    </row>
    <row r="38">
      <c r="A38" s="83" t="inlineStr">
        <is>
          <t>Target</t>
        </is>
      </c>
      <c r="B38" s="83" t="n">
        <v>2023</v>
      </c>
      <c r="C38" s="83" t="n">
        <v>59</v>
      </c>
      <c r="D38" s="83" t="n">
        <v>-14</v>
      </c>
      <c r="E38" s="83" t="inlineStr">
        <is>
          <t>Change</t>
        </is>
      </c>
      <c r="F38" s="83" t="inlineStr">
        <is>
          <t>Score falls from 73 to 59 (-14). Driver(s): p_collab (+8): Pride collections designed with LGBTQ+ designers and brands | n_pride_retreat (-22): Pulled Pride merchandise from stores under pressure (2023); 2025 NYC Pride support reduced to unlisted 'silent partner'; dropped…. New total: 50 +19 capped cosmetic/commercial +12 civic/financial/structural -22 negatives = 59.</t>
        </is>
      </c>
      <c r="G38" s="83" t="inlineStr">
        <is>
          <t>(+8) p_collab — https://en.wikipedia.org/wiki/2023_Target_Pride_Month_merchandise_backlash || (-22) n_pride_retreat — https://en.wikipedia.org/wiki/2023_Target_Pride_Month_merchandise_backlash</t>
        </is>
      </c>
    </row>
    <row r="39">
      <c r="A39" s="83" t="inlineStr">
        <is>
          <t>Target</t>
        </is>
      </c>
      <c r="B39" s="83" t="n">
        <v>2025</v>
      </c>
      <c r="C39" s="83" t="n">
        <v>27</v>
      </c>
      <c r="D39" s="83" t="n">
        <v>-32</v>
      </c>
      <c r="E39" s="83" t="inlineStr">
        <is>
          <t>Change</t>
        </is>
      </c>
      <c r="F39" s="83" t="inlineStr">
        <is>
          <t>Score falls from 59 to 27 (-32). Driver(s): n_dei_removal (-32): Ended three-year DEI goals; stopped reporting to HRC CEI and other external surveys; ended minority-supplier program. New total: 50 +19 capped cosmetic/commercial +12 civic/financial/structural -54 negatives = 27.</t>
        </is>
      </c>
      <c r="G39" s="83" t="inlineStr">
        <is>
          <t>(-32) n_dei_removal — https://www.cnbc.com/2025/01/24/target-rolls-back-major-dei-initiatives.html</t>
        </is>
      </c>
    </row>
    <row r="40">
      <c r="A40" s="83" t="inlineStr">
        <is>
          <t>Costco</t>
        </is>
      </c>
      <c r="B40" s="83" t="n">
        <v>2015</v>
      </c>
      <c r="C40" s="83" t="n">
        <v>92</v>
      </c>
      <c r="D40" s="83" t="inlineStr"/>
      <c r="E40" s="83" t="inlineStr">
        <is>
          <t>Baseline</t>
        </is>
      </c>
      <c r="F40" s="83" t="inlineStr">
        <is>
          <t>2015 baseline = 92. Math: 50 +0 capped cosmetic/commercial +42 civic/financial/structural +0 negatives. Positive evidence in force: Board publicly defended diversity &amp; inclusion commitments against ant… (+20); Inclusive partner and transgender-inclusive health benefits (+22)</t>
        </is>
      </c>
      <c r="G40" s="83" t="inlineStr">
        <is>
          <t>(+20) p_dei_explicit — https://www.cbsnews.com/news/costco-dei-policy-board-statement-shareholder-meeting-vote/ [documented as of 2025; credited from 2015 per methodology] || (+22) p_benefits — https://reports.hrc.org/corporate-equality-index-2025 [documented as of 2024; credited from 2015 per methodology]</t>
        </is>
      </c>
    </row>
    <row r="41">
      <c r="A41" s="83" t="inlineStr">
        <is>
          <t>Home Depot</t>
        </is>
      </c>
      <c r="B41" s="83" t="n">
        <v>2015</v>
      </c>
      <c r="C41" s="83" t="n">
        <v>50</v>
      </c>
      <c r="D41" s="83" t="inlineStr"/>
      <c r="E41" s="83" t="inlineStr">
        <is>
          <t>Baseline</t>
        </is>
      </c>
      <c r="F41" s="83" t="inlineStr">
        <is>
          <t>2015 baseline = 50 (neutral). No documented LGBTQ+-related actions, positive or negative, attributable to this year; the company starts at the index's no-engagement baseline.</t>
        </is>
      </c>
      <c r="G41" s="83" t="inlineStr"/>
    </row>
    <row r="42">
      <c r="A42" s="83" t="inlineStr">
        <is>
          <t>Lowe's</t>
        </is>
      </c>
      <c r="B42" s="83" t="n">
        <v>2015</v>
      </c>
      <c r="C42" s="83" t="n">
        <v>82</v>
      </c>
      <c r="D42" s="83" t="inlineStr"/>
      <c r="E42" s="83" t="inlineStr">
        <is>
          <t>Baseline</t>
        </is>
      </c>
      <c r="F42" s="83" t="inlineStr">
        <is>
          <t>2015 baseline = 82. Math: 50 +5 capped cosmetic/commercial +27 civic/financial/structural +0 negatives. Positive evidence in force: Pride Month branding (through 2024) (+3); Annual Pride Month statements (+2); Pride event sponsorships incl. Stonewall Columbus (ended) (+12); Funded LGBTQ+ ERG (folded into umbrella group Aug 2024) (+15)</t>
        </is>
      </c>
      <c r="G42" s="83" t="inlineStr">
        <is>
          <t>(+3) p_logo_rainbow — https://web.archive.org/web/2024/https://corporate.lowes.com/who-we-are/culture-diversity [documented as of 2024; credited from 2015 per methodology] || (+2) p_generic_post — https://web.archive.org/web/2024/https://corporate.lowes.com/who-we-are/culture-diversity [documented as of 2024; credited from 2015 per methodology] || (+12) p_parade_sponsor — https://www.advocate.com/news/companies-that-stopped-sponsoring-pride [documented as of 2024; credited from 2015 per methodology] || (+15) p_erg_support — https://www.hrc.org/press-releases/hrc-foundation-announces-record-participation-in-upcoming-2025-corporate-equality-index-docks-scores-of-seven-companies-in-current-ranking-following-their-pullback-from-workplace-inclusion [documented as of 2023; credited from 2015 per methodology]</t>
        </is>
      </c>
    </row>
    <row r="43">
      <c r="A43" s="83" t="inlineStr">
        <is>
          <t>Lowe's</t>
        </is>
      </c>
      <c r="B43" s="83" t="n">
        <v>2024</v>
      </c>
      <c r="C43" s="83" t="n">
        <v>50</v>
      </c>
      <c r="D43" s="83" t="n">
        <v>-32</v>
      </c>
      <c r="E43" s="83" t="inlineStr">
        <is>
          <t>Change</t>
        </is>
      </c>
      <c r="F43" s="83" t="inlineStr">
        <is>
          <t>Score falls from 82 to 50 (-32). Driver(s): n_dei_removal (-32): Ended CEI participation, consolidated identity ERGs, ended Pride sponsorships after activist pressure; HRC docked CEI score -25. New total: 50 +5 capped cosmetic/commercial +27 civic/financial/structural -32 negatives = 50.</t>
        </is>
      </c>
      <c r="G43" s="83" t="inlineStr">
        <is>
          <t>(-32) n_dei_removal — https://www.hrc.org/press-releases/hrc-foundation-announces-record-participation-in-upcoming-2025-corporate-equality-index-docks-scores-of-seven-companies-in-current-ranking-following-their-pullback-from-workplace-inclusion</t>
        </is>
      </c>
    </row>
    <row r="44">
      <c r="A44" s="83" t="inlineStr">
        <is>
          <t>Lowe's</t>
        </is>
      </c>
      <c r="B44" s="83" t="n">
        <v>2025</v>
      </c>
      <c r="C44" s="83" t="n">
        <v>28</v>
      </c>
      <c r="D44" s="83" t="n">
        <v>-22</v>
      </c>
      <c r="E44" s="83" t="inlineStr">
        <is>
          <t>Change</t>
        </is>
      </c>
      <c r="F44" s="83" t="inlineStr">
        <is>
          <t>Score falls from 50 to 28 (-22). Driver(s): n_pride_retreat (-22): Withdrew Columbus Pride support in 2025 (part of ~$125K in withdrawn sponsorships). New total: 50 +5 capped cosmetic/commercial +27 civic/financial/structural -54 negatives = 28.</t>
        </is>
      </c>
      <c r="G44" s="83" t="inlineStr">
        <is>
          <t>(-22) n_pride_retreat — https://www.advocate.com/news/companies-that-stopped-sponsoring-pride</t>
        </is>
      </c>
    </row>
    <row r="45">
      <c r="A45" s="83" t="inlineStr">
        <is>
          <t>Best Buy</t>
        </is>
      </c>
      <c r="B45" s="83" t="n">
        <v>2015</v>
      </c>
      <c r="C45" s="83" t="n">
        <v>89</v>
      </c>
      <c r="D45" s="83" t="inlineStr"/>
      <c r="E45" s="83" t="inlineStr">
        <is>
          <t>Baseline</t>
        </is>
      </c>
      <c r="F45" s="83" t="inlineStr">
        <is>
          <t>2015 baseline = 89. Math: 50 +2 capped cosmetic/commercial +37 civic/financial/structural +0 negatives. Positive evidence in force: Annual Pride Month posts and campaigns (+2); Funded PRIDE employee resource group (+15); Inclusive partner and gender-affirming benefits (CEI-verified) (+22)</t>
        </is>
      </c>
      <c r="G45" s="83" t="inlineStr">
        <is>
          <t>(+2) p_generic_post — https://web.archive.org/web/2024/https://corporate.bestbuy.com/inclusion-diversity/ [documented as of 2024; credited from 2015 per methodology] || (+15) p_erg_support — https://web.archive.org/web/2024/https://corporate.bestbuy.com/inclusion-diversity/ [documented as of 2024; credited from 2015 per methodology] || (+22) p_benefits — https://reports.hrc.org/corporate-equality-index-2025 [documented as of 2024; credited from 2015 per methodology]</t>
        </is>
      </c>
    </row>
    <row r="46">
      <c r="A46" s="83" t="inlineStr">
        <is>
          <t>Nike</t>
        </is>
      </c>
      <c r="B46" s="83" t="n">
        <v>2015</v>
      </c>
      <c r="C46" s="83" t="n">
        <v>59</v>
      </c>
      <c r="D46" s="83" t="inlineStr"/>
      <c r="E46" s="83" t="inlineStr">
        <is>
          <t>Baseline</t>
        </is>
      </c>
      <c r="F46" s="83" t="inlineStr">
        <is>
          <t>2015 baseline = 59. Math: 50 +9 capped cosmetic/commercial +0 civic/financial/structural +0 negatives. Positive evidence in force: Rainbow/Pride campaign branding across Nike channels (+3); 'Love Unites' Pride collection (2026); BETRUE line annually 2012-2023 (+6)</t>
        </is>
      </c>
      <c r="G46" s="83" t="inlineStr">
        <is>
          <t>(+3) p_logo_rainbow — https://www.advocate.com/news/culture/2026-pride-month-company-support [documented as of 2026; credited from 2015 per methodology] || (+6) p_merch_collection — https://www.advocate.com/news/culture/2026-pride-month-company-support [documented as of 2026; credited from 2015 per methodology]</t>
        </is>
      </c>
    </row>
    <row r="47">
      <c r="A47" s="83" t="inlineStr">
        <is>
          <t>Nike</t>
        </is>
      </c>
      <c r="B47" s="83" t="n">
        <v>2023</v>
      </c>
      <c r="C47" s="83" t="n">
        <v>67</v>
      </c>
      <c r="D47" s="83" t="n">
        <v>8</v>
      </c>
      <c r="E47" s="83" t="inlineStr">
        <is>
          <t>Change</t>
        </is>
      </c>
      <c r="F47" s="83" t="inlineStr">
        <is>
          <t>Score rises from 59 to 67 (+8). Driver(s): p_collab (+8): BETRUE collaborations with LGBTQ+ athletes and designers (2012-2023). New total: 50 +17 capped cosmetic/commercial +0 civic/financial/structural +0 negatives = 67.</t>
        </is>
      </c>
      <c r="G47" s="83" t="inlineStr">
        <is>
          <t>(+8) p_collab — https://web.archive.org/web/2023/https://www.nike.com/betrue</t>
        </is>
      </c>
    </row>
    <row r="48">
      <c r="A48" s="83" t="inlineStr">
        <is>
          <t>Abercrombie &amp; Fitch</t>
        </is>
      </c>
      <c r="B48" s="83" t="n">
        <v>2015</v>
      </c>
      <c r="C48" s="83" t="n">
        <v>59</v>
      </c>
      <c r="D48" s="83" t="inlineStr"/>
      <c r="E48" s="83" t="inlineStr">
        <is>
          <t>Baseline</t>
        </is>
      </c>
      <c r="F48" s="83" t="inlineStr">
        <is>
          <t>2015 baseline = 59. Math: 50 +9 capped cosmetic/commercial +0 civic/financial/structural +0 negatives. Positive evidence in force: Pride campaign branding (+3); 2026 Pride collection (embroidered denim, tees, etc.) (+6)</t>
        </is>
      </c>
      <c r="G48" s="83" t="inlineStr">
        <is>
          <t>(+3) p_logo_rainbow — https://www.advocate.com/news/culture/2026-pride-month-company-support [documented as of 2026; credited from 2015 per methodology] || (+6) p_merch_collection — https://www.advocate.com/news/culture/2026-pride-month-company-support [documented as of 2026; credited from 2015 per methodology]</t>
        </is>
      </c>
    </row>
    <row r="49">
      <c r="A49" s="83" t="inlineStr">
        <is>
          <t>Abercrombie &amp; Fitch</t>
        </is>
      </c>
      <c r="B49" s="83" t="n">
        <v>2026</v>
      </c>
      <c r="C49" s="83" t="n">
        <v>81</v>
      </c>
      <c r="D49" s="83" t="n">
        <v>22</v>
      </c>
      <c r="E49" s="83" t="inlineStr">
        <is>
          <t>Change</t>
        </is>
      </c>
      <c r="F49" s="83" t="inlineStr">
        <is>
          <t>Score rises from 59 to 81 (+22). Driver(s): p_donation_large (+22): $400,000 donation to The Trevor Project (2026), continuing a multi-year partnership. New total: 50 +9 capped cosmetic/commercial +22 civic/financial/structural +0 negatives = 81.</t>
        </is>
      </c>
      <c r="G49" s="83" t="inlineStr">
        <is>
          <t>(+22) p_donation_large — https://www.advocate.com/news/culture/2026-pride-month-company-support</t>
        </is>
      </c>
    </row>
    <row r="50">
      <c r="A50" s="83" t="inlineStr">
        <is>
          <t>American Eagle</t>
        </is>
      </c>
      <c r="B50" s="83" t="n">
        <v>2015</v>
      </c>
      <c r="C50" s="83" t="n">
        <v>53</v>
      </c>
      <c r="D50" s="83" t="inlineStr"/>
      <c r="E50" s="83" t="inlineStr">
        <is>
          <t>Baseline</t>
        </is>
      </c>
      <c r="F50" s="83" t="inlineStr">
        <is>
          <t>2015 baseline = 53. Math: 50 +3 capped cosmetic/commercial +0 civic/financial/structural +0 negatives. Positive evidence in force: Pride campaign branding (+3)</t>
        </is>
      </c>
      <c r="G50" s="83" t="inlineStr">
        <is>
          <t>(+3) p_logo_rainbow — https://www.advocate.com/news/culture/2026-pride-month-company-support [documented as of 2026; credited from 2015 per methodology]</t>
        </is>
      </c>
    </row>
    <row r="51">
      <c r="A51" s="83" t="inlineStr">
        <is>
          <t>American Eagle</t>
        </is>
      </c>
      <c r="B51" s="83" t="n">
        <v>2018</v>
      </c>
      <c r="C51" s="83" t="n">
        <v>63</v>
      </c>
      <c r="D51" s="83" t="n">
        <v>10</v>
      </c>
      <c r="E51" s="83" t="inlineStr">
        <is>
          <t>Change</t>
        </is>
      </c>
      <c r="F51" s="83" t="inlineStr">
        <is>
          <t>Score rises from 53 to 63 (+10). Driver(s): p_merch_proceeds (+10): Pride Shop collection with proceeds historically benefiting It Gets Better (since 2018). New total: 50 +13 capped cosmetic/commercial +0 civic/financial/structural +0 negatives = 63.</t>
        </is>
      </c>
      <c r="G51" s="83" t="inlineStr">
        <is>
          <t>(+10) p_merch_proceeds — https://www.ae.com/us/en/c/women/featured/the-pride-shop/cat3320007</t>
        </is>
      </c>
    </row>
    <row r="52">
      <c r="A52" s="83" t="inlineStr">
        <is>
          <t>American Eagle</t>
        </is>
      </c>
      <c r="B52" s="83" t="n">
        <v>2026</v>
      </c>
      <c r="C52" s="83" t="n">
        <v>85</v>
      </c>
      <c r="D52" s="83" t="n">
        <v>22</v>
      </c>
      <c r="E52" s="83" t="inlineStr">
        <is>
          <t>Change</t>
        </is>
      </c>
      <c r="F52" s="83" t="inlineStr">
        <is>
          <t>Score rises from 63 to 85 (+22). Driver(s): p_donation_large (+22): $150,000 donation to It Gets Better Project (2026). New total: 50 +13 capped cosmetic/commercial +22 civic/financial/structural +0 negatives = 85.</t>
        </is>
      </c>
      <c r="G52" s="83" t="inlineStr">
        <is>
          <t>(+22) p_donation_large — https://www.advocate.com/news/culture/2026-pride-month-company-support</t>
        </is>
      </c>
    </row>
    <row r="53">
      <c r="A53" s="83" t="inlineStr">
        <is>
          <t>Gap Inc.</t>
        </is>
      </c>
      <c r="B53" s="83" t="n">
        <v>2015</v>
      </c>
      <c r="C53" s="83" t="n">
        <v>55</v>
      </c>
      <c r="D53" s="83" t="inlineStr"/>
      <c r="E53" s="83" t="inlineStr">
        <is>
          <t>Baseline</t>
        </is>
      </c>
      <c r="F53" s="83" t="inlineStr">
        <is>
          <t>2015 baseline = 55. Math: 50 +5 capped cosmetic/commercial +0 civic/financial/structural +0 negatives. Positive evidence in force: Old Navy Pride campaign branding (+3); Pride Month posts across Gap Inc. brands (+2)</t>
        </is>
      </c>
      <c r="G53" s="83" t="inlineStr">
        <is>
          <t>(+3) p_logo_rainbow — https://www.advocate.com/news/culture/2026-pride-month-company-support [documented as of 2026; credited from 2015 per methodology] || (+2) p_generic_post — https://www.advocate.com/news/culture/2026-pride-month-company-support [documented as of 2026; credited from 2015 per methodology]</t>
        </is>
      </c>
    </row>
    <row r="54">
      <c r="A54" s="83" t="inlineStr">
        <is>
          <t>Gap Inc.</t>
        </is>
      </c>
      <c r="B54" s="83" t="n">
        <v>2018</v>
      </c>
      <c r="C54" s="83" t="n">
        <v>61</v>
      </c>
      <c r="D54" s="83" t="n">
        <v>6</v>
      </c>
      <c r="E54" s="83" t="inlineStr">
        <is>
          <t>Change</t>
        </is>
      </c>
      <c r="F54" s="83" t="inlineStr">
        <is>
          <t>Score rises from 55 to 61 (+6). Driver(s): p_merch_collection (+6): Old Navy 2026 Pride collection incl. kids' items and LGBTQ+ historical figures. New total: 50 +11 capped cosmetic/commercial +0 civic/financial/structural +0 negatives = 61.</t>
        </is>
      </c>
      <c r="G54" s="83" t="inlineStr">
        <is>
          <t>(+6) p_merch_collection — https://www.advocate.com/news/culture/2026-pride-month-company-support</t>
        </is>
      </c>
    </row>
    <row r="55">
      <c r="A55" s="83" t="inlineStr">
        <is>
          <t>H&amp;M</t>
        </is>
      </c>
      <c r="B55" s="83" t="n">
        <v>2015</v>
      </c>
      <c r="C55" s="83" t="n">
        <v>53</v>
      </c>
      <c r="D55" s="83" t="inlineStr"/>
      <c r="E55" s="83" t="inlineStr">
        <is>
          <t>Baseline</t>
        </is>
      </c>
      <c r="F55" s="83" t="inlineStr">
        <is>
          <t>2015 baseline = 53. Math: 50 +3 capped cosmetic/commercial +0 civic/financial/structural +0 negatives. Positive evidence in force: Pride campaign branding globally (+3)</t>
        </is>
      </c>
      <c r="G55" s="83" t="inlineStr">
        <is>
          <t>(+3) p_logo_rainbow — https://web.archive.org/web/2024/https://www2.hm.com/en_us/free-form-campaigns/2007-pride-2024.html [documented as of 2024; credited from 2015 per methodology]</t>
        </is>
      </c>
    </row>
    <row r="56">
      <c r="A56" s="83" t="inlineStr">
        <is>
          <t>H&amp;M</t>
        </is>
      </c>
      <c r="B56" s="83" t="n">
        <v>2018</v>
      </c>
      <c r="C56" s="83" t="n">
        <v>63</v>
      </c>
      <c r="D56" s="83" t="n">
        <v>10</v>
      </c>
      <c r="E56" s="83" t="inlineStr">
        <is>
          <t>Change</t>
        </is>
      </c>
      <c r="F56" s="83" t="inlineStr">
        <is>
          <t>Score rises from 53 to 63 (+10). Driver(s): p_merch_proceeds (+10): Pride collections since 2018 with 10% of sales to UN Free &amp; Equal. New total: 50 +13 capped cosmetic/commercial +0 civic/financial/structural +0 negatives = 63.</t>
        </is>
      </c>
      <c r="G56" s="83" t="inlineStr">
        <is>
          <t>(+10) p_merch_proceeds — https://web.archive.org/web/2018/https://www2.hm.com/en_us/life/culture/inside-h-m/hm-supports-pride-2018.html</t>
        </is>
      </c>
    </row>
    <row r="57">
      <c r="A57" s="83" t="inlineStr">
        <is>
          <t>Vineyard Vines</t>
        </is>
      </c>
      <c r="B57" s="83" t="n">
        <v>2015</v>
      </c>
      <c r="C57" s="83" t="n">
        <v>50</v>
      </c>
      <c r="D57" s="83" t="inlineStr"/>
      <c r="E57" s="83" t="inlineStr">
        <is>
          <t>Baseline</t>
        </is>
      </c>
      <c r="F57" s="83" t="inlineStr">
        <is>
          <t>2015 baseline = 50 (neutral). No documented LGBTQ+-related actions, positive or negative, attributable to this year; the company starts at the index's no-engagement baseline.</t>
        </is>
      </c>
      <c r="G57" s="83" t="inlineStr"/>
    </row>
    <row r="58">
      <c r="A58" s="83" t="inlineStr">
        <is>
          <t>Ralph Lauren</t>
        </is>
      </c>
      <c r="B58" s="83" t="n">
        <v>2015</v>
      </c>
      <c r="C58" s="83" t="n">
        <v>65</v>
      </c>
      <c r="D58" s="83" t="inlineStr"/>
      <c r="E58" s="83" t="inlineStr">
        <is>
          <t>Baseline</t>
        </is>
      </c>
      <c r="F58" s="83" t="inlineStr">
        <is>
          <t>2015 baseline = 65. Math: 50 +15 capped cosmetic/commercial +0 civic/financial/structural +0 negatives. Positive evidence in force: Polo Pride rainbow branding (+3); Polo Pride capsule with donations to LGBTQ+ organizations incl. Stone… (+10); Annual Pride Month posts (+2)</t>
        </is>
      </c>
      <c r="G58" s="83" t="inlineStr">
        <is>
          <t>(+3) p_logo_rainbow — https://web.archive.org/web/2024/https://www.ralphlauren.com/brands-polo-pride [documented as of 2024; credited from 2015 per methodology] || (+10) p_merch_proceeds — https://web.archive.org/web/2023/https://www.ralphlauren.com/brands-polo-pride [documented as of 2023; credited from 2015 per methodology] || (+2) p_generic_post — https://web.archive.org/web/2024/https://www.ralphlauren.com/brands-polo-pride [documented as of 2024; credited from 2015 per methodology]</t>
        </is>
      </c>
    </row>
    <row r="59">
      <c r="A59" s="83" t="inlineStr">
        <is>
          <t>Levi Strauss &amp; Co.</t>
        </is>
      </c>
      <c r="B59" s="83" t="n">
        <v>2015</v>
      </c>
      <c r="C59" s="83" t="n">
        <v>100</v>
      </c>
      <c r="D59" s="83" t="inlineStr"/>
      <c r="E59" s="83" t="inlineStr">
        <is>
          <t>Baseline</t>
        </is>
      </c>
      <c r="F59" s="83" t="inlineStr">
        <is>
          <t>2015 baseline = 100. Math: 50 +13 capped cosmetic/commercial +75 civic/financial/structural +0 negatives (clamped to 0-100). Positive evidence in force: Annual Pride campaign branding (+3); Annual Pride collection (2026 edition inspired by queer motorcycle cl… (+10); Annual $100,000 donation to Outright International (+25); Domestic-partner health benefits since 1992 — first major US company;… (+22); 30+ years of continuous support: 1992 benefits, Boy Scouts funding wi… (+28)</t>
        </is>
      </c>
      <c r="G59" s="83" t="inlineStr">
        <is>
          <t>(+3) p_logo_rainbow — https://www.advocate.com/news/culture/2026-pride-month-company-support [documented as of 2026; credited from 2015 per methodology] || (+10) p_merch_proceeds — https://www.advocate.com/news/culture/2026-pride-month-company-support [documented as of 2026; credited from 2015 per methodology] || (+25) p_recurring — https://www.advocate.com/news/culture/2026-pride-month-company-support [documented as of 2026; credited from 2015 per methodology] || (+22) p_benefits — https://reports.hrc.org/corporate-equality-index-2025 [documented as of 2025; credited from 2015 per methodology] || (+28) p_consistent_history — https://www.cnn.com/2025/05/02/business/costco-apple-levi-shareholders-dei [documented as of 2025; credited from 2015 per methodology]</t>
        </is>
      </c>
    </row>
    <row r="60">
      <c r="A60" s="83" t="inlineStr">
        <is>
          <t>PVH Corp.</t>
        </is>
      </c>
      <c r="B60" s="83" t="n">
        <v>2015</v>
      </c>
      <c r="C60" s="83" t="n">
        <v>83</v>
      </c>
      <c r="D60" s="83" t="inlineStr"/>
      <c r="E60" s="83" t="inlineStr">
        <is>
          <t>Baseline</t>
        </is>
      </c>
      <c r="F60" s="83" t="inlineStr">
        <is>
          <t>2015 baseline = 83. Math: 50 +11 capped cosmetic/commercial +22 civic/financial/structural +0 negatives. Positive evidence in force: CK/Tommy Pride campaign branding (+3); Calvin Klein 'This Is Love' and Tommy Hilfiger Pride collections (+6); Annual Pride Month campaign posts (+2); Inclusive partner and gender-affirming benefits (CEI-verified) (+22)</t>
        </is>
      </c>
      <c r="G60" s="83" t="inlineStr">
        <is>
          <t>(+3) p_logo_rainbow — https://web.archive.org/web/2024/https://www.calvinklein.us/en/pride [documented as of 2024; credited from 2015 per methodology] || (+6) p_merch_collection — https://web.archive.org/web/2023/https://www.calvinklein.us/en/pride [documented as of 2023; credited from 2015 per methodology] || (+2) p_generic_post — https://web.archive.org/web/2024/https://www.calvinklein.us/en/pride [documented as of 2024; credited from 2015 per methodology] || (+22) p_benefits — https://reports.hrc.org/corporate-equality-index-2025 [documented as of 2024; credited from 2015 per methodology]</t>
        </is>
      </c>
    </row>
    <row r="61">
      <c r="A61" s="83" t="inlineStr">
        <is>
          <t>Starbucks</t>
        </is>
      </c>
      <c r="B61" s="83" t="n">
        <v>2015</v>
      </c>
      <c r="C61" s="83" t="n">
        <v>98</v>
      </c>
      <c r="D61" s="83" t="inlineStr"/>
      <c r="E61" s="83" t="inlineStr">
        <is>
          <t>Baseline</t>
        </is>
      </c>
      <c r="F61" s="83" t="inlineStr">
        <is>
          <t>2015 baseline = 98. Math: 50 +11 capped cosmetic/commercial +37 civic/financial/structural +0 negatives. Positive evidence in force: Annual Pride branding and rainbow campaign visuals (+3); Annual Pride Month statements (+2); Annual Pride cups/tumbler merchandise (+6); Funded Pride Alliance partner network (ERG) (+15); Gender-affirming healthcare benefits expanded in 2018 beyond WPATH ba… (+22)</t>
        </is>
      </c>
      <c r="G61" s="83" t="inlineStr">
        <is>
          <t>(+3) p_logo_rainbow — https://web.archive.org/web/2024/https://www.starbucks.com/responsibility/community/lgbtq [documented as of 2024; credited from 2015 per methodology] || (+2) p_generic_post — https://web.archive.org/web/2024/https://stories.starbucks.com/ [documented as of 2024; credited from 2015 per methodology] || (+6) p_merch_collection — https://web.archive.org/web/2024/https://stories.starbucks.com/ [documented as of 2024; credited from 2015 per methodology] || (+15) p_erg_support — https://web.archive.org/web/2024/https://www.starbucks.com/responsibility/community/lgbtq [documented as of 2024; credited from 2015 per methodology] || (+22) p_benefits — https://reports.hrc.org/corporate-equality-index-2025 [documented as of 2018; credited from 2015 per methodology]</t>
        </is>
      </c>
    </row>
    <row r="62">
      <c r="A62" s="83" t="inlineStr">
        <is>
          <t>McDonald's</t>
        </is>
      </c>
      <c r="B62" s="83" t="n">
        <v>2015</v>
      </c>
      <c r="C62" s="83" t="n">
        <v>70</v>
      </c>
      <c r="D62" s="83" t="inlineStr"/>
      <c r="E62" s="83" t="inlineStr">
        <is>
          <t>Baseline</t>
        </is>
      </c>
      <c r="F62" s="83" t="inlineStr">
        <is>
          <t>2015 baseline = 70. Math: 50 +5 capped cosmetic/commercial +15 civic/financial/structural +0 negatives. Positive evidence in force: Pride Month branding (through 2024) (+3); Annual Pride Month posts (+2); Funded PRIDE Network employee resource group (+15)</t>
        </is>
      </c>
      <c r="G62" s="83" t="inlineStr">
        <is>
          <t>(+3) p_logo_rainbow — https://web.archive.org/web/2024/https://corporate.mcdonalds.com/corpmcd/our-purpose-and-impact/jobs-inclusion-and-empowerment/diversity-and-inclusion.html [documented as of 2024; credited from 2015 per methodology] || (+2) p_generic_post — https://web.archive.org/web/2024/https://corporate.mcdonalds.com/corpmcd/our-purpose-and-impact/jobs-inclusion-and-empowerment/diversity-and-inclusion.html [documented as of 2024; credited from 2015 per methodology] || (+15) p_erg_support — https://web.archive.org/web/2024/https://corporate.mcdonalds.com/corpmcd/our-purpose-and-impact/jobs-inclusion-and-empowerment/diversity-and-inclusion.html [documented as of 2024; credited from 2015 per methodology]</t>
        </is>
      </c>
    </row>
    <row r="63">
      <c r="A63" s="83" t="inlineStr">
        <is>
          <t>McDonald's</t>
        </is>
      </c>
      <c r="B63" s="83" t="n">
        <v>2025</v>
      </c>
      <c r="C63" s="83" t="n">
        <v>38</v>
      </c>
      <c r="D63" s="83" t="n">
        <v>-32</v>
      </c>
      <c r="E63" s="83" t="inlineStr">
        <is>
          <t>Change</t>
        </is>
      </c>
      <c r="F63" s="83" t="inlineStr">
        <is>
          <t>Score falls from 70 to 38 (-32). Driver(s): n_dei_removal (-32): Ended senior-leadership diversity goals and supplier targets; paused external surveys incl. HRC CEI. New total: 50 +5 capped cosmetic/commercial +15 civic/financial/structural -32 negatives = 38.</t>
        </is>
      </c>
      <c r="G63" s="83" t="inlineStr">
        <is>
          <t>(-32) n_dei_removal — https://www.cbsnews.com/news/meta-dei-programs-mcdonalds-walmart-ford-diversity/</t>
        </is>
      </c>
    </row>
    <row r="64">
      <c r="A64" s="83" t="inlineStr">
        <is>
          <t>Chick-fil-A</t>
        </is>
      </c>
      <c r="B64" s="83" t="n">
        <v>2015</v>
      </c>
      <c r="C64" s="83" t="n">
        <v>15</v>
      </c>
      <c r="D64" s="83" t="inlineStr"/>
      <c r="E64" s="83" t="inlineStr">
        <is>
          <t>Baseline</t>
        </is>
      </c>
      <c r="F64" s="83" t="inlineStr">
        <is>
          <t>2015 baseline = 15. Math: 50 +0 capped cosmetic/commercial +0 civic/financial/structural -35 negatives. Negative record in force: Multi-year foundation funding of organizations with anti-LGBTQ+ posit… (-35)</t>
        </is>
      </c>
      <c r="G64" s="83" t="inlineStr">
        <is>
          <t>(-35) n_anti_lgbtq_orgs — https://en.wikipedia.org/wiki/Chick-fil-A_and_LGBT_people</t>
        </is>
      </c>
    </row>
    <row r="65">
      <c r="A65" s="83" t="inlineStr">
        <is>
          <t>Subway</t>
        </is>
      </c>
      <c r="B65" s="83" t="n">
        <v>2015</v>
      </c>
      <c r="C65" s="83" t="n">
        <v>50</v>
      </c>
      <c r="D65" s="83" t="inlineStr"/>
      <c r="E65" s="83" t="inlineStr">
        <is>
          <t>Baseline</t>
        </is>
      </c>
      <c r="F65" s="83" t="inlineStr">
        <is>
          <t>2015 baseline = 50 (neutral). No documented LGBTQ+-related actions, positive or negative, attributable to this year; the company starts at the index's no-engagement baseline.</t>
        </is>
      </c>
      <c r="G65" s="83" t="inlineStr"/>
    </row>
    <row r="66">
      <c r="A66" s="83" t="inlineStr">
        <is>
          <t>Coca-Cola</t>
        </is>
      </c>
      <c r="B66" s="83" t="n">
        <v>2015</v>
      </c>
      <c r="C66" s="83" t="n">
        <v>100</v>
      </c>
      <c r="D66" s="83" t="inlineStr"/>
      <c r="E66" s="83" t="inlineStr">
        <is>
          <t>Baseline</t>
        </is>
      </c>
      <c r="F66" s="83" t="inlineStr">
        <is>
          <t>2015 baseline = 100. Math: 50 +5 capped cosmetic/commercial +47 civic/financial/structural +0 negatives (clamped to 0-100). Positive evidence in force: Pride branding and campaign visuals (+3); Annual Pride Month statements (+2); Longtime Atlanta Pride sponsorship (+12); Funded LGBTQ+ ERG (+15); Maintained DEI commitments and inclusion-as-business-imperative langu… (+20)</t>
        </is>
      </c>
      <c r="G66" s="83" t="inlineStr">
        <is>
          <t>(+3) p_logo_rainbow — https://web.archive.org/web/2024/https://www.coca-colacompany.com/social/diversity-and-inclusion [documented as of 2024; credited from 2015 per methodology] || (+2) p_generic_post — https://web.archive.org/web/2024/https://www.coca-colacompany.com/social/diversity-and-inclusion [documented as of 2024; credited from 2015 per methodology] || (+12) p_parade_sponsor — https://web.archive.org/web/2024/https://www.atlantapride.org/sponsors/ [documented as of 2024; credited from 2015 per methodology] || (+15) p_erg_support — https://web.archive.org/web/2024/https://www.coca-colacompany.com/social/diversity-and-inclusion [documented as of 2024; credited from 2015 per methodology] || (+20) p_dei_explicit — https://www.12news.com/article/news/nation-world/differences-pepsico-and-coca-cola-diversity-programs/507-ef02b553-d678-4157-a2dc-eb70a22589aa [documented as of 2025; credited from 2015 per methodology]</t>
        </is>
      </c>
    </row>
    <row r="67">
      <c r="A67" s="83" t="inlineStr">
        <is>
          <t>PepsiCo</t>
        </is>
      </c>
      <c r="B67" s="83" t="n">
        <v>2015</v>
      </c>
      <c r="C67" s="83" t="n">
        <v>82</v>
      </c>
      <c r="D67" s="83" t="inlineStr"/>
      <c r="E67" s="83" t="inlineStr">
        <is>
          <t>Baseline</t>
        </is>
      </c>
      <c r="F67" s="83" t="inlineStr">
        <is>
          <t>2015 baseline = 82. Math: 50 +5 capped cosmetic/commercial +27 civic/financial/structural +0 negatives. Positive evidence in force: Pride campaign branding (through 2024) (+3); Annual Pride Month posts (+2); Longtime NYC Pride sponsorship as a top donor (ended/scaled back 2025) (+12); Funded EQUAL LGBTQ+ employee resource group (+15)</t>
        </is>
      </c>
      <c r="G67" s="83" t="inlineStr">
        <is>
          <t>(+3) p_logo_rainbow — https://web.archive.org/web/2024/https://www.pepsico.com/our-impact/diversity-equity-inclusion [documented as of 2024; credited from 2015 per methodology] || (+2) p_generic_post — https://web.archive.org/web/2024/https://www.pepsico.com/our-impact/diversity-equity-inclusion [documented as of 2024; credited from 2015 per methodology] || (+12) p_parade_sponsor — https://www.nbcnews.com/news/us-news/nyc-pride-parade-drop-visible-corporate-sponsors-rcna215820 [documented as of 2024; credited from 2015 per methodology] || (+15) p_erg_support — https://web.archive.org/web/2024/https://www.pepsico.com/our-impact/diversity-equity-inclusion [documented as of 2024; credited from 2015 per methodology]</t>
        </is>
      </c>
    </row>
    <row r="68">
      <c r="A68" s="83" t="inlineStr">
        <is>
          <t>PepsiCo</t>
        </is>
      </c>
      <c r="B68" s="83" t="n">
        <v>2025</v>
      </c>
      <c r="C68" s="83" t="n">
        <v>28</v>
      </c>
      <c r="D68" s="83" t="n">
        <v>-54</v>
      </c>
      <c r="E68" s="83" t="inlineStr">
        <is>
          <t>Change</t>
        </is>
      </c>
      <c r="F68" s="83" t="inlineStr">
        <is>
          <t>Score falls from 82 to 28 (-54). Driver(s): n_dei_removal (-32): Ended DEI representation goals; restructured chief DEI officer role | n_pride_retreat (-22): Withdrew/scaled back NYC Pride sponsorship after years as a leading donor. New total: 50 +5 capped cosmetic/commercial +27 civic/financial/structural -54 negatives = 28.</t>
        </is>
      </c>
      <c r="G68" s="83" t="inlineStr">
        <is>
          <t>(-32) n_dei_removal — https://www.12news.com/article/news/nation-world/differences-pepsico-and-coca-cola-diversity-programs/507-ef02b553-d678-4157-a2dc-eb70a22589aa || (-22) n_pride_retreat — https://www.advocate.com/news/companies-that-stopped-sponsoring-pride</t>
        </is>
      </c>
    </row>
    <row r="69">
      <c r="A69" s="83" t="inlineStr">
        <is>
          <t>Anheuser-Busch InBev</t>
        </is>
      </c>
      <c r="B69" s="83" t="n">
        <v>2015</v>
      </c>
      <c r="C69" s="83" t="n">
        <v>71</v>
      </c>
      <c r="D69" s="83" t="inlineStr"/>
      <c r="E69" s="83" t="inlineStr">
        <is>
          <t>Baseline</t>
        </is>
      </c>
      <c r="F69" s="83" t="inlineStr">
        <is>
          <t>2015 baseline = 71. Math: 50 +9 capped cosmetic/commercial +12 civic/financial/structural +0 negatives. Positive evidence in force: Bud Light rainbow packaging/branding history (+3); Pride-themed packaging and merchandise across brands (+6); ~30 years of St. Louis Pride sponsorship; SF and Columbus Pride spons… (+12)</t>
        </is>
      </c>
      <c r="G69" s="83" t="inlineStr">
        <is>
          <t>(+3) p_logo_rainbow — https://web.archive.org/web/2023/https://www.anheuser-busch.com/community [documented as of 2023; credited from 2015 per methodology] || (+6) p_merch_collection — https://web.archive.org/web/2023/https://www.anheuser-busch.com/community [documented as of 2023; credited from 2015 per methodology] || (+12) p_parade_sponsor — https://www.nbcnews.com/nbc-out/out-news/dei-rollbacks-corporations-pull-sponsorship-pride-parades-rcna200330 [documented as of 2024; credited from 2015 per methodology]</t>
        </is>
      </c>
    </row>
    <row r="70">
      <c r="A70" s="83" t="inlineStr">
        <is>
          <t>Anheuser-Busch InBev</t>
        </is>
      </c>
      <c r="B70" s="83" t="n">
        <v>2021</v>
      </c>
      <c r="C70" s="83" t="n">
        <v>41</v>
      </c>
      <c r="D70" s="83" t="n">
        <v>-30</v>
      </c>
      <c r="E70" s="83" t="inlineStr">
        <is>
          <t>Change</t>
        </is>
      </c>
      <c r="F70" s="83" t="inlineStr">
        <is>
          <t>Score falls from 71 to 41 (-30). Driver(s): n_anti_lgbtq_donations (-30): Documented $45,250 (as Budweiser) to 24 anti-LGBTQ+ bill sponsors across 4 states, 2019-2022 (Data for Progress). New total: 50 +9 capped cosmetic/commercial +12 civic/financial/structural -30 negatives = 41.</t>
        </is>
      </c>
      <c r="G70" s="83" t="inlineStr">
        <is>
          <t>(-30) n_anti_lgbtq_donations — https://www.filesforprogress.org/datasets/2022/5/AccountableAllies-Data.pdf</t>
        </is>
      </c>
    </row>
    <row r="71">
      <c r="A71" s="83" t="inlineStr">
        <is>
          <t>Anheuser-Busch InBev</t>
        </is>
      </c>
      <c r="B71" s="83" t="n">
        <v>2023</v>
      </c>
      <c r="C71" s="83" t="n">
        <v>17</v>
      </c>
      <c r="D71" s="83" t="n">
        <v>-24</v>
      </c>
      <c r="E71" s="83" t="inlineStr">
        <is>
          <t>Change</t>
        </is>
      </c>
      <c r="F71" s="83" t="inlineStr">
        <is>
          <t>Score falls from 41 to 17 (-24). Driver(s): p_collab (+8): Bud Light commercial partnership with trans influencer Dylan Mulvaney | n_selective (-10): Abandoned trans partner Dylan Mulvaney under pressure: no public defense, execs on leave, reassurance messaging to boycotters; HR… | n_pride_retreat (-22): Publicly retreated from its trans-inclusive campaign and Pride commitments amid the 2023 boycott (CEO statement distancing the br…. New total: 50 +17 capped cosmetic/commercial +12 civic/financial/structural -62 negatives = 17.</t>
        </is>
      </c>
      <c r="G71" s="83" t="inlineStr">
        <is>
          <t>(+8) p_collab — https://www.advocate.com/business/has-bud-light-lost-sales || (-10) n_selective — https://www.advocate.com/business/has-bud-light-lost-sales || (-22) n_pride_retreat — https://en.wikipedia.org/wiki/Bud_Light_boycott</t>
        </is>
      </c>
    </row>
    <row r="72">
      <c r="A72" s="83" t="inlineStr">
        <is>
          <t>Anheuser-Busch InBev</t>
        </is>
      </c>
      <c r="B72" s="83" t="n">
        <v>2025</v>
      </c>
      <c r="C72" s="83" t="n">
        <v>0</v>
      </c>
      <c r="D72" s="83" t="n">
        <v>-17</v>
      </c>
      <c r="E72" s="83" t="inlineStr">
        <is>
          <t>Change</t>
        </is>
      </c>
      <c r="F72" s="83" t="inlineStr">
        <is>
          <t>Score falls from 17 to 0 (-17). Driver(s): n_pride_retreat (-22): Withdrew from SF Pride, Columbus Pride, and 30-year hometown St. Louis Pride sponsorship ($150K shortfall). Net effect differs from the raw -22 of the new item(s) because of the 0-100 clamp. New total: 50 +17 capped cosmetic/commercial +12 civic/financial/structural -84 negatives (clamped) = 0.</t>
        </is>
      </c>
      <c r="G72" s="83" t="inlineStr">
        <is>
          <t>(-22) n_pride_retreat — https://www.advocate.com/news/companies-that-stopped-sponsoring-pride</t>
        </is>
      </c>
    </row>
    <row r="73">
      <c r="A73" s="83" t="inlineStr">
        <is>
          <t>Whole Foods</t>
        </is>
      </c>
      <c r="B73" s="83" t="n">
        <v>2015</v>
      </c>
      <c r="C73" s="83" t="n">
        <v>52</v>
      </c>
      <c r="D73" s="83" t="inlineStr"/>
      <c r="E73" s="83" t="inlineStr">
        <is>
          <t>Baseline</t>
        </is>
      </c>
      <c r="F73" s="83" t="inlineStr">
        <is>
          <t>2015 baseline = 52. Math: 50 +2 capped cosmetic/commercial +0 civic/financial/structural +0 negatives. Positive evidence in force: Local/regional Pride Month engagement and posts (+2)</t>
        </is>
      </c>
      <c r="G73" s="83" t="inlineStr">
        <is>
          <t>(+2) p_generic_post — https://web.archive.org/web/2024/https://www.wholefoodsmarket.com/company-info [documented as of 2024; credited from 2015 per methodology]</t>
        </is>
      </c>
    </row>
    <row r="74">
      <c r="A74" s="83" t="inlineStr">
        <is>
          <t>Tyson Foods</t>
        </is>
      </c>
      <c r="B74" s="83" t="n">
        <v>2015</v>
      </c>
      <c r="C74" s="83" t="n">
        <v>50</v>
      </c>
      <c r="D74" s="83" t="inlineStr"/>
      <c r="E74" s="83" t="inlineStr">
        <is>
          <t>Baseline</t>
        </is>
      </c>
      <c r="F74" s="83" t="inlineStr">
        <is>
          <t>2015 baseline = 50 (neutral). No documented LGBTQ+-related actions, positive or negative, attributable to this year; the company starts at the index's no-engagement baseline.</t>
        </is>
      </c>
      <c r="G74" s="83" t="inlineStr"/>
    </row>
    <row r="75">
      <c r="A75" s="83" t="inlineStr">
        <is>
          <t>JPMorgan Chase</t>
        </is>
      </c>
      <c r="B75" s="83" t="n">
        <v>2015</v>
      </c>
      <c r="C75" s="83" t="n">
        <v>89</v>
      </c>
      <c r="D75" s="83" t="inlineStr"/>
      <c r="E75" s="83" t="inlineStr">
        <is>
          <t>Baseline</t>
        </is>
      </c>
      <c r="F75" s="83" t="inlineStr">
        <is>
          <t>2015 baseline = 89. Math: 50 +2 capped cosmetic/commercial +37 civic/financial/structural +0 negatives. Positive evidence in force: Annual Pride Month posts and branding (+2); Funded PRIDE business resource group (+15); Comprehensive partner and gender-affirming benefits (CEI-verified) (+22)</t>
        </is>
      </c>
      <c r="G75" s="83" t="inlineStr">
        <is>
          <t>(+2) p_generic_post — https://web.archive.org/web/2024/https://www.jpmorganchase.com/impact/people/diversity-equity-inclusion [documented as of 2024; credited from 2015 per methodology] || (+15) p_erg_support — https://web.archive.org/web/2024/https://www.jpmorganchase.com/impact/people/diversity-equity-inclusion [documented as of 2025; credited from 2015 per methodology] || (+22) p_benefits — https://reports.hrc.org/corporate-equality-index-2025 [documented as of 2025; credited from 2015 per methodology]</t>
        </is>
      </c>
    </row>
    <row r="76">
      <c r="A76" s="83" t="inlineStr">
        <is>
          <t>JPMorgan Chase</t>
        </is>
      </c>
      <c r="B76" s="83" t="n">
        <v>2025</v>
      </c>
      <c r="C76" s="83" t="n">
        <v>100</v>
      </c>
      <c r="D76" s="83" t="n">
        <v>11</v>
      </c>
      <c r="E76" s="83" t="inlineStr">
        <is>
          <t>Change</t>
        </is>
      </c>
      <c r="F76" s="83" t="inlineStr">
        <is>
          <t>Score rises from 89 to 100 (+11). Driver(s): p_leadership_vocal (+18): Dimon 2025: outreach to 'Black, Hispanic, LGBT, veteran, disabled communities' continues — 'We're not changing that'. Net effect differs from the raw +18 of the new item(s) because of the 0-100 clamp. New total: 50 +2 capped cosmetic/commercial +55 civic/financial/structural +0 negatives (clamped) = 100.</t>
        </is>
      </c>
      <c r="G76" s="83" t="inlineStr">
        <is>
          <t>(+18) p_leadership_vocal — https://www.bankingdive.com/news/goldman-dei-diversity-equity-inclusion-solomon-gnodde-moynihan-fraser-dimon/741251/</t>
        </is>
      </c>
    </row>
    <row r="77">
      <c r="A77" s="83" t="inlineStr">
        <is>
          <t>Bank of America</t>
        </is>
      </c>
      <c r="B77" s="83" t="n">
        <v>2015</v>
      </c>
      <c r="C77" s="83" t="n">
        <v>89</v>
      </c>
      <c r="D77" s="83" t="inlineStr"/>
      <c r="E77" s="83" t="inlineStr">
        <is>
          <t>Baseline</t>
        </is>
      </c>
      <c r="F77" s="83" t="inlineStr">
        <is>
          <t>2015 baseline = 89. Math: 50 +2 capped cosmetic/commercial +37 civic/financial/structural +0 negatives. Positive evidence in force: Annual Pride Month posts and sponsorship history (+2); Funded LGBTQ+ Pride ERG (+15); Inclusive partner and gender-affirming benefits (CEI-verified) (+22)</t>
        </is>
      </c>
      <c r="G77" s="83" t="inlineStr">
        <is>
          <t>(+2) p_generic_post — https://web.archive.org/web/2024/https://about.bankofamerica.com/en/making-an-impact/diversity-inclusion [documented as of 2024; credited from 2015 per methodology] || (+15) p_erg_support — https://web.archive.org/web/2024/https://about.bankofamerica.com/en/making-an-impact/diversity-inclusion [documented as of 2024; credited from 2015 per methodology] || (+22) p_benefits — https://reports.hrc.org/corporate-equality-index-2025 [documented as of 2024; credited from 2015 per methodology]</t>
        </is>
      </c>
    </row>
    <row r="78">
      <c r="A78" s="83" t="inlineStr">
        <is>
          <t>Bank of America</t>
        </is>
      </c>
      <c r="B78" s="83" t="n">
        <v>2025</v>
      </c>
      <c r="C78" s="83" t="n">
        <v>57</v>
      </c>
      <c r="D78" s="83" t="n">
        <v>-32</v>
      </c>
      <c r="E78" s="83" t="inlineStr">
        <is>
          <t>Change</t>
        </is>
      </c>
      <c r="F78" s="83" t="inlineStr">
        <is>
          <t>Score falls from 89 to 57 (-32). Driver(s): n_dei_removal (-32): Scrubbed diversity language from 10-K; renamed DEI 'talent and opportunity'; rolled back diverse-slate initiatives. New total: 50 +2 capped cosmetic/commercial +37 civic/financial/structural -32 negatives = 57.</t>
        </is>
      </c>
      <c r="G78" s="83" t="inlineStr">
        <is>
          <t>(-32) n_dei_removal — https://www.bankingdive.com/news/goldman-dei-diversity-equity-inclusion-solomon-gnodde-moynihan-fraser-dimon/741251/</t>
        </is>
      </c>
    </row>
    <row r="79">
      <c r="A79" s="83" t="inlineStr">
        <is>
          <t>Wells Fargo</t>
        </is>
      </c>
      <c r="B79" s="83" t="n">
        <v>2015</v>
      </c>
      <c r="C79" s="83" t="n">
        <v>89</v>
      </c>
      <c r="D79" s="83" t="inlineStr"/>
      <c r="E79" s="83" t="inlineStr">
        <is>
          <t>Baseline</t>
        </is>
      </c>
      <c r="F79" s="83" t="inlineStr">
        <is>
          <t>2015 baseline = 89. Math: 50 +2 capped cosmetic/commercial +37 civic/financial/structural +0 negatives. Positive evidence in force: Annual Pride posts; pioneering LGBTQ+-targeted advertising since the… (+2); Funded PRIDE employee resource group (+15); Inclusive partner and gender-affirming benefits (CEI-verified) (+22)</t>
        </is>
      </c>
      <c r="G79" s="83" t="inlineStr">
        <is>
          <t>(+2) p_generic_post — https://web.archive.org/web/2024/https://www.wellsfargo.com/about/diversity/ [documented as of 2024; credited from 2015 per methodology] || (+15) p_erg_support — https://web.archive.org/web/2024/https://www.wellsfargo.com/about/diversity/ [documented as of 2024; credited from 2015 per methodology] || (+22) p_benefits — https://reports.hrc.org/corporate-equality-index-2025 [documented as of 2024; credited from 2015 per methodology]</t>
        </is>
      </c>
    </row>
    <row r="80">
      <c r="A80" s="83" t="inlineStr">
        <is>
          <t>Wells Fargo</t>
        </is>
      </c>
      <c r="B80" s="83" t="n">
        <v>2021</v>
      </c>
      <c r="C80" s="83" t="n">
        <v>59</v>
      </c>
      <c r="D80" s="83" t="n">
        <v>-30</v>
      </c>
      <c r="E80" s="83" t="inlineStr">
        <is>
          <t>Change</t>
        </is>
      </c>
      <c r="F80" s="83" t="inlineStr">
        <is>
          <t>Score falls from 89 to 59 (-30). Driver(s): n_anti_lgbtq_donations (-30): Documented $40,500 to anti-LGBTQ+ bill sponsors across 2 states, 2019-2022 (Data for Progress). New total: 50 +2 capped cosmetic/commercial +37 civic/financial/structural -30 negatives = 59.</t>
        </is>
      </c>
      <c r="G80" s="83" t="inlineStr">
        <is>
          <t>(-30) n_anti_lgbtq_donations — https://www.filesforprogress.org/datasets/2022/5/AccountableAllies-Data.pdf</t>
        </is>
      </c>
    </row>
    <row r="81">
      <c r="A81" s="83" t="inlineStr">
        <is>
          <t>Wells Fargo</t>
        </is>
      </c>
      <c r="B81" s="83" t="n">
        <v>2025</v>
      </c>
      <c r="C81" s="83" t="n">
        <v>27</v>
      </c>
      <c r="D81" s="83" t="n">
        <v>-32</v>
      </c>
      <c r="E81" s="83" t="inlineStr">
        <is>
          <t>Change</t>
        </is>
      </c>
      <c r="F81" s="83" t="inlineStr">
        <is>
          <t>Score falls from 59 to 27 (-32). Driver(s): n_dei_removal (-32): Dropped diverse-slate hiring requirement; scaled back DEI programs/language. New total: 50 +2 capped cosmetic/commercial +37 civic/financial/structural -62 negatives = 27.</t>
        </is>
      </c>
      <c r="G81" s="83" t="inlineStr">
        <is>
          <t>(-32) n_dei_removal — https://www.bankingdive.com/news/goldman-dei-diversity-equity-inclusion-solomon-gnodde-moynihan-fraser-dimon/741251/</t>
        </is>
      </c>
    </row>
    <row r="82">
      <c r="A82" s="83" t="inlineStr">
        <is>
          <t>Goldman Sachs</t>
        </is>
      </c>
      <c r="B82" s="83" t="n">
        <v>2015</v>
      </c>
      <c r="C82" s="83" t="n">
        <v>89</v>
      </c>
      <c r="D82" s="83" t="inlineStr"/>
      <c r="E82" s="83" t="inlineStr">
        <is>
          <t>Baseline</t>
        </is>
      </c>
      <c r="F82" s="83" t="inlineStr">
        <is>
          <t>2015 baseline = 89. Math: 50 +2 capped cosmetic/commercial +37 civic/financial/structural +0 negatives. Positive evidence in force: Annual Pride Month posts and branding (+2); Funded LGBTQ+ employee network (+15); Inclusive partner and gender-affirming benefits (CEI-verified) (+22)</t>
        </is>
      </c>
      <c r="G82" s="83" t="inlineStr">
        <is>
          <t>(+2) p_generic_post — https://web.archive.org/web/2024/https://www.goldmansachs.com/our-firm/people-and-culture/diversity-and-inclusion [documented as of 2024; credited from 2015 per methodology] || (+15) p_erg_support — https://web.archive.org/web/2024/https://www.goldmansachs.com/our-firm/people-and-culture/diversity-and-inclusion [documented as of 2024; credited from 2015 per methodology] || (+22) p_benefits — https://reports.hrc.org/corporate-equality-index-2025 [documented as of 2024; credited from 2015 per methodology]</t>
        </is>
      </c>
    </row>
    <row r="83">
      <c r="A83" s="83" t="inlineStr">
        <is>
          <t>Goldman Sachs</t>
        </is>
      </c>
      <c r="B83" s="83" t="n">
        <v>2025</v>
      </c>
      <c r="C83" s="83" t="n">
        <v>57</v>
      </c>
      <c r="D83" s="83" t="n">
        <v>-32</v>
      </c>
      <c r="E83" s="83" t="inlineStr">
        <is>
          <t>Change</t>
        </is>
      </c>
      <c r="F83" s="83" t="inlineStr">
        <is>
          <t>Score falls from 89 to 57 (-32). Driver(s): n_dei_removal (-32): Canceled 2022 diversity targets, diverse-slate and IPO board-diversity requirements; scrubbed equity pages post-EO. New total: 50 +2 capped cosmetic/commercial +37 civic/financial/structural -32 negatives = 57.</t>
        </is>
      </c>
      <c r="G83" s="83" t="inlineStr">
        <is>
          <t>(-32) n_dei_removal — https://fortune.com/2025/02/27/goldman-sachs-erases-diversity-goals-gender-racial-equality-website-trump-dei-order/</t>
        </is>
      </c>
    </row>
    <row r="84">
      <c r="A84" s="83" t="inlineStr">
        <is>
          <t>American Express</t>
        </is>
      </c>
      <c r="B84" s="83" t="n">
        <v>2015</v>
      </c>
      <c r="C84" s="83" t="n">
        <v>89</v>
      </c>
      <c r="D84" s="83" t="inlineStr"/>
      <c r="E84" s="83" t="inlineStr">
        <is>
          <t>Baseline</t>
        </is>
      </c>
      <c r="F84" s="83" t="inlineStr">
        <is>
          <t>2015 baseline = 89. Math: 50 +2 capped cosmetic/commercial +37 civic/financial/structural +0 negatives. Positive evidence in force: Annual Pride Month posts and branding (+2); Funded PRIDE employee network (+15); Inclusive partner and gender-affirming benefits (CEI-verified) (+22)</t>
        </is>
      </c>
      <c r="G84" s="83" t="inlineStr">
        <is>
          <t>(+2) p_generic_post — https://web.archive.org/web/2024/https://www.americanexpress.com/en-us/company/diversity/ [documented as of 2024; credited from 2015 per methodology] || (+15) p_erg_support — https://web.archive.org/web/2024/https://www.americanexpress.com/en-us/company/diversity/ [documented as of 2024; credited from 2015 per methodology] || (+22) p_benefits — https://reports.hrc.org/corporate-equality-index-2025 [documented as of 2024; credited from 2015 per methodology]</t>
        </is>
      </c>
    </row>
    <row r="85">
      <c r="A85" s="83" t="inlineStr">
        <is>
          <t>American Express</t>
        </is>
      </c>
      <c r="B85" s="83" t="n">
        <v>2025</v>
      </c>
      <c r="C85" s="83" t="n">
        <v>57</v>
      </c>
      <c r="D85" s="83" t="n">
        <v>-32</v>
      </c>
      <c r="E85" s="83" t="inlineStr">
        <is>
          <t>Change</t>
        </is>
      </c>
      <c r="F85" s="83" t="inlineStr">
        <is>
          <t>Score falls from 89 to 57 (-32). Driver(s): n_dei_removal (-32): Removed DEI criteria from board selection process; trimmed diversity language. New total: 50 +2 capped cosmetic/commercial +37 civic/financial/structural -32 negatives = 57.</t>
        </is>
      </c>
      <c r="G85" s="83" t="inlineStr">
        <is>
          <t>(-32) n_dei_removal — https://simplywall.st/stocks/us/diversified-financials/nyse-axp/american-express/news/american-express-drops-board-dei-criteria-as-valuation-scree/amp</t>
        </is>
      </c>
    </row>
    <row r="86">
      <c r="A86" s="83" t="inlineStr">
        <is>
          <t>Visa</t>
        </is>
      </c>
      <c r="B86" s="83" t="n">
        <v>2015</v>
      </c>
      <c r="C86" s="83" t="n">
        <v>67</v>
      </c>
      <c r="D86" s="83" t="inlineStr"/>
      <c r="E86" s="83" t="inlineStr">
        <is>
          <t>Baseline</t>
        </is>
      </c>
      <c r="F86" s="83" t="inlineStr">
        <is>
          <t>2015 baseline = 67. Math: 50 +2 capped cosmetic/commercial +15 civic/financial/structural +0 negatives. Positive evidence in force: Annual Pride Month posts and branding (+2); Funded LGBTQ+ employee resource group (+15)</t>
        </is>
      </c>
      <c r="G86" s="83" t="inlineStr">
        <is>
          <t>(+2) p_generic_post — https://web.archive.org/web/2024/https://usa.visa.com/about-visa/diversity-inclusion.html [documented as of 2024; credited from 2015 per methodology] || (+15) p_erg_support — https://web.archive.org/web/2024/https://usa.visa.com/about-visa/diversity-inclusion.html [documented as of 2024; credited from 2015 per methodology]</t>
        </is>
      </c>
    </row>
    <row r="87">
      <c r="A87" s="83" t="inlineStr">
        <is>
          <t>Mastercard</t>
        </is>
      </c>
      <c r="B87" s="83" t="n">
        <v>2015</v>
      </c>
      <c r="C87" s="83" t="n">
        <v>67</v>
      </c>
      <c r="D87" s="83" t="inlineStr"/>
      <c r="E87" s="83" t="inlineStr">
        <is>
          <t>Baseline</t>
        </is>
      </c>
      <c r="F87" s="83" t="inlineStr">
        <is>
          <t>2015 baseline = 67. Math: 50 +5 capped cosmetic/commercial +12 civic/financial/structural +0 negatives. Positive evidence in force: Pride campaign branding (+3); Annual Pride Month posts (+2); NYC Pride Platinum-level sponsor ($175K tier) for several years (with… (+12)</t>
        </is>
      </c>
      <c r="G87" s="83" t="inlineStr">
        <is>
          <t>(+3) p_logo_rainbow — https://web.archive.org/web/2024/https://www.mastercard.us/en-us/vision/who-we-are/diversity-inclusion.html [documented as of 2024; credited from 2015 per methodology] || (+2) p_generic_post — https://web.archive.org/web/2024/https://www.mastercard.us/en-us/vision/who-we-are/diversity-inclusion.html [documented as of 2024; credited from 2015 per methodology] || (+12) p_parade_sponsor — https://www.advocate.com/news/companies-that-stopped-sponsoring-pride [documented as of 2024; credited from 2015 per methodology]</t>
        </is>
      </c>
    </row>
    <row r="88">
      <c r="A88" s="83" t="inlineStr">
        <is>
          <t>Mastercard</t>
        </is>
      </c>
      <c r="B88" s="83" t="n">
        <v>2019</v>
      </c>
      <c r="C88" s="83" t="n">
        <v>79</v>
      </c>
      <c r="D88" s="83" t="n">
        <v>12</v>
      </c>
      <c r="E88" s="83" t="inlineStr">
        <is>
          <t>Change</t>
        </is>
      </c>
      <c r="F88" s="83" t="inlineStr">
        <is>
          <t>Score rises from 67 to 79 (+12). Driver(s): p_community_events (+12): True Name card initiative (2019—) enabling trans/nonbinary customers to use chosen names; ongoing community partnerships. New total: 50 +5 capped cosmetic/commercial +24 civic/financial/structural +0 negatives = 79.</t>
        </is>
      </c>
      <c r="G88" s="83" t="inlineStr">
        <is>
          <t>(+12) p_community_events — https://www.mastercard.us/en-us/personal/find-a-card/true-name.html</t>
        </is>
      </c>
    </row>
    <row r="89">
      <c r="A89" s="83" t="inlineStr">
        <is>
          <t>Mastercard</t>
        </is>
      </c>
      <c r="B89" s="83" t="n">
        <v>2025</v>
      </c>
      <c r="C89" s="83" t="n">
        <v>57</v>
      </c>
      <c r="D89" s="83" t="n">
        <v>-22</v>
      </c>
      <c r="E89" s="83" t="inlineStr">
        <is>
          <t>Change</t>
        </is>
      </c>
      <c r="F89" s="83" t="inlineStr">
        <is>
          <t>Score falls from 79 to 57 (-22). Driver(s): n_pride_retreat (-22): Withdrew NYC Pride Platinum sponsorship for 2025. New total: 50 +5 capped cosmetic/commercial +24 civic/financial/structural -22 negatives = 57.</t>
        </is>
      </c>
      <c r="G89" s="83" t="inlineStr">
        <is>
          <t>(-22) n_pride_retreat — https://www.advocate.com/news/companies-that-stopped-sponsoring-pride</t>
        </is>
      </c>
    </row>
    <row r="90">
      <c r="A90" s="83" t="inlineStr">
        <is>
          <t>Mastercard</t>
        </is>
      </c>
      <c r="B90" s="83" t="n">
        <v>2026</v>
      </c>
      <c r="C90" s="83" t="n">
        <v>67</v>
      </c>
      <c r="D90" s="83" t="n">
        <v>10</v>
      </c>
      <c r="E90" s="83" t="inlineStr">
        <is>
          <t>Change</t>
        </is>
      </c>
      <c r="F90" s="83" t="inlineStr">
        <is>
          <t>Score rises from 57 to 67 (+10). Driver(s): p_parade_march (+10): ≈100 employees and executives marching in 2026 Pride events with increased company spending. New total: 50 +5 capped cosmetic/commercial +34 civic/financial/structural -22 negatives = 67.</t>
        </is>
      </c>
      <c r="G90" s="83" t="inlineStr">
        <is>
          <t>(+10) p_parade_march — https://www.bloomberg.com/news/articles/2026-06-08/u-s-pride-events-claw-back-business-sponsorships-after-anti-dei-retreat</t>
        </is>
      </c>
    </row>
    <row r="91">
      <c r="A91" s="83" t="inlineStr">
        <is>
          <t>Charles Schwab</t>
        </is>
      </c>
      <c r="B91" s="83" t="n">
        <v>2015</v>
      </c>
      <c r="C91" s="83" t="n">
        <v>52</v>
      </c>
      <c r="D91" s="83" t="inlineStr"/>
      <c r="E91" s="83" t="inlineStr">
        <is>
          <t>Baseline</t>
        </is>
      </c>
      <c r="F91" s="83" t="inlineStr">
        <is>
          <t>2015 baseline = 52. Math: 50 +2 capped cosmetic/commercial +0 civic/financial/structural +0 negatives. Positive evidence in force: Occasional inclusion/Pride posts (+2)</t>
        </is>
      </c>
      <c r="G91" s="83" t="inlineStr">
        <is>
          <t>(+2) p_generic_post — https://web.archive.org/web/2024/https://www.aboutschwab.com/diversity [documented as of 2024; credited from 2015 per methodology]</t>
        </is>
      </c>
    </row>
    <row r="92">
      <c r="A92" s="83" t="inlineStr">
        <is>
          <t>Citigroup</t>
        </is>
      </c>
      <c r="B92" s="83" t="n">
        <v>2015</v>
      </c>
      <c r="C92" s="83" t="n">
        <v>79</v>
      </c>
      <c r="D92" s="83" t="inlineStr"/>
      <c r="E92" s="83" t="inlineStr">
        <is>
          <t>Baseline</t>
        </is>
      </c>
      <c r="F92" s="83" t="inlineStr">
        <is>
          <t>2015 baseline = 79. Math: 50 +2 capped cosmetic/commercial +27 civic/financial/structural +0 negatives. Positive evidence in force: Annual Pride Month posts and branding (+2); NYC Pride sponsorship for multiple years (scaled back 2025) (+12); Funded Pride employee network (+15)</t>
        </is>
      </c>
      <c r="G92" s="83" t="inlineStr">
        <is>
          <t>(+2) p_generic_post — https://web.archive.org/web/2024/https://www.citigroup.com/global/about-us/diversity-equity-inclusion [documented as of 2024; credited from 2015 per methodology] || (+12) p_parade_sponsor — https://www.advocate.com/news/companies-that-stopped-sponsoring-pride [documented as of 2024; credited from 2015 per methodology] || (+15) p_erg_support — https://web.archive.org/web/2024/https://www.citigroup.com/global/about-us/diversity-equity-inclusion [documented as of 2024; credited from 2015 per methodology]</t>
        </is>
      </c>
    </row>
    <row r="93">
      <c r="A93" s="83" t="inlineStr">
        <is>
          <t>Citigroup</t>
        </is>
      </c>
      <c r="B93" s="83" t="n">
        <v>2025</v>
      </c>
      <c r="C93" s="83" t="n">
        <v>25</v>
      </c>
      <c r="D93" s="83" t="n">
        <v>-54</v>
      </c>
      <c r="E93" s="83" t="inlineStr">
        <is>
          <t>Change</t>
        </is>
      </c>
      <c r="F93" s="83" t="inlineStr">
        <is>
          <t>Score falls from 79 to 25 (-54). Driver(s): n_dei_removal (-32): Dropped diversity goals and board-diversity requirements; renamed DEI team 'Talent Management and Engagement' | n_pride_retreat (-22): Scaled back NYC Pride sponsorship for 2025. New total: 50 +2 capped cosmetic/commercial +27 civic/financial/structural -54 negatives = 25.</t>
        </is>
      </c>
      <c r="G93" s="83" t="inlineStr">
        <is>
          <t>(-32) n_dei_removal — https://www.cnbc.com/2025/02/21/citigroup-joins-corporate-retreat-from-diversity-initiatives.html || (-22) n_pride_retreat — https://www.advocate.com/news/companies-that-stopped-sponsoring-pride</t>
        </is>
      </c>
    </row>
    <row r="94">
      <c r="A94" s="83" t="inlineStr">
        <is>
          <t>Walt Disney Co.</t>
        </is>
      </c>
      <c r="B94" s="83" t="n">
        <v>2015</v>
      </c>
      <c r="C94" s="83" t="n">
        <v>96</v>
      </c>
      <c r="D94" s="83" t="inlineStr"/>
      <c r="E94" s="83" t="inlineStr">
        <is>
          <t>Baseline</t>
        </is>
      </c>
      <c r="F94" s="83" t="inlineStr">
        <is>
          <t>2015 baseline = 96. Math: 50 +9 capped cosmetic/commercial +37 civic/financial/structural +0 negatives. Positive evidence in force: Annual Pride branding across parks and platforms (+3); Disney Pride Collection merchandise line, ongoing annually (+6); Funded LGBTQ+ ERGs (rebranded 'belonging' groups in 2025) (+15); Comprehensive partner and gender-affirming benefits (CEI-verified) (+22)</t>
        </is>
      </c>
      <c r="G94" s="83" t="inlineStr">
        <is>
          <t>(+3) p_logo_rainbow — https://web.archive.org/web/2025/https://www.shopdisney.com/franchises/disney-pride-collection/ [documented as of 2025; credited from 2015 per methodology] || (+6) p_merch_collection — https://web.archive.org/web/2025/https://www.shopdisney.com/franchises/disney-pride-collection/ [documented as of 2025; credited from 2015 per methodology] || (+15) p_erg_support — https://www.axios.com/2025/02/11/disney-dei-changes-trump-era [documented as of 2025; credited from 2015 per methodology] || (+22) p_benefits — https://reports.hrc.org/corporate-equality-index-2025 [documented as of 2024; credited from 2015 per methodology]</t>
        </is>
      </c>
    </row>
    <row r="95">
      <c r="A95" s="83" t="inlineStr">
        <is>
          <t>Walt Disney Co.</t>
        </is>
      </c>
      <c r="B95" s="83" t="n">
        <v>2022</v>
      </c>
      <c r="C95" s="83" t="n">
        <v>66</v>
      </c>
      <c r="D95" s="83" t="n">
        <v>-30</v>
      </c>
      <c r="E95" s="83" t="inlineStr">
        <is>
          <t>Change</t>
        </is>
      </c>
      <c r="F95" s="83" t="inlineStr">
        <is>
          <t>Score falls from 96 to 66 (-30). Driver(s): n_anti_lgbtq_donations (-30): Donations to Florida legislators sponsoring the 'Don't Say Gay' bill, revealed during Disney's initial silence in 2022. New total: 50 +9 capped cosmetic/commercial +37 civic/financial/structural -30 negatives = 66.</t>
        </is>
      </c>
      <c r="G95" s="83" t="inlineStr">
        <is>
          <t>(-30) n_anti_lgbtq_donations — https://en.wikipedia.org/wiki/Florida_Parental_Rights_in_Education_Act</t>
        </is>
      </c>
    </row>
    <row r="96">
      <c r="A96" s="83" t="inlineStr">
        <is>
          <t>Walt Disney Co.</t>
        </is>
      </c>
      <c r="B96" s="83" t="n">
        <v>2024</v>
      </c>
      <c r="C96" s="83" t="n">
        <v>68</v>
      </c>
      <c r="D96" s="83" t="n">
        <v>2</v>
      </c>
      <c r="E96" s="83" t="inlineStr">
        <is>
          <t>Change</t>
        </is>
      </c>
      <c r="F96" s="83" t="inlineStr">
        <is>
          <t>Score rises from 66 to 68 (+2). Driver(s): p_community_events (+12): Disneyland After Dark: Pride Nite events | n_selective (-10): Pulled a transgender storyline from Pixar's 'Win or Lose' before release. New total: 50 +9 capped cosmetic/commercial +49 civic/financial/structural -40 negatives = 68.</t>
        </is>
      </c>
      <c r="G96" s="83" t="inlineStr">
        <is>
          <t>(+12) p_community_events — https://web.archive.org/web/2024/https://disneyland.disney.go.com/events-tours/disneyland/disneyland-after-dark/ || (-10) n_selective — https://san.com/cc/disney-softens-content-warnings-amid-broader-dei-changes/</t>
        </is>
      </c>
    </row>
    <row r="97">
      <c r="A97" s="83" t="inlineStr">
        <is>
          <t>Walt Disney Co.</t>
        </is>
      </c>
      <c r="B97" s="83" t="n">
        <v>2025</v>
      </c>
      <c r="C97" s="83" t="n">
        <v>36</v>
      </c>
      <c r="D97" s="83" t="n">
        <v>-32</v>
      </c>
      <c r="E97" s="83" t="inlineStr">
        <is>
          <t>Change</t>
        </is>
      </c>
      <c r="F97" s="83" t="inlineStr">
        <is>
          <t>Score falls from 68 to 36 (-32). Driver(s): n_dei_removal (-32): Ended Reimagine Tomorrow, removed DEI from exec compensation, softened content advisories (Feb 2025). New total: 50 +9 capped cosmetic/commercial +49 civic/financial/structural -72 negatives = 36.</t>
        </is>
      </c>
      <c r="G97" s="83" t="inlineStr">
        <is>
          <t>(-32) n_dei_removal — https://www.axios.com/2025/02/11/disney-dei-changes-trump-era</t>
        </is>
      </c>
    </row>
    <row r="98">
      <c r="A98" s="83" t="inlineStr">
        <is>
          <t>Netflix</t>
        </is>
      </c>
      <c r="B98" s="83" t="n">
        <v>2015</v>
      </c>
      <c r="C98" s="83" t="n">
        <v>74</v>
      </c>
      <c r="D98" s="83" t="inlineStr"/>
      <c r="E98" s="83" t="inlineStr">
        <is>
          <t>Baseline</t>
        </is>
      </c>
      <c r="F98" s="83" t="inlineStr">
        <is>
          <t>2015 baseline = 74. Math: 50 +2 capped cosmetic/commercial +22 civic/financial/structural +0 negatives. Positive evidence in force: Annual Pride Month posts and Pride content hubs (+2); Inclusive partner and gender-affirming benefits (CEI-verified) (+22)</t>
        </is>
      </c>
      <c r="G98" s="83" t="inlineStr">
        <is>
          <t>(+2) p_generic_post — https://web.archive.org/web/2025/https://about.netflix.com/en/inclusion [documented as of 2025; credited from 2015 per methodology] || (+22) p_benefits — https://reports.hrc.org/corporate-equality-index-2025 [documented as of 2024; credited from 2015 per methodology]</t>
        </is>
      </c>
    </row>
    <row r="99">
      <c r="A99" s="83" t="inlineStr">
        <is>
          <t>Netflix</t>
        </is>
      </c>
      <c r="B99" s="83" t="n">
        <v>2021</v>
      </c>
      <c r="C99" s="83" t="n">
        <v>64</v>
      </c>
      <c r="D99" s="83" t="n">
        <v>-10</v>
      </c>
      <c r="E99" s="83" t="inlineStr">
        <is>
          <t>Change</t>
        </is>
      </c>
      <c r="F99" s="83" t="inlineStr">
        <is>
          <t>Score falls from 74 to 64 (-10). Driver(s): n_selective (-10): Defended anti-trans material in Chappelle's 'The Closer' against employee walkout; walkout organizer fired. New total: 50 +2 capped cosmetic/commercial +22 civic/financial/structural -10 negatives = 64.</t>
        </is>
      </c>
      <c r="G99" s="83" t="inlineStr">
        <is>
          <t>(-10) n_selective — https://en.wikipedia.org/wiki/The_Closer_(2021_film)</t>
        </is>
      </c>
    </row>
    <row r="100">
      <c r="A100" s="83" t="inlineStr">
        <is>
          <t>Netflix</t>
        </is>
      </c>
      <c r="B100" s="83" t="n">
        <v>2025</v>
      </c>
      <c r="C100" s="83" t="n">
        <v>72</v>
      </c>
      <c r="D100" s="83" t="n">
        <v>8</v>
      </c>
      <c r="E100" s="83" t="inlineStr">
        <is>
          <t>Change</t>
        </is>
      </c>
      <c r="F100" s="83" t="inlineStr">
        <is>
          <t>Score rises from 64 to 72 (+8). Driver(s): p_collab (+8): Sustained investment in LGBTQ+ storytelling and queer creators (Heartstopper, Sex Education, etc.). New total: 50 +10 capped cosmetic/commercial +22 civic/financial/structural -10 negatives = 72.</t>
        </is>
      </c>
      <c r="G100" s="83" t="inlineStr">
        <is>
          <t>(+8) p_collab — https://web.archive.org/web/2025/https://about.netflix.com/en/inclusion</t>
        </is>
      </c>
    </row>
    <row r="101">
      <c r="A101" s="83" t="inlineStr">
        <is>
          <t>Warner Bros. Discovery</t>
        </is>
      </c>
      <c r="B101" s="83" t="n">
        <v>2015</v>
      </c>
      <c r="C101" s="83" t="n">
        <v>52</v>
      </c>
      <c r="D101" s="83" t="inlineStr"/>
      <c r="E101" s="83" t="inlineStr">
        <is>
          <t>Baseline</t>
        </is>
      </c>
      <c r="F101" s="83" t="inlineStr">
        <is>
          <t>2015 baseline = 52. Math: 50 +2 capped cosmetic/commercial +0 civic/financial/structural +0 negatives. Positive evidence in force: Pride Month content collections and posts (Max) (+2)</t>
        </is>
      </c>
      <c r="G101" s="83" t="inlineStr">
        <is>
          <t>(+2) p_generic_post — https://web.archive.org/web/2025/https://www.wbd.com/ [documented as of 2025; credited from 2015 per methodology]</t>
        </is>
      </c>
    </row>
    <row r="102">
      <c r="A102" s="83" t="inlineStr">
        <is>
          <t>Warner Bros. Discovery</t>
        </is>
      </c>
      <c r="B102" s="83" t="n">
        <v>2024</v>
      </c>
      <c r="C102" s="83" t="n">
        <v>60</v>
      </c>
      <c r="D102" s="83" t="n">
        <v>8</v>
      </c>
      <c r="E102" s="83" t="inlineStr">
        <is>
          <t>Change</t>
        </is>
      </c>
      <c r="F102" s="83" t="inlineStr">
        <is>
          <t>Score rises from 52 to 60 (+8). Driver(s): p_collab (+8): Queer-led programming investment (HBO's 'We're Here' and related slate). New total: 50 +10 capped cosmetic/commercial +0 civic/financial/structural +0 negatives = 60.</t>
        </is>
      </c>
      <c r="G102" s="83" t="inlineStr">
        <is>
          <t>(+8) p_collab — https://web.archive.org/web/2024/https://www.hbo.com/were-here</t>
        </is>
      </c>
    </row>
    <row r="103">
      <c r="A103" s="83" t="inlineStr">
        <is>
          <t>NBCUniversal</t>
        </is>
      </c>
      <c r="B103" s="83" t="n">
        <v>2015</v>
      </c>
      <c r="C103" s="83" t="n">
        <v>67</v>
      </c>
      <c r="D103" s="83" t="inlineStr"/>
      <c r="E103" s="83" t="inlineStr">
        <is>
          <t>Baseline</t>
        </is>
      </c>
      <c r="F103" s="83" t="inlineStr">
        <is>
          <t>2015 baseline = 67. Math: 50 +2 capped cosmetic/commercial +15 civic/financial/structural +0 negatives. Positive evidence in force: Pride Month coverage and posts; NBC Out LGBTQ+ news vertical operatin… (+2); Funded OUT@NBCUniversal employee resource group (+15)</t>
        </is>
      </c>
      <c r="G103" s="83" t="inlineStr">
        <is>
          <t>(+2) p_generic_post — https://www.nbcnews.com/nbc-out [documented as of 2025; credited from 2015 per methodology] || (+15) p_erg_support — https://web.archive.org/web/2024/https://www.nbcuniversal.com/impact/diversity-equity-inclusion [documented as of 2024; credited from 2015 per methodology]</t>
        </is>
      </c>
    </row>
    <row r="104">
      <c r="A104" s="83" t="inlineStr">
        <is>
          <t>Paramount Global</t>
        </is>
      </c>
      <c r="B104" s="83" t="n">
        <v>2015</v>
      </c>
      <c r="C104" s="83" t="n">
        <v>67</v>
      </c>
      <c r="D104" s="83" t="inlineStr"/>
      <c r="E104" s="83" t="inlineStr">
        <is>
          <t>Baseline</t>
        </is>
      </c>
      <c r="F104" s="83" t="inlineStr">
        <is>
          <t>2015 baseline = 67. Math: 50 +2 capped cosmetic/commercial +15 civic/financial/structural +0 negatives. Positive evidence in force: Pride Month posts and programming across brands (+2); Funded LGBTQ+ employee resource groups (+15)</t>
        </is>
      </c>
      <c r="G104" s="83" t="inlineStr">
        <is>
          <t>(+2) p_generic_post — https://web.archive.org/web/2024/https://www.paramount.com/company/inclusion [documented as of 2024; credited from 2015 per methodology] || (+15) p_erg_support — https://web.archive.org/web/2024/https://www.paramount.com/company/inclusion [documented as of 2024; credited from 2015 per methodology]</t>
        </is>
      </c>
    </row>
    <row r="105">
      <c r="A105" s="83" t="inlineStr">
        <is>
          <t>Paramount Global</t>
        </is>
      </c>
      <c r="B105" s="83" t="n">
        <v>2024</v>
      </c>
      <c r="C105" s="83" t="n">
        <v>75</v>
      </c>
      <c r="D105" s="83" t="n">
        <v>8</v>
      </c>
      <c r="E105" s="83" t="inlineStr">
        <is>
          <t>Change</t>
        </is>
      </c>
      <c r="F105" s="83" t="inlineStr">
        <is>
          <t>Score rises from 67 to 75 (+8). Driver(s): p_collab (+8): LGBTQ+ programming legacy: Logo TV, MTV queer content and GLAAD-recognized series. New total: 50 +10 capped cosmetic/commercial +15 civic/financial/structural +0 negatives = 75.</t>
        </is>
      </c>
      <c r="G105" s="83" t="inlineStr">
        <is>
          <t>(+8) p_collab — https://web.archive.org/web/2024/https://www.paramount.com/company/inclusion</t>
        </is>
      </c>
    </row>
    <row r="106">
      <c r="A106" s="83" t="inlineStr">
        <is>
          <t>Paramount Global</t>
        </is>
      </c>
      <c r="B106" s="83" t="n">
        <v>2025</v>
      </c>
      <c r="C106" s="83" t="n">
        <v>43</v>
      </c>
      <c r="D106" s="83" t="n">
        <v>-32</v>
      </c>
      <c r="E106" s="83" t="inlineStr">
        <is>
          <t>Change</t>
        </is>
      </c>
      <c r="F106" s="83" t="inlineStr">
        <is>
          <t>Score falls from 75 to 43 (-32). Driver(s): n_dei_removal (-32): Ended numerical DEI goals and applicant demographic collection citing Trump executive orders, amid FCC merger pressure. New total: 50 +10 capped cosmetic/commercial +15 civic/financial/structural -32 negatives = 43.</t>
        </is>
      </c>
      <c r="G106" s="83" t="inlineStr">
        <is>
          <t>(-32) n_dei_removal — https://www.lgbtqnation.com/2025/02/paramounts-gay-ceos-rollback-companys-dei-initiatives-to-appease-trump/</t>
        </is>
      </c>
    </row>
    <row r="107">
      <c r="A107" s="83" t="inlineStr">
        <is>
          <t>Spotify</t>
        </is>
      </c>
      <c r="B107" s="83" t="n">
        <v>2015</v>
      </c>
      <c r="C107" s="83" t="n">
        <v>53</v>
      </c>
      <c r="D107" s="83" t="inlineStr"/>
      <c r="E107" s="83" t="inlineStr">
        <is>
          <t>Baseline</t>
        </is>
      </c>
      <c r="F107" s="83" t="inlineStr">
        <is>
          <t>2015 baseline = 53. Math: 50 +3 capped cosmetic/commercial +0 civic/financial/structural +0 negatives. Positive evidence in force: Annual Pride hub branding and playlists (+3)</t>
        </is>
      </c>
      <c r="G107" s="83" t="inlineStr">
        <is>
          <t>(+3) p_logo_rainbow — https://web.archive.org/web/2025/https://open.spotify.com/genre/pride-page [documented as of 2025; credited from 2015 per methodology]</t>
        </is>
      </c>
    </row>
    <row r="108">
      <c r="A108" s="83" t="inlineStr">
        <is>
          <t>Spotify</t>
        </is>
      </c>
      <c r="B108" s="83" t="n">
        <v>2024</v>
      </c>
      <c r="C108" s="83" t="n">
        <v>53</v>
      </c>
      <c r="D108" s="83" t="n">
        <v>0</v>
      </c>
      <c r="E108" s="83" t="inlineStr">
        <is>
          <t>Change</t>
        </is>
      </c>
      <c r="F108" s="83" t="inlineStr">
        <is>
          <t>Score is unchanged from 53 to 53 (+0). Driver(s): p_collab (+8): Queer-artist editorial campaigns (GLOW spotlight program for LGBTQIA+ artists) | n_greenwashing (-8): Pride-month branding paired with bankrolling content repeatedly flagged by GLAAD for anti-trans rhetoric (Rogan exclusive). New total: 50 +11 capped cosmetic/commercial +0 civic/financial/structural -8 negatives = 53.</t>
        </is>
      </c>
      <c r="G108" s="83" t="inlineStr">
        <is>
          <t>(+8) p_collab — https://newsroom.spotify.com/2023-02-01/spotify-celebrates-lgbtqia-artists-with-new-music-program-glow/ || (-8) n_greenwashing — https://glaad.org/smsi/2024/</t>
        </is>
      </c>
    </row>
    <row r="109">
      <c r="A109" s="83" t="inlineStr">
        <is>
          <t>Live Nation</t>
        </is>
      </c>
      <c r="B109" s="83" t="n">
        <v>2015</v>
      </c>
      <c r="C109" s="83" t="n">
        <v>64</v>
      </c>
      <c r="D109" s="83" t="inlineStr"/>
      <c r="E109" s="83" t="inlineStr">
        <is>
          <t>Baseline</t>
        </is>
      </c>
      <c r="F109" s="83" t="inlineStr">
        <is>
          <t>2015 baseline = 64. Math: 50 +2 capped cosmetic/commercial +12 civic/financial/structural +0 negatives. Positive evidence in force: Pride Month posts and event promotion (+2); Sponsorship/production of Pride-season concerts and festival events (+12)</t>
        </is>
      </c>
      <c r="G109" s="83" t="inlineStr">
        <is>
          <t>(+2) p_generic_post — https://web.archive.org/web/2025/https://www.livenationentertainment.com/ [documented as of 2025; credited from 2015 per methodology] || (+12) p_parade_sponsor — https://web.archive.org/web/2024/https://www.livenationentertainment.com/diversity-equity-inclusion/ [documented as of 2024; credited from 2015 per methodology]</t>
        </is>
      </c>
    </row>
    <row r="110">
      <c r="A110" s="83" t="inlineStr">
        <is>
          <t>General Motors</t>
        </is>
      </c>
      <c r="B110" s="83" t="n">
        <v>2015</v>
      </c>
      <c r="C110" s="83" t="n">
        <v>67</v>
      </c>
      <c r="D110" s="83" t="inlineStr"/>
      <c r="E110" s="83" t="inlineStr">
        <is>
          <t>Baseline</t>
        </is>
      </c>
      <c r="F110" s="83" t="inlineStr">
        <is>
          <t>2015 baseline = 67. Math: 50 +2 capped cosmetic/commercial +15 civic/financial/structural +0 negatives. Positive evidence in force: Pride Month posts and engagement (+2); Funded GM PLUS LGBTQ+ employee resource group (+15)</t>
        </is>
      </c>
      <c r="G110" s="83" t="inlineStr">
        <is>
          <t>(+2) p_generic_post — https://web.archive.org/web/2024/https://www.gm.com/company/culture [documented as of 2024; credited from 2015 per methodology] || (+15) p_erg_support — https://web.archive.org/web/2024/https://www.gm.com/company/culture [documented as of 2024; credited from 2015 per methodology]</t>
        </is>
      </c>
    </row>
    <row r="111">
      <c r="A111" s="83" t="inlineStr">
        <is>
          <t>General Motors</t>
        </is>
      </c>
      <c r="B111" s="83" t="n">
        <v>2021</v>
      </c>
      <c r="C111" s="83" t="n">
        <v>37</v>
      </c>
      <c r="D111" s="83" t="n">
        <v>-30</v>
      </c>
      <c r="E111" s="83" t="inlineStr">
        <is>
          <t>Change</t>
        </is>
      </c>
      <c r="F111" s="83" t="inlineStr">
        <is>
          <t>Score falls from 67 to 37 (-30). Driver(s): n_anti_lgbtq_donations (-30): Documented $48,500 to 10 anti-LGBTQ+ bill sponsors across 4 states, 2019-2022 (Data for Progress). New total: 50 +2 capped cosmetic/commercial +15 civic/financial/structural -30 negatives = 37.</t>
        </is>
      </c>
      <c r="G111" s="83" t="inlineStr">
        <is>
          <t>(-30) n_anti_lgbtq_donations — https://www.filesforprogress.org/datasets/2022/5/AccountableAllies-Data.pdf</t>
        </is>
      </c>
    </row>
    <row r="112">
      <c r="A112" s="83" t="inlineStr">
        <is>
          <t>General Motors</t>
        </is>
      </c>
      <c r="B112" s="83" t="n">
        <v>2025</v>
      </c>
      <c r="C112" s="83" t="n">
        <v>5</v>
      </c>
      <c r="D112" s="83" t="n">
        <v>-32</v>
      </c>
      <c r="E112" s="83" t="inlineStr">
        <is>
          <t>Change</t>
        </is>
      </c>
      <c r="F112" s="83" t="inlineStr">
        <is>
          <t>Score falls from 37 to 5 (-32). Driver(s): n_dei_removal (-32): Dropped DEI references from annual filing in early-2025 retreat wave. New total: 50 +2 capped cosmetic/commercial +15 civic/financial/structural -62 negatives = 5.</t>
        </is>
      </c>
      <c r="G112" s="83" t="inlineStr">
        <is>
          <t>(-32) n_dei_removal — https://www.techtarget.com/whatis/feature/What-companies-are-rolling-back-DEI-policies</t>
        </is>
      </c>
    </row>
    <row r="113">
      <c r="A113" s="83" t="inlineStr">
        <is>
          <t>Ford</t>
        </is>
      </c>
      <c r="B113" s="83" t="n">
        <v>2015</v>
      </c>
      <c r="C113" s="83" t="n">
        <v>82</v>
      </c>
      <c r="D113" s="83" t="inlineStr"/>
      <c r="E113" s="83" t="inlineStr">
        <is>
          <t>Baseline</t>
        </is>
      </c>
      <c r="F113" s="83" t="inlineStr">
        <is>
          <t>2015 baseline = 82. Math: 50 +5 capped cosmetic/commercial +27 civic/financial/structural +0 negatives. Positive evidence in force: Pride branding history ('Very Gay Raptor' campaign, Pride visuals) (+3); Annual Pride posts (through 2024) (+2); Motor City Pride sponsorship history (+12); Funded Ford GLOBE LGBTQ+ ERG (continues) (+15)</t>
        </is>
      </c>
      <c r="G113" s="83" t="inlineStr">
        <is>
          <t>(+3) p_logo_rainbow — https://web.archive.org/web/2023/https://www.ford.com/ [documented as of 2023; credited from 2015 per methodology] || (+2) p_generic_post — https://web.archive.org/web/2024/https://corporate.ford.com/social-impact/diversity-equity-inclusion.html [documented as of 2024; credited from 2015 per methodology] || (+12) p_parade_sponsor — https://web.archive.org/web/2023/https://corporate.ford.com/social-impact/diversity-equity-inclusion.html [documented as of 2023; credited from 2015 per methodology] || (+15) p_erg_support — https://web.archive.org/web/2024/https://corporate.ford.com/social-impact/diversity-equity-inclusion.html [documented as of 2024; credited from 2015 per methodology]</t>
        </is>
      </c>
    </row>
    <row r="114">
      <c r="A114" s="83" t="inlineStr">
        <is>
          <t>Ford</t>
        </is>
      </c>
      <c r="B114" s="83" t="n">
        <v>2024</v>
      </c>
      <c r="C114" s="83" t="n">
        <v>28</v>
      </c>
      <c r="D114" s="83" t="n">
        <v>-54</v>
      </c>
      <c r="E114" s="83" t="inlineStr">
        <is>
          <t>Change</t>
        </is>
      </c>
      <c r="F114" s="83" t="inlineStr">
        <is>
          <t>Score falls from 82 to 28 (-54). Driver(s): n_dei_removal (-32): Quit HRC CEI after 20+ years and ended external culture-survey participation (CEO memo, Aug 2024) | n_pride_retreat (-22): Publicly retreated from stated inclusion commitments under activist pressure (HRC-documented pullback). New total: 50 +5 capped cosmetic/commercial +27 civic/financial/structural -54 negatives = 28.</t>
        </is>
      </c>
      <c r="G114" s="83" t="inlineStr">
        <is>
          <t>(-32) n_dei_removal — https://www.hrc.org/press-releases/hrc-foundation-announces-record-participation-in-upcoming-2025-corporate-equality-index-docks-scores-of-seven-companies-in-current-ranking-following-their-pullback-from-workplace-inclusion || (-22) n_pride_retreat — https://www.hrc.org/press-releases/hrc-foundation-announces-record-participation-in-upcoming-2025-corporate-equality-index-docks-scores-of-seven-companies-in-current-ranking-following-their-pullback-from-workplace-inclusion</t>
        </is>
      </c>
    </row>
    <row r="115">
      <c r="A115" s="83" t="inlineStr">
        <is>
          <t>Tesla</t>
        </is>
      </c>
      <c r="B115" s="83" t="n">
        <v>2015</v>
      </c>
      <c r="C115" s="83" t="n">
        <v>50</v>
      </c>
      <c r="D115" s="83" t="inlineStr"/>
      <c r="E115" s="83" t="inlineStr">
        <is>
          <t>Baseline</t>
        </is>
      </c>
      <c r="F115" s="83" t="inlineStr">
        <is>
          <t>2015 baseline = 50 (neutral). No documented LGBTQ+-related actions, positive or negative, attributable to this year; the company starts at the index's no-engagement baseline.</t>
        </is>
      </c>
      <c r="G115" s="83" t="inlineStr"/>
    </row>
    <row r="116">
      <c r="A116" s="83" t="inlineStr">
        <is>
          <t>Tesla</t>
        </is>
      </c>
      <c r="B116" s="83" t="n">
        <v>2024</v>
      </c>
      <c r="C116" s="83" t="n">
        <v>18</v>
      </c>
      <c r="D116" s="83" t="n">
        <v>-32</v>
      </c>
      <c r="E116" s="83" t="inlineStr">
        <is>
          <t>Change</t>
        </is>
      </c>
      <c r="F116" s="83" t="inlineStr">
        <is>
          <t>Score falls from 50 to 18 (-32). Driver(s): n_dei_removal (-32): Scrubbed DEI from 10-K — the first major filer to do so; only ever published one diversity report (2020). New total: 50 +0 capped cosmetic/commercial +0 civic/financial/structural -32 negatives = 18.</t>
        </is>
      </c>
      <c r="G116" s="83" t="inlineStr">
        <is>
          <t>(-32) n_dei_removal — https://www.cnn.com/2024/02/01/business/tesla-dei-elon-musk/index.html</t>
        </is>
      </c>
    </row>
    <row r="117">
      <c r="A117" s="83" t="inlineStr">
        <is>
          <t>Toyota USA</t>
        </is>
      </c>
      <c r="B117" s="83" t="n">
        <v>2015</v>
      </c>
      <c r="C117" s="83" t="n">
        <v>82</v>
      </c>
      <c r="D117" s="83" t="inlineStr"/>
      <c r="E117" s="83" t="inlineStr">
        <is>
          <t>Baseline</t>
        </is>
      </c>
      <c r="F117" s="83" t="inlineStr">
        <is>
          <t>2015 baseline = 82. Math: 50 +5 capped cosmetic/commercial +27 civic/financial/structural +0 negatives. Positive evidence in force: Pride branding (through 2024) (+3); Annual Pride posts (through 2024) (+2); Pride event sponsorships in multiple US markets (ended Oct 2024) (+12); Funded LGBTQ+ ERG (refocused to 'professional development' in 2024 ro… (+15)</t>
        </is>
      </c>
      <c r="G117" s="83" t="inlineStr">
        <is>
          <t>(+3) p_logo_rainbow — https://web.archive.org/web/2024/https://www.toyota.com/usa/diversity/ [documented as of 2024; credited from 2015 per methodology] || (+2) p_generic_post — https://web.archive.org/web/2024/https://www.toyota.com/usa/diversity/ [documented as of 2024; credited from 2015 per methodology] || (+12) p_parade_sponsor — https://www.techtarget.com/whatis/feature/What-companies-are-rolling-back-DEI-policies [documented as of 2024; credited from 2015 per methodology] || (+15) p_erg_support — https://web.archive.org/web/2024/https://www.toyota.com/usa/diversity/ [documented as of 2024; credited from 2015 per methodology]</t>
        </is>
      </c>
    </row>
    <row r="118">
      <c r="A118" s="83" t="inlineStr">
        <is>
          <t>Toyota USA</t>
        </is>
      </c>
      <c r="B118" s="83" t="n">
        <v>2021</v>
      </c>
      <c r="C118" s="83" t="n">
        <v>52</v>
      </c>
      <c r="D118" s="83" t="n">
        <v>-30</v>
      </c>
      <c r="E118" s="83" t="inlineStr">
        <is>
          <t>Change</t>
        </is>
      </c>
      <c r="F118" s="83" t="inlineStr">
        <is>
          <t>Score falls from 82 to 52 (-30). Driver(s): n_anti_lgbtq_donations (-30): Documented $601,500 to 7 anti-LGBTQ+ bill sponsors across 3 states, 2019-2022 — the largest corporate total in the Data for Progr…. New total: 50 +5 capped cosmetic/commercial +27 civic/financial/structural -30 negatives = 52.</t>
        </is>
      </c>
      <c r="G118" s="83" t="inlineStr">
        <is>
          <t>(-30) n_anti_lgbtq_donations — https://www.filesforprogress.org/datasets/2022/5/AccountableAllies-Data.pdf</t>
        </is>
      </c>
    </row>
    <row r="119">
      <c r="A119" s="83" t="inlineStr">
        <is>
          <t>Toyota USA</t>
        </is>
      </c>
      <c r="B119" s="83" t="n">
        <v>2024</v>
      </c>
      <c r="C119" s="83" t="n">
        <v>0</v>
      </c>
      <c r="D119" s="83" t="n">
        <v>-52</v>
      </c>
      <c r="E119" s="83" t="inlineStr">
        <is>
          <t>Change</t>
        </is>
      </c>
      <c r="F119" s="83" t="inlineStr">
        <is>
          <t>Score falls from 52 to 0 (-52). Driver(s): n_dei_removal (-32): Quit HRC CEI; narrowed DEI programs and ERG scope (Oct 2024 memo) | n_pride_retreat (-22): Ended sponsorship of LGBTQ+ community events including Pride. Net effect differs from the raw -54 of the new item(s) because of the 0-100 clamp. New total: 50 +5 capped cosmetic/commercial +27 civic/financial/structural -84 negatives (clamped) = 0.</t>
        </is>
      </c>
      <c r="G119" s="83" t="inlineStr">
        <is>
          <t>(-32) n_dei_removal — https://www.techtarget.com/whatis/feature/What-companies-are-rolling-back-DEI-policies || (-22) n_pride_retreat — https://www.techtarget.com/whatis/feature/What-companies-are-rolling-back-DEI-policies</t>
        </is>
      </c>
    </row>
    <row r="120">
      <c r="A120" s="83" t="inlineStr">
        <is>
          <t>Honda USA</t>
        </is>
      </c>
      <c r="B120" s="83" t="n">
        <v>2015</v>
      </c>
      <c r="C120" s="83" t="n">
        <v>67</v>
      </c>
      <c r="D120" s="83" t="inlineStr"/>
      <c r="E120" s="83" t="inlineStr">
        <is>
          <t>Baseline</t>
        </is>
      </c>
      <c r="F120" s="83" t="inlineStr">
        <is>
          <t>2015 baseline = 67. Math: 50 +2 capped cosmetic/commercial +15 civic/financial/structural +0 negatives. Positive evidence in force: Pride Month posts and engagement (+2); Funded LGBTQ+ employee resource group (+15)</t>
        </is>
      </c>
      <c r="G120" s="83" t="inlineStr">
        <is>
          <t>(+2) p_generic_post — https://web.archive.org/web/2024/https://www.honda.com/diversity [documented as of 2024; credited from 2015 per methodology] || (+15) p_erg_support — https://web.archive.org/web/2024/https://www.honda.com/diversity [documented as of 2024; credited from 2015 per methodology]</t>
        </is>
      </c>
    </row>
    <row r="121">
      <c r="A121" s="83" t="inlineStr">
        <is>
          <t>Stellantis</t>
        </is>
      </c>
      <c r="B121" s="83" t="n">
        <v>2015</v>
      </c>
      <c r="C121" s="83" t="n">
        <v>52</v>
      </c>
      <c r="D121" s="83" t="inlineStr"/>
      <c r="E121" s="83" t="inlineStr">
        <is>
          <t>Baseline</t>
        </is>
      </c>
      <c r="F121" s="83" t="inlineStr">
        <is>
          <t>2015 baseline = 52. Math: 50 +2 capped cosmetic/commercial +0 civic/financial/structural +0 negatives. Positive evidence in force: Occasional brand Pride posts (Jeep et al.) (+2)</t>
        </is>
      </c>
      <c r="G121" s="83" t="inlineStr">
        <is>
          <t>(+2) p_generic_post — https://web.archive.org/web/2024/https://www.stellantis.com/en/company/diversity-and-inclusion [documented as of 2024; credited from 2015 per methodology]</t>
        </is>
      </c>
    </row>
    <row r="122">
      <c r="A122" s="83" t="inlineStr">
        <is>
          <t>CVS Health</t>
        </is>
      </c>
      <c r="B122" s="83" t="n">
        <v>2015</v>
      </c>
      <c r="C122" s="83" t="n">
        <v>74</v>
      </c>
      <c r="D122" s="83" t="inlineStr"/>
      <c r="E122" s="83" t="inlineStr">
        <is>
          <t>Baseline</t>
        </is>
      </c>
      <c r="F122" s="83" t="inlineStr">
        <is>
          <t>2015 baseline = 74. Math: 50 +2 capped cosmetic/commercial +22 civic/financial/structural +0 negatives. Positive evidence in force: Annual Pride Month posts and engagement (+2); Inclusive partner and gender-affirming benefits (CEI-verified) (+22)</t>
        </is>
      </c>
      <c r="G122" s="83" t="inlineStr">
        <is>
          <t>(+2) p_generic_post — https://web.archive.org/web/2024/https://www.cvshealth.com/about/diversity.html [documented as of 2024; credited from 2015 per methodology] || (+22) p_benefits — https://reports.hrc.org/corporate-equality-index-2025 [documented as of 2024; credited from 2015 per methodology]</t>
        </is>
      </c>
    </row>
    <row r="123">
      <c r="A123" s="83" t="inlineStr">
        <is>
          <t>CVS Health</t>
        </is>
      </c>
      <c r="B123" s="83" t="n">
        <v>2023</v>
      </c>
      <c r="C123" s="83" t="n">
        <v>44</v>
      </c>
      <c r="D123" s="83" t="n">
        <v>-30</v>
      </c>
      <c r="E123" s="83" t="inlineStr">
        <is>
          <t>Change</t>
        </is>
      </c>
      <c r="F123" s="83" t="inlineStr">
        <is>
          <t>Score falls from 74 to 44 (-30). Driver(s): n_anti_lgbtq_donations (-30): Documented $1,079,485 since Nov 2022: $127,000 to 23 zero-HRC-rated members of Congress, $550,000 to RGA, $260,000 to RSLC, $125,…. New total: 50 +2 capped cosmetic/commercial +22 civic/financial/structural -30 negatives = 44.</t>
        </is>
      </c>
      <c r="G123" s="83" t="inlineStr">
        <is>
          <t>(-30) n_anti_lgbtq_donations — https://popular.info/p/these-25-rainbow-flag-waving-companies</t>
        </is>
      </c>
    </row>
    <row r="124">
      <c r="A124" s="83" t="inlineStr">
        <is>
          <t>Walgreens</t>
        </is>
      </c>
      <c r="B124" s="83" t="n">
        <v>2015</v>
      </c>
      <c r="C124" s="83" t="n">
        <v>74</v>
      </c>
      <c r="D124" s="83" t="inlineStr"/>
      <c r="E124" s="83" t="inlineStr">
        <is>
          <t>Baseline</t>
        </is>
      </c>
      <c r="F124" s="83" t="inlineStr">
        <is>
          <t>2015 baseline = 74. Math: 50 +2 capped cosmetic/commercial +22 civic/financial/structural +0 negatives. Positive evidence in force: Pride Month posts and engagement (prior years) (+2); Inclusive partner and gender-affirming benefits (CEI-verified) (+22)</t>
        </is>
      </c>
      <c r="G124" s="83" t="inlineStr">
        <is>
          <t>(+2) p_generic_post — https://web.archive.org/web/2024/https://www.walgreensbootsalliance.com/people-perspectives/diversity-equity-inclusion [documented as of 2024; credited from 2015 per methodology] || (+22) p_benefits — https://reports.hrc.org/corporate-equality-index-2025 [documented as of 2024; credited from 2015 per methodology]</t>
        </is>
      </c>
    </row>
    <row r="125">
      <c r="A125" s="83" t="inlineStr">
        <is>
          <t>Johnson &amp; Johnson</t>
        </is>
      </c>
      <c r="B125" s="83" t="n">
        <v>2015</v>
      </c>
      <c r="C125" s="83" t="n">
        <v>74</v>
      </c>
      <c r="D125" s="83" t="inlineStr"/>
      <c r="E125" s="83" t="inlineStr">
        <is>
          <t>Baseline</t>
        </is>
      </c>
      <c r="F125" s="83" t="inlineStr">
        <is>
          <t>2015 baseline = 74. Math: 50 +2 capped cosmetic/commercial +22 civic/financial/structural +0 negatives. Positive evidence in force: Annual Pride Month posts and engagement (+2); Inclusive partner and gender-affirming benefits (CEI-verified) (+22)</t>
        </is>
      </c>
      <c r="G125" s="83" t="inlineStr">
        <is>
          <t>(+2) p_generic_post — https://web.archive.org/web/2024/https://www.jnj.com/about-jnj/diversity-equity-and-inclusion [documented as of 2024; credited from 2015 per methodology] || (+22) p_benefits — https://reports.hrc.org/corporate-equality-index-2025 [documented as of 2024; credited from 2015 per methodology]</t>
        </is>
      </c>
    </row>
    <row r="126">
      <c r="A126" s="83" t="inlineStr">
        <is>
          <t>Pfizer</t>
        </is>
      </c>
      <c r="B126" s="83" t="n">
        <v>2015</v>
      </c>
      <c r="C126" s="83" t="n">
        <v>89</v>
      </c>
      <c r="D126" s="83" t="inlineStr"/>
      <c r="E126" s="83" t="inlineStr">
        <is>
          <t>Baseline</t>
        </is>
      </c>
      <c r="F126" s="83" t="inlineStr">
        <is>
          <t>2015 baseline = 89. Math: 50 +2 capped cosmetic/commercial +37 civic/financial/structural +0 negatives. Positive evidence in force: Annual Pride Month posts and engagement (+2); Funded OPEN LGBTQ+ employee resource network (+15); Inclusive partner and gender-affirming benefits (CEI-verified) (+22)</t>
        </is>
      </c>
      <c r="G126" s="83" t="inlineStr">
        <is>
          <t>(+2) p_generic_post — https://web.archive.org/web/2024/https://www.pfizer.com/about/responsibility/diversity-equity-inclusion [documented as of 2024; credited from 2015 per methodology] || (+15) p_erg_support — https://web.archive.org/web/2024/https://www.pfizer.com/about/responsibility/diversity-equity-inclusion [documented as of 2024; credited from 2015 per methodology] || (+22) p_benefits — https://reports.hrc.org/corporate-equality-index-2025 [documented as of 2024; credited from 2015 per methodology]</t>
        </is>
      </c>
    </row>
    <row r="127">
      <c r="A127" s="83" t="inlineStr">
        <is>
          <t>Pfizer</t>
        </is>
      </c>
      <c r="B127" s="83" t="n">
        <v>2021</v>
      </c>
      <c r="C127" s="83" t="n">
        <v>59</v>
      </c>
      <c r="D127" s="83" t="n">
        <v>-30</v>
      </c>
      <c r="E127" s="83" t="inlineStr">
        <is>
          <t>Change</t>
        </is>
      </c>
      <c r="F127" s="83" t="inlineStr">
        <is>
          <t>Score falls from 89 to 59 (-30). Driver(s): n_anti_lgbtq_donations (-30): Documented $41,450 to 20 anti-LGBTQ+ bill sponsors across 5 states, 2019-2022 (Data for Progress). New total: 50 +2 capped cosmetic/commercial +37 civic/financial/structural -30 negatives = 59.</t>
        </is>
      </c>
      <c r="G127" s="83" t="inlineStr">
        <is>
          <t>(-30) n_anti_lgbtq_donations — https://www.filesforprogress.org/datasets/2022/5/AccountableAllies-Data.pdf</t>
        </is>
      </c>
    </row>
    <row r="128">
      <c r="A128" s="83" t="inlineStr">
        <is>
          <t>UnitedHealth Group</t>
        </is>
      </c>
      <c r="B128" s="83" t="n">
        <v>2015</v>
      </c>
      <c r="C128" s="83" t="n">
        <v>74</v>
      </c>
      <c r="D128" s="83" t="inlineStr"/>
      <c r="E128" s="83" t="inlineStr">
        <is>
          <t>Baseline</t>
        </is>
      </c>
      <c r="F128" s="83" t="inlineStr">
        <is>
          <t>2015 baseline = 74. Math: 50 +2 capped cosmetic/commercial +22 civic/financial/structural +0 negatives. Positive evidence in force: Prior Pride Month engagement and DEI reporting (+2); Inclusive partner and gender-affirming benefits (CEI-verified) (+22)</t>
        </is>
      </c>
      <c r="G128" s="83" t="inlineStr">
        <is>
          <t>(+2) p_generic_post — https://web.archive.org/web/2024/https://www.unitedhealthgroup.com/people-and-businesses/people-culture/diversity-equity-inclusion.html [documented as of 2024; credited from 2015 per methodology] || (+22) p_benefits — https://reports.hrc.org/corporate-equality-index-2025 [documented as of 2024; credited from 2015 per methodology]</t>
        </is>
      </c>
    </row>
    <row r="129">
      <c r="A129" s="83" t="inlineStr">
        <is>
          <t>UnitedHealth Group</t>
        </is>
      </c>
      <c r="B129" s="83" t="n">
        <v>2023</v>
      </c>
      <c r="C129" s="83" t="n">
        <v>44</v>
      </c>
      <c r="D129" s="83" t="n">
        <v>-30</v>
      </c>
      <c r="E129" s="83" t="inlineStr">
        <is>
          <t>Change</t>
        </is>
      </c>
      <c r="F129" s="83" t="inlineStr">
        <is>
          <t>Score falls from 74 to 44 (-30). Driver(s): n_anti_lgbtq_donations (-30): Documented $1,028,750 since Nov 2022: $188,000 to 35 zero-HRC-rated members of Congress, $650,000 to RGA, $150,000 to RSLC, $40,7…. New total: 50 +2 capped cosmetic/commercial +22 civic/financial/structural -30 negatives = 44.</t>
        </is>
      </c>
      <c r="G129" s="83" t="inlineStr">
        <is>
          <t>(-30) n_anti_lgbtq_donations — https://popular.info/p/these-25-rainbow-flag-waving-companies</t>
        </is>
      </c>
    </row>
    <row r="130">
      <c r="A130" s="83" t="inlineStr">
        <is>
          <t>UnitedHealth Group</t>
        </is>
      </c>
      <c r="B130" s="83" t="n">
        <v>2025</v>
      </c>
      <c r="C130" s="83" t="n">
        <v>12</v>
      </c>
      <c r="D130" s="83" t="n">
        <v>-32</v>
      </c>
      <c r="E130" s="83" t="inlineStr">
        <is>
          <t>Change</t>
        </is>
      </c>
      <c r="F130" s="83" t="inlineStr">
        <is>
          <t>Score falls from 44 to 12 (-32). Driver(s): n_dei_removal (-32): Removed DEI mentions from much of its website; dedicated pages no longer load; 2022 DEI blog post deleted. New total: 50 +2 capped cosmetic/commercial +22 civic/financial/structural -62 negatives = 12.</t>
        </is>
      </c>
      <c r="G130" s="83" t="inlineStr">
        <is>
          <t>(-32) n_dei_removal — https://techcrunch.com/2025/03/26/unitedhealth-removes-mentions-of-dei-from-its-website/</t>
        </is>
      </c>
    </row>
    <row r="131">
      <c r="A131" s="83" t="inlineStr">
        <is>
          <t>Cigna</t>
        </is>
      </c>
      <c r="B131" s="83" t="n">
        <v>2015</v>
      </c>
      <c r="C131" s="83" t="n">
        <v>74</v>
      </c>
      <c r="D131" s="83" t="inlineStr"/>
      <c r="E131" s="83" t="inlineStr">
        <is>
          <t>Baseline</t>
        </is>
      </c>
      <c r="F131" s="83" t="inlineStr">
        <is>
          <t>2015 baseline = 74. Math: 50 +2 capped cosmetic/commercial +22 civic/financial/structural +0 negatives. Positive evidence in force: Pride engagement and inclusion reporting (prior years) (+2); Inclusive benefits; public transgender health and gender-affirmation… (+22)</t>
        </is>
      </c>
      <c r="G131" s="83" t="inlineStr">
        <is>
          <t>(+2) p_generic_post — https://web.archive.org/web/2024/https://www.thecignagroup.com/about-us/diversity-equity-inclusion [documented as of 2024; credited from 2015 per methodology] || (+22) p_benefits — https://www.cigna.com/knowledge-center/transgender-health-issues [documented as of 2025; credited from 2015 per methodology]</t>
        </is>
      </c>
    </row>
    <row r="132">
      <c r="A132" s="83" t="inlineStr">
        <is>
          <t>Cigna</t>
        </is>
      </c>
      <c r="B132" s="83" t="n">
        <v>2021</v>
      </c>
      <c r="C132" s="83" t="n">
        <v>44</v>
      </c>
      <c r="D132" s="83" t="n">
        <v>-30</v>
      </c>
      <c r="E132" s="83" t="inlineStr">
        <is>
          <t>Change</t>
        </is>
      </c>
      <c r="F132" s="83" t="inlineStr">
        <is>
          <t>Score falls from 74 to 44 (-30). Driver(s): n_anti_lgbtq_donations (-30): Documented $40,000 to 21 anti-LGBTQ+ bill sponsors across 3 states, 2019-2022 (Data for Progress). New total: 50 +2 capped cosmetic/commercial +22 civic/financial/structural -30 negatives = 44.</t>
        </is>
      </c>
      <c r="G132" s="83" t="inlineStr">
        <is>
          <t>(-30) n_anti_lgbtq_donations — https://www.filesforprogress.org/datasets/2022/5/AccountableAllies-Data.pdf</t>
        </is>
      </c>
    </row>
    <row r="133">
      <c r="A133" s="83" t="inlineStr">
        <is>
          <t>Cigna</t>
        </is>
      </c>
      <c r="B133" s="83" t="n">
        <v>2025</v>
      </c>
      <c r="C133" s="83" t="n">
        <v>12</v>
      </c>
      <c r="D133" s="83" t="n">
        <v>-32</v>
      </c>
      <c r="E133" s="83" t="inlineStr">
        <is>
          <t>Change</t>
        </is>
      </c>
      <c r="F133" s="83" t="inlineStr">
        <is>
          <t>Score falls from 44 to 12 (-32). Driver(s): n_dei_removal (-32): Revised/softened DEI strategy language in 2025 annual report (insurer retreat pattern). New total: 50 +2 capped cosmetic/commercial +22 civic/financial/structural -62 negatives = 12.</t>
        </is>
      </c>
      <c r="G133" s="83" t="inlineStr">
        <is>
          <t>(-32) n_dei_removal — https://www.modernhealthcare.com/insurance/unitedhealth-cigna-humana-elevance-dei/</t>
        </is>
      </c>
    </row>
    <row r="134">
      <c r="A134" s="83" t="inlineStr">
        <is>
          <t>Humana</t>
        </is>
      </c>
      <c r="B134" s="83" t="n">
        <v>2015</v>
      </c>
      <c r="C134" s="83" t="n">
        <v>74</v>
      </c>
      <c r="D134" s="83" t="inlineStr"/>
      <c r="E134" s="83" t="inlineStr">
        <is>
          <t>Baseline</t>
        </is>
      </c>
      <c r="F134" s="83" t="inlineStr">
        <is>
          <t>2015 baseline = 74. Math: 50 +2 capped cosmetic/commercial +22 civic/financial/structural +0 negatives. Positive evidence in force: Pride engagement and inclusion reporting (prior years) (+2); Inclusive partner and gender-affirming benefits (CEI-verified) (+22)</t>
        </is>
      </c>
      <c r="G134" s="83" t="inlineStr">
        <is>
          <t>(+2) p_generic_post — https://web.archive.org/web/2024/https://www.humana.com/about/impact/diversity-equity-inclusion [documented as of 2024; credited from 2015 per methodology] || (+22) p_benefits — https://reports.hrc.org/corporate-equality-index-2025 [documented as of 2024; credited from 2015 per methodology]</t>
        </is>
      </c>
    </row>
    <row r="135">
      <c r="A135" s="83" t="inlineStr">
        <is>
          <t>Humana</t>
        </is>
      </c>
      <c r="B135" s="83" t="n">
        <v>2025</v>
      </c>
      <c r="C135" s="83" t="n">
        <v>42</v>
      </c>
      <c r="D135" s="83" t="n">
        <v>-32</v>
      </c>
      <c r="E135" s="83" t="inlineStr">
        <is>
          <t>Change</t>
        </is>
      </c>
      <c r="F135" s="83" t="inlineStr">
        <is>
          <t>Score falls from 74 to 42 (-32). Driver(s): n_dei_removal (-32): Revised/softened DEI strategy language in 2025 annual report (insurer retreat pattern). New total: 50 +2 capped cosmetic/commercial +22 civic/financial/structural -32 negatives = 42.</t>
        </is>
      </c>
      <c r="G135" s="83" t="inlineStr">
        <is>
          <t>(-32) n_dei_removal — https://www.modernhealthcare.com/insurance/unitedhealth-cigna-humana-elevance-dei/</t>
        </is>
      </c>
    </row>
    <row r="136">
      <c r="A136" s="83" t="inlineStr">
        <is>
          <t>ExxonMobil</t>
        </is>
      </c>
      <c r="B136" s="83" t="n">
        <v>2015</v>
      </c>
      <c r="C136" s="83" t="n">
        <v>47</v>
      </c>
      <c r="D136" s="83" t="inlineStr"/>
      <c r="E136" s="83" t="inlineStr">
        <is>
          <t>Baseline</t>
        </is>
      </c>
      <c r="F136" s="83" t="inlineStr">
        <is>
          <t>2015 baseline = 47. Math: 50 +0 capped cosmetic/commercial +25 civic/financial/structural -28 negatives. Positive evidence in force: Nondiscrimination policy covering orientation and gender identity (ad… (+25) Negative record in force: Rescinded Mobil's domestic-partner benefits following the 1999 Exxon-… (-28)</t>
        </is>
      </c>
      <c r="G136" s="83" t="inlineStr">
        <is>
          <t>(+25) p_anti_discrim_policy — https://en.wikipedia.org/wiki/ExxonMobil#LGBT_employment_policies || (-28) n_benefits_rollback — https://en.wikipedia.org/wiki/ExxonMobil#LGBT_employment_policies</t>
        </is>
      </c>
    </row>
    <row r="137">
      <c r="A137" s="83" t="inlineStr">
        <is>
          <t>ExxonMobil</t>
        </is>
      </c>
      <c r="B137" s="83" t="n">
        <v>2022</v>
      </c>
      <c r="C137" s="83" t="n">
        <v>25</v>
      </c>
      <c r="D137" s="83" t="n">
        <v>-22</v>
      </c>
      <c r="E137" s="83" t="inlineStr">
        <is>
          <t>Change</t>
        </is>
      </c>
      <c r="F137" s="83" t="inlineStr">
        <is>
          <t>Score falls from 47 to 25 (-22). Driver(s): n_pride_retreat (-22): Banned Pride (and other 'external position') flags from company flagpoles; employee protests and ERG pushback followed. New total: 50 +0 capped cosmetic/commercial +25 civic/financial/structural -50 negatives = 25.</t>
        </is>
      </c>
      <c r="G137" s="83" t="inlineStr">
        <is>
          <t>(-22) n_pride_retreat — https://www.bloomberg.com/news/articles/2022-04-21/exxon-bans-lgbtq-pride-black-lives-matter-flags-at-offices</t>
        </is>
      </c>
    </row>
    <row r="138">
      <c r="A138" s="83" t="inlineStr">
        <is>
          <t>Chevron</t>
        </is>
      </c>
      <c r="B138" s="83" t="n">
        <v>2015</v>
      </c>
      <c r="C138" s="83" t="n">
        <v>67</v>
      </c>
      <c r="D138" s="83" t="inlineStr"/>
      <c r="E138" s="83" t="inlineStr">
        <is>
          <t>Baseline</t>
        </is>
      </c>
      <c r="F138" s="83" t="inlineStr">
        <is>
          <t>2015 baseline = 67. Math: 50 +2 capped cosmetic/commercial +15 civic/financial/structural +0 negatives. Positive evidence in force: Pride Month posts and engagement (+2); Funded PRIDE Chevron employee network (+15)</t>
        </is>
      </c>
      <c r="G138" s="83" t="inlineStr">
        <is>
          <t>(+2) p_generic_post — https://web.archive.org/web/2024/https://www.chevron.com/sustainability/social/diversity-inclusion [documented as of 2024; credited from 2015 per methodology] || (+15) p_erg_support — https://web.archive.org/web/2024/https://www.chevron.com/sustainability/social/diversity-inclusion [documented as of 2024; credited from 2015 per methodology]</t>
        </is>
      </c>
    </row>
    <row r="139">
      <c r="A139" s="83" t="inlineStr">
        <is>
          <t>NextEra Energy</t>
        </is>
      </c>
      <c r="B139" s="83" t="n">
        <v>2015</v>
      </c>
      <c r="C139" s="83" t="n">
        <v>50</v>
      </c>
      <c r="D139" s="83" t="inlineStr"/>
      <c r="E139" s="83" t="inlineStr">
        <is>
          <t>Baseline</t>
        </is>
      </c>
      <c r="F139" s="83" t="inlineStr">
        <is>
          <t>2015 baseline = 50 (neutral). No documented LGBTQ+-related actions, positive or negative, attributable to this year; the company starts at the index's no-engagement baseline.</t>
        </is>
      </c>
      <c r="G139" s="83" t="inlineStr"/>
    </row>
    <row r="140">
      <c r="A140" s="83" t="inlineStr">
        <is>
          <t>NextEra Energy</t>
        </is>
      </c>
      <c r="B140" s="83" t="n">
        <v>2021</v>
      </c>
      <c r="C140" s="83" t="n">
        <v>20</v>
      </c>
      <c r="D140" s="83" t="n">
        <v>-30</v>
      </c>
      <c r="E140" s="83" t="inlineStr">
        <is>
          <t>Change</t>
        </is>
      </c>
      <c r="F140" s="83" t="inlineStr">
        <is>
          <t>Score falls from 50 to 20 (-30). Driver(s): n_anti_lgbtq_donations (-30): Documented $27,500 to 9 anti-LGBTQ+ bill sponsors across 3 states, 2019-2022 (Data for Progress). New total: 50 +0 capped cosmetic/commercial +0 civic/financial/structural -30 negatives = 20.</t>
        </is>
      </c>
      <c r="G140" s="83" t="inlineStr">
        <is>
          <t>(-30) n_anti_lgbtq_donations — https://www.filesforprogress.org/datasets/2022/5/AccountableAllies-Data.pdf</t>
        </is>
      </c>
    </row>
    <row r="141">
      <c r="A141" s="83" t="inlineStr">
        <is>
          <t>Southern Company</t>
        </is>
      </c>
      <c r="B141" s="83" t="n">
        <v>2015</v>
      </c>
      <c r="C141" s="83" t="n">
        <v>50</v>
      </c>
      <c r="D141" s="83" t="inlineStr"/>
      <c r="E141" s="83" t="inlineStr">
        <is>
          <t>Baseline</t>
        </is>
      </c>
      <c r="F141" s="83" t="inlineStr">
        <is>
          <t>2015 baseline = 50 (neutral). No documented LGBTQ+-related actions, positive or negative, attributable to this year; the company starts at the index's no-engagement baseline.</t>
        </is>
      </c>
      <c r="G141" s="83" t="inlineStr"/>
    </row>
    <row r="142">
      <c r="A142" s="83" t="inlineStr">
        <is>
          <t>Marriott</t>
        </is>
      </c>
      <c r="B142" s="83" t="n">
        <v>2015</v>
      </c>
      <c r="C142" s="83" t="n">
        <v>100</v>
      </c>
      <c r="D142" s="83" t="inlineStr"/>
      <c r="E142" s="83" t="inlineStr">
        <is>
          <t>Baseline</t>
        </is>
      </c>
      <c r="F142" s="83" t="inlineStr">
        <is>
          <t>2015 baseline = 100. Math: 50 +3 capped cosmetic/commercial +65 civic/financial/structural +0 negatives (clamped to 0-100). Positive evidence in force: Pride campaign branding across brands (+3); Funded LGBTQ+ employee resource group (+15); Inclusive partner and gender-affirming benefits (CEI-verified) (+22); 10+ years of sustained programming (#LoveTravels since 2014) and CEI… (+28)</t>
        </is>
      </c>
      <c r="G142" s="83" t="inlineStr">
        <is>
          <t>(+3) p_logo_rainbow — https://web.archive.org/web/2025/https://www.marriott.com/diversity/corporate-diversity.mi [documented as of 2025; credited from 2015 per methodology] || (+15) p_erg_support — https://web.archive.org/web/2024/https://www.marriott.com/diversity/corporate-diversity.mi [documented as of 2024; credited from 2015 per methodology] || (+22) p_benefits — https://reports.hrc.org/corporate-equality-index-2025 [documented as of 2025; credited from 2015 per methodology] || (+28) p_consistent_history — https://reports.hrc.org/corporate-equality-index-2025 [documented as of 2025; credited from 2015 per methodology]</t>
        </is>
      </c>
    </row>
    <row r="143">
      <c r="A143" s="83" t="inlineStr">
        <is>
          <t>Marriott</t>
        </is>
      </c>
      <c r="B143" s="83" t="n">
        <v>2024</v>
      </c>
      <c r="C143" s="83" t="n">
        <v>100</v>
      </c>
      <c r="D143" s="83" t="n">
        <v>0</v>
      </c>
      <c r="E143" s="83" t="inlineStr">
        <is>
          <t>Change</t>
        </is>
      </c>
      <c r="F143" s="83" t="inlineStr">
        <is>
          <t>Score is unchanged from 100 to 100 (+0). Driver(s): p_collab (+8): #LoveTravels platform with LGBTQ+ talent and creators, running since 2014. Net effect differs from the raw +8 of the new item(s) because of the 0-100 clamp and +20 cosmetic/commercial cap. New total: 50 +11 capped cosmetic/commercial +65 civic/financial/structural +0 negatives (clamped) = 100.</t>
        </is>
      </c>
      <c r="G143" s="83" t="inlineStr">
        <is>
          <t>(+8) p_collab — https://web.archive.org/web/2024/https://www.marriott.com/loveTravels/</t>
        </is>
      </c>
    </row>
    <row r="144">
      <c r="A144" s="83" t="inlineStr">
        <is>
          <t>Hilton</t>
        </is>
      </c>
      <c r="B144" s="83" t="n">
        <v>2015</v>
      </c>
      <c r="C144" s="83" t="n">
        <v>79</v>
      </c>
      <c r="D144" s="83" t="inlineStr"/>
      <c r="E144" s="83" t="inlineStr">
        <is>
          <t>Baseline</t>
        </is>
      </c>
      <c r="F144" s="83" t="inlineStr">
        <is>
          <t>2015 baseline = 79. Math: 50 +2 capped cosmetic/commercial +27 civic/financial/structural +0 negatives. Positive evidence in force: Annual Pride posts and campaigns (+2); WorldPride 2025 (Washington DC) supporter while many corporates withd… (+12); Funded LGBTQ+ ERG (Pride at Hilton) (+15)</t>
        </is>
      </c>
      <c r="G144" s="83" t="inlineStr">
        <is>
          <t>(+2) p_generic_post — https://web.archive.org/web/2025/https://www.hilton.com/en/corporate/ [documented as of 2025; credited from 2015 per methodology] || (+12) p_parade_sponsor — https://www.hrdive.com/news/employer-pride-2025/751092/ [documented as of 2025; credited from 2015 per methodology] || (+15) p_erg_support — https://web.archive.org/web/2024/https://jobs.hilton.com/us/en/diversity [documented as of 2024; credited from 2015 per methodology]</t>
        </is>
      </c>
    </row>
    <row r="145">
      <c r="A145" s="83" t="inlineStr">
        <is>
          <t>Delta Air Lines</t>
        </is>
      </c>
      <c r="B145" s="83" t="n">
        <v>2015</v>
      </c>
      <c r="C145" s="83" t="n">
        <v>100</v>
      </c>
      <c r="D145" s="83" t="inlineStr"/>
      <c r="E145" s="83" t="inlineStr">
        <is>
          <t>Baseline</t>
        </is>
      </c>
      <c r="F145" s="83" t="inlineStr">
        <is>
          <t>2015 baseline = 100. Math: 50 +5 capped cosmetic/commercial +57 civic/financial/structural +0 negatives (clamped to 0-100). Positive evidence in force: Annual Pride branding and campaign visuals (+3); Continuing Pride Month coverage and statements on its own newsroom (+2); Funded EQUAL LGBTQ+ employee resource group (+15); Inclusive partner and gender-affirming benefits (CEI-verified) (+22); Publicly affirmed continuing DEI commitments in Jan 2025 amid the cor… (+20)</t>
        </is>
      </c>
      <c r="G145" s="83" t="inlineStr">
        <is>
          <t>(+3) p_logo_rainbow — https://news.delta.com/tags/pride [documented as of 2025; credited from 2015 per methodology] || (+2) p_generic_post — https://news.delta.com/tags/pride [documented as of 2026; credited from 2015 per methodology] || (+15) p_erg_support — https://www.delta.com/us/en/about-delta/diversity [documented as of 2025; credited from 2015 per methodology] || (+22) p_benefits — https://reports.hrc.org/corporate-equality-index-2025 [documented as of 2025; credited from 2015 per methodology] || (+20) p_dei_explicit — https://www.nbcnews.com/news/nbcblk/delta-air-lines-costco-companies-say-ll-stick-dei-rcna189669 [documented as of 2025; credited from 2015 per methodology]</t>
        </is>
      </c>
    </row>
    <row r="146">
      <c r="A146" s="83" t="inlineStr">
        <is>
          <t>Delta Air Lines</t>
        </is>
      </c>
      <c r="B146" s="83" t="n">
        <v>2026</v>
      </c>
      <c r="C146" s="83" t="n">
        <v>100</v>
      </c>
      <c r="D146" s="83" t="n">
        <v>0</v>
      </c>
      <c r="E146" s="83" t="inlineStr">
        <is>
          <t>Change</t>
        </is>
      </c>
      <c r="F146" s="83" t="inlineStr">
        <is>
          <t>Score is unchanged from 100 to 100 (+0). Driver(s): p_parade_march (+10): Employee contingents marching at Pride events incl. Amsterdam and Brighton (2025-26) and US prides. Net effect differs from the raw +10 of the new item(s) because of the 0-100 clamp. New total: 50 +5 capped cosmetic/commercial +67 civic/financial/structural +0 negatives (clamped) = 100.</t>
        </is>
      </c>
      <c r="G146" s="83" t="inlineStr">
        <is>
          <t>(+10) p_parade_march — https://news.delta.com/delta-celebrates-spirit-togetherness-resilience-and-joy-pride-events-amsterdam-and-brighton</t>
        </is>
      </c>
    </row>
    <row r="147">
      <c r="A147" s="83" t="inlineStr">
        <is>
          <t>American Airlines</t>
        </is>
      </c>
      <c r="B147" s="83" t="n">
        <v>2015</v>
      </c>
      <c r="C147" s="83" t="n">
        <v>89</v>
      </c>
      <c r="D147" s="83" t="inlineStr"/>
      <c r="E147" s="83" t="inlineStr">
        <is>
          <t>Baseline</t>
        </is>
      </c>
      <c r="F147" s="83" t="inlineStr">
        <is>
          <t>2015 baseline = 89. Math: 50 +2 capped cosmetic/commercial +37 civic/financial/structural +0 negatives. Positive evidence in force: Annual Pride posts and campaigns (+2); Funded PRIDE ERG, established 1994 — among the oldest in aviation (+15); Inclusive partner and gender-affirming benefits (CEI-verified) (+22)</t>
        </is>
      </c>
      <c r="G147" s="83" t="inlineStr">
        <is>
          <t>(+2) p_generic_post — https://web.archive.org/web/2024/https://www.aa.com/i18n/customer-service/about-us/diversity-equity-and-inclusion.jsp [documented as of 2024; credited from 2015 per methodology] || (+15) p_erg_support — https://web.archive.org/web/2024/https://www.aa.com/i18n/customer-service/about-us/diversity-equity-and-inclusion.jsp [documented as of 2024; credited from 2015 per methodology] || (+22) p_benefits — https://reports.hrc.org/corporate-equality-index-2025 [documented as of 2024; credited from 2015 per methodology]</t>
        </is>
      </c>
    </row>
    <row r="148">
      <c r="A148" s="83" t="inlineStr">
        <is>
          <t>United Airlines</t>
        </is>
      </c>
      <c r="B148" s="83" t="n">
        <v>2015</v>
      </c>
      <c r="C148" s="83" t="n">
        <v>79</v>
      </c>
      <c r="D148" s="83" t="inlineStr"/>
      <c r="E148" s="83" t="inlineStr">
        <is>
          <t>Baseline</t>
        </is>
      </c>
      <c r="F148" s="83" t="inlineStr">
        <is>
          <t>2015 baseline = 79. Math: 50 +2 capped cosmetic/commercial +27 civic/financial/structural +0 negatives. Positive evidence in force: Annual Pride posts and campaigns (+2); WorldPride 2025 (Washington DC) supporter (+12); Funded LGBTQ+ employee resource group (+15)</t>
        </is>
      </c>
      <c r="G148" s="83" t="inlineStr">
        <is>
          <t>(+2) p_generic_post — https://web.archive.org/web/2025/https://www.united.com/en/us/fly/company/global-citizenship/diversity-equity-and-inclusion.html [documented as of 2025; credited from 2015 per methodology] || (+12) p_parade_sponsor — https://www.hrdive.com/news/employer-pride-2025/751092/ [documented as of 2025; credited from 2015 per methodology] || (+15) p_erg_support — https://web.archive.org/web/2024/https://www.united.com/en/us/fly/company/global-citizenship/diversity-equity-and-inclusion.html [documented as of 2024; credited from 2015 per methodology]</t>
        </is>
      </c>
    </row>
    <row r="149">
      <c r="A149" s="83" t="inlineStr">
        <is>
          <t>Airbnb</t>
        </is>
      </c>
      <c r="B149" s="83" t="n">
        <v>2015</v>
      </c>
      <c r="C149" s="83" t="n">
        <v>77</v>
      </c>
      <c r="D149" s="83" t="inlineStr"/>
      <c r="E149" s="83" t="inlineStr">
        <is>
          <t>Baseline</t>
        </is>
      </c>
      <c r="F149" s="83" t="inlineStr">
        <is>
          <t>2015 baseline = 77. Math: 50 +2 capped cosmetic/commercial +25 civic/financial/structural +0 negatives. Positive evidence in force: Pride Month posts and campaigns (+2); Community Commitment: platform-wide nondiscrimination covering sexual… (+25)</t>
        </is>
      </c>
      <c r="G149" s="83" t="inlineStr">
        <is>
          <t>(+2) p_generic_post — https://web.archive.org/web/2025/https://news.airbnb.com/ [documented as of 2025; credited from 2015 per methodology] || (+25) p_anti_discrim_policy — https://www.airbnb.com/against-discrimination [documented as of 2016; credited from 2015 per methodology]</t>
        </is>
      </c>
    </row>
    <row r="150">
      <c r="A150" s="83" t="inlineStr">
        <is>
          <t>Airbnb</t>
        </is>
      </c>
      <c r="B150" s="83" t="n">
        <v>2024</v>
      </c>
      <c r="C150" s="83" t="n">
        <v>89</v>
      </c>
      <c r="D150" s="83" t="n">
        <v>12</v>
      </c>
      <c r="E150" s="83" t="inlineStr">
        <is>
          <t>Change</t>
        </is>
      </c>
      <c r="F150" s="83" t="inlineStr">
        <is>
          <t>Score rises from 77 to 89 (+12). Driver(s): p_community_events (+12): LGBTQ+ travel-safety features and community programs for hosts/guests incl. protections in hostile regions. New total: 50 +2 capped cosmetic/commercial +37 civic/financial/structural +0 negatives = 89.</t>
        </is>
      </c>
      <c r="G150" s="83" t="inlineStr">
        <is>
          <t>(+12) p_community_events — https://web.archive.org/web/2024/https://www.airbnb.com/against-discrimination</t>
        </is>
      </c>
    </row>
    <row r="151">
      <c r="A151" s="83" t="inlineStr">
        <is>
          <t>Expedia</t>
        </is>
      </c>
      <c r="B151" s="83" t="n">
        <v>2015</v>
      </c>
      <c r="C151" s="83" t="n">
        <v>52</v>
      </c>
      <c r="D151" s="83" t="inlineStr"/>
      <c r="E151" s="83" t="inlineStr">
        <is>
          <t>Baseline</t>
        </is>
      </c>
      <c r="F151" s="83" t="inlineStr">
        <is>
          <t>2015 baseline = 52. Math: 50 +2 capped cosmetic/commercial +0 civic/financial/structural +0 negatives. Positive evidence in force: Pride posts and LGBTQ+ travel content (Orbitz/Expedia brands) (+2)</t>
        </is>
      </c>
      <c r="G151" s="83" t="inlineStr">
        <is>
          <t>(+2) p_generic_post — https://web.archive.org/web/2024/https://www.expediagroup.com/who-we-are/our-commitments/inclusion-diversity [documented as of 2024; credited from 2015 per methodology]</t>
        </is>
      </c>
    </row>
    <row r="152">
      <c r="A152" s="83" t="inlineStr">
        <is>
          <t>Expedia</t>
        </is>
      </c>
      <c r="B152" s="83" t="n">
        <v>2023</v>
      </c>
      <c r="C152" s="83" t="n">
        <v>60</v>
      </c>
      <c r="D152" s="83" t="n">
        <v>8</v>
      </c>
      <c r="E152" s="83" t="inlineStr">
        <is>
          <t>Change</t>
        </is>
      </c>
      <c r="F152" s="83" t="inlineStr">
        <is>
          <t>Score rises from 52 to 60 (+8). Driver(s): p_collab (+8): Orbitz legacy of dedicated LGBTQ+ travel marketing and partnerships. New total: 50 +10 capped cosmetic/commercial +0 civic/financial/structural +0 negatives = 60.</t>
        </is>
      </c>
      <c r="G152" s="83" t="inlineStr">
        <is>
          <t>(+8) p_collab — https://web.archive.org/web/2023/https://www.orbitz.com/lgbt-travel/</t>
        </is>
      </c>
    </row>
    <row r="153">
      <c r="A153" s="83" t="inlineStr">
        <is>
          <t>Procter &amp; Gamble</t>
        </is>
      </c>
      <c r="B153" s="83" t="n">
        <v>2015</v>
      </c>
      <c r="C153" s="83" t="n">
        <v>94</v>
      </c>
      <c r="D153" s="83" t="inlineStr"/>
      <c r="E153" s="83" t="inlineStr">
        <is>
          <t>Baseline</t>
        </is>
      </c>
      <c r="F153" s="83" t="inlineStr">
        <is>
          <t>2015 baseline = 94. Math: 50 +2 capped cosmetic/commercial +42 civic/financial/structural +0 negatives. Positive evidence in force: Annual Pride Month posts and brand campaigns (+2); Reaffirmed workforce inclusion commitments in annual report and publi… (+20); Inclusive partner and gender-affirming benefits; CEI 100 in 2025 (+22)</t>
        </is>
      </c>
      <c r="G153" s="83" t="inlineStr">
        <is>
          <t>(+2) p_generic_post — https://us.pg.com/blogs/dei-matters-a-sons-perspective/ [documented as of 2025; credited from 2015 per methodology] || (+20) p_dei_explicit — https://buildremote.co/dei/procter-and-gamble/ [documented as of 2025; credited from 2015 per methodology] || (+22) p_benefits — https://www.hrc.org/resources/corporations/procter-gamble-co. [documented as of 2025; credited from 2015 per methodology]</t>
        </is>
      </c>
    </row>
    <row r="154">
      <c r="A154" s="83" t="inlineStr">
        <is>
          <t>Procter &amp; Gamble</t>
        </is>
      </c>
      <c r="B154" s="83" t="n">
        <v>2024</v>
      </c>
      <c r="C154" s="83" t="n">
        <v>100</v>
      </c>
      <c r="D154" s="83" t="n">
        <v>6</v>
      </c>
      <c r="E154" s="83" t="inlineStr">
        <is>
          <t>Change</t>
        </is>
      </c>
      <c r="F154" s="83" t="inlineStr">
        <is>
          <t>Score rises from 94 to 100 (+6). Driver(s): p_collab (+8): Queer-inclusive brand campaigns (Pantene, Gillette's first trans shaving ad) and GLAAD advertising-visibility research partnership. Net effect differs from the raw +8 of the new item(s) because of the 0-100 clamp and +20 cosmetic/commercial cap. New total: 50 +10 capped cosmetic/commercial +42 civic/financial/structural +0 negatives (clamped) = 100.</t>
        </is>
      </c>
      <c r="G154" s="83" t="inlineStr">
        <is>
          <t>(+8) p_collab — https://adage.com/article/marketing-news-strategy/pg-and-unilever-extend-lgbtq-efforts-well-beyond-pride-month/2417571/</t>
        </is>
      </c>
    </row>
    <row r="155">
      <c r="A155" s="83" t="inlineStr">
        <is>
          <t>Unilever</t>
        </is>
      </c>
      <c r="B155" s="83" t="n">
        <v>2015</v>
      </c>
      <c r="C155" s="83" t="n">
        <v>74</v>
      </c>
      <c r="D155" s="83" t="inlineStr"/>
      <c r="E155" s="83" t="inlineStr">
        <is>
          <t>Baseline</t>
        </is>
      </c>
      <c r="F155" s="83" t="inlineStr">
        <is>
          <t>2015 baseline = 74. Math: 50 +2 capped cosmetic/commercial +22 civic/financial/structural +0 negatives. Positive evidence in force: Pride campaigns across brands (Dove, Ben &amp; Jerry's, Closeup) (+2); Inclusive partner and gender-affirming benefits (CEI-verified) (+22)</t>
        </is>
      </c>
      <c r="G155" s="83" t="inlineStr">
        <is>
          <t>(+2) p_generic_post — https://adage.com/article/marketing-news-strategy/pg-and-unilever-extend-lgbtq-efforts-well-beyond-pride-month/2417571/ [documented as of 2024; credited from 2015 per methodology] || (+22) p_benefits — https://reports.hrc.org/corporate-equality-index-2025 [documented as of 2024; credited from 2015 per methodology]</t>
        </is>
      </c>
    </row>
    <row r="156">
      <c r="A156" s="83" t="inlineStr">
        <is>
          <t>Unilever</t>
        </is>
      </c>
      <c r="B156" s="83" t="n">
        <v>2024</v>
      </c>
      <c r="C156" s="83" t="n">
        <v>82</v>
      </c>
      <c r="D156" s="83" t="n">
        <v>8</v>
      </c>
      <c r="E156" s="83" t="inlineStr">
        <is>
          <t>Change</t>
        </is>
      </c>
      <c r="F156" s="83" t="inlineStr">
        <is>
          <t>Score rises from 74 to 82 (+8). Driver(s): p_collab (+8): Ben &amp; Jerry's sustained LGBTQ+ activism and campaign partnerships; Dove inclusive campaigns. New total: 50 +10 capped cosmetic/commercial +22 civic/financial/structural +0 negatives = 82.</t>
        </is>
      </c>
      <c r="G156" s="83" t="inlineStr">
        <is>
          <t>(+8) p_collab — https://adage.com/article/marketing-news-strategy/pg-and-unilever-extend-lgbtq-efforts-well-beyond-pride-month/2417571/</t>
        </is>
      </c>
    </row>
    <row r="157">
      <c r="A157" s="83" t="inlineStr">
        <is>
          <t>Kellanova</t>
        </is>
      </c>
      <c r="B157" s="83" t="n">
        <v>2015</v>
      </c>
      <c r="C157" s="83" t="n">
        <v>52</v>
      </c>
      <c r="D157" s="83" t="inlineStr"/>
      <c r="E157" s="83" t="inlineStr">
        <is>
          <t>Baseline</t>
        </is>
      </c>
      <c r="F157" s="83" t="inlineStr">
        <is>
          <t>2015 baseline = 52. Math: 50 +2 capped cosmetic/commercial +0 civic/financial/structural +0 negatives. Positive evidence in force: Pride Month posts and engagement (+2)</t>
        </is>
      </c>
      <c r="G157" s="83" t="inlineStr">
        <is>
          <t>(+2) p_generic_post — https://web.archive.org/web/2024/https://www.kellanova.com/us/en/our-difference/diversity-equity-inclusion.html [documented as of 2024; credited from 2015 per methodology]</t>
        </is>
      </c>
    </row>
    <row r="158">
      <c r="A158" s="83" t="inlineStr">
        <is>
          <t>Kellanova</t>
        </is>
      </c>
      <c r="B158" s="83" t="n">
        <v>2021</v>
      </c>
      <c r="C158" s="83" t="n">
        <v>62</v>
      </c>
      <c r="D158" s="83" t="n">
        <v>10</v>
      </c>
      <c r="E158" s="83" t="inlineStr">
        <is>
          <t>Change</t>
        </is>
      </c>
      <c r="F158" s="83" t="inlineStr">
        <is>
          <t>Score rises from 52 to 62 (+10). Driver(s): p_merch_proceeds (+10): 'Together With Pride' cereal benefiting GLAAD ($3 donation per box upload), as Kellogg's. New total: 50 +12 capped cosmetic/commercial +0 civic/financial/structural +0 negatives = 62.</t>
        </is>
      </c>
      <c r="G158" s="83" t="inlineStr">
        <is>
          <t>(+10) p_merch_proceeds — https://web.archive.org/web/2021/https://newsroom.kelloggcompany.com/2021-05-17-Kelloggs-R-and-GLAAD-Together-With-Pride</t>
        </is>
      </c>
    </row>
    <row r="159">
      <c r="A159" s="83" t="inlineStr">
        <is>
          <t>General Mills</t>
        </is>
      </c>
      <c r="B159" s="83" t="n">
        <v>2015</v>
      </c>
      <c r="C159" s="83" t="n">
        <v>74</v>
      </c>
      <c r="D159" s="83" t="inlineStr"/>
      <c r="E159" s="83" t="inlineStr">
        <is>
          <t>Baseline</t>
        </is>
      </c>
      <c r="F159" s="83" t="inlineStr">
        <is>
          <t>2015 baseline = 74. Math: 50 +2 capped cosmetic/commercial +22 civic/financial/structural +0 negatives. Positive evidence in force: Pride Month posts and inclusive brand campaigns (Lucky Charms, Cheeri… (+2); Inclusive partner and gender-affirming benefits (CEI-verified) (+22)</t>
        </is>
      </c>
      <c r="G159" s="83" t="inlineStr">
        <is>
          <t>(+2) p_generic_post — https://web.archive.org/web/2024/https://www.generalmills.com/how-we-make-it/healthier-planet/global-impact/diversity-equity-inclusion [documented as of 2024; credited from 2015 per methodology] || (+22) p_benefits — https://reports.hrc.org/corporate-equality-index-2025 [documented as of 2024; credited from 2015 per methodology]</t>
        </is>
      </c>
    </row>
    <row r="160">
      <c r="A160" s="83" t="inlineStr">
        <is>
          <t>Colgate-Palmolive</t>
        </is>
      </c>
      <c r="B160" s="83" t="n">
        <v>2015</v>
      </c>
      <c r="C160" s="83" t="n">
        <v>74</v>
      </c>
      <c r="D160" s="83" t="inlineStr"/>
      <c r="E160" s="83" t="inlineStr">
        <is>
          <t>Baseline</t>
        </is>
      </c>
      <c r="F160" s="83" t="inlineStr">
        <is>
          <t>2015 baseline = 74. Math: 50 +2 capped cosmetic/commercial +22 civic/financial/structural +0 negatives. Positive evidence in force: Pride Month posts and engagement (+2); Inclusive partner and gender-affirming benefits (CEI-verified) (+22)</t>
        </is>
      </c>
      <c r="G160" s="83" t="inlineStr">
        <is>
          <t>(+2) p_generic_post — https://web.archive.org/web/2024/https://www.colgatepalmolive.com/en-us/who-we-are/diversity-equity-inclusion [documented as of 2024; credited from 2015 per methodology] || (+22) p_benefits — https://reports.hrc.org/corporate-equality-index-2025 [documented as of 2024; credited from 2015 per methodology]</t>
        </is>
      </c>
    </row>
    <row r="161">
      <c r="A161" s="83" t="inlineStr">
        <is>
          <t>Lockheed Martin</t>
        </is>
      </c>
      <c r="B161" s="83" t="n">
        <v>2015</v>
      </c>
      <c r="C161" s="83" t="n">
        <v>67</v>
      </c>
      <c r="D161" s="83" t="inlineStr"/>
      <c r="E161" s="83" t="inlineStr">
        <is>
          <t>Baseline</t>
        </is>
      </c>
      <c r="F161" s="83" t="inlineStr">
        <is>
          <t>2015 baseline = 67. Math: 50 +2 capped cosmetic/commercial +15 civic/financial/structural +0 negatives. Positive evidence in force: Pride Month posts and engagement (through 2024) (+2); Funded LGBTQ+ employee resource group (PRIDE) (+15)</t>
        </is>
      </c>
      <c r="G161" s="83" t="inlineStr">
        <is>
          <t>(+2) p_generic_post — https://web.archive.org/web/2024/https://www.lockheedmartin.com/en-us/who-we-are/global-diversity-inclusion.html [documented as of 2024; credited from 2015 per methodology] || (+15) p_erg_support — https://web.archive.org/web/2024/https://www.lockheedmartin.com/en-us/who-we-are/global-diversity-inclusion.html [documented as of 2024; credited from 2015 per methodology]</t>
        </is>
      </c>
    </row>
    <row r="162">
      <c r="A162" s="83" t="inlineStr">
        <is>
          <t>Lockheed Martin</t>
        </is>
      </c>
      <c r="B162" s="83" t="n">
        <v>2025</v>
      </c>
      <c r="C162" s="83" t="n">
        <v>35</v>
      </c>
      <c r="D162" s="83" t="n">
        <v>-32</v>
      </c>
      <c r="E162" s="83" t="inlineStr">
        <is>
          <t>Change</t>
        </is>
      </c>
      <c r="F162" s="83" t="inlineStr">
        <is>
          <t>Score falls from 67 to 35 (-32). Driver(s): n_dei_removal (-32): Publicly announced compliance with anti-DEI executive order; DEI webpages removed (dead links). New total: 50 +2 capped cosmetic/commercial +15 civic/financial/structural -32 negatives = 35.</t>
        </is>
      </c>
      <c r="G162" s="83" t="inlineStr">
        <is>
          <t>(-32) n_dei_removal — https://www.defensedaily.com/as-some-top-defense-companies-stay-mum-lockheed-martin-says-it-will-abide-by-trump-executive-order-on-dei/pentagon/</t>
        </is>
      </c>
    </row>
    <row r="163">
      <c r="A163" s="83" t="inlineStr">
        <is>
          <t>RTX (Raytheon)</t>
        </is>
      </c>
      <c r="B163" s="83" t="n">
        <v>2015</v>
      </c>
      <c r="C163" s="83" t="n">
        <v>67</v>
      </c>
      <c r="D163" s="83" t="inlineStr"/>
      <c r="E163" s="83" t="inlineStr">
        <is>
          <t>Baseline</t>
        </is>
      </c>
      <c r="F163" s="83" t="inlineStr">
        <is>
          <t>2015 baseline = 67. Math: 50 +2 capped cosmetic/commercial +15 civic/financial/structural +0 negatives. Positive evidence in force: Pride Month posts and engagement (through 2024) (+2); Funded LGBTQ+ employee resource group (+15)</t>
        </is>
      </c>
      <c r="G163" s="83" t="inlineStr">
        <is>
          <t>(+2) p_generic_post — https://web.archive.org/web/2024/https://www.rtx.com/who-we-are/we-are-rtx/diversity-equity-and-inclusion [documented as of 2024; credited from 2015 per methodology] || (+15) p_erg_support — https://web.archive.org/web/2024/https://www.rtx.com/who-we-are/we-are-rtx/diversity-equity-and-inclusion [documented as of 2024; credited from 2015 per methodology]</t>
        </is>
      </c>
    </row>
    <row r="164">
      <c r="A164" s="83" t="inlineStr">
        <is>
          <t>RTX (Raytheon)</t>
        </is>
      </c>
      <c r="B164" s="83" t="n">
        <v>2025</v>
      </c>
      <c r="C164" s="83" t="n">
        <v>35</v>
      </c>
      <c r="D164" s="83" t="n">
        <v>-32</v>
      </c>
      <c r="E164" s="83" t="inlineStr">
        <is>
          <t>Change</t>
        </is>
      </c>
      <c r="F164" s="83" t="inlineStr">
        <is>
          <t>Score falls from 67 to 35 (-32). Driver(s): n_dei_removal (-32): Removed DEI webpages (now dead links) without announcement in early-2025 defense retreat. New total: 50 +2 capped cosmetic/commercial +15 civic/financial/structural -32 negatives = 35.</t>
        </is>
      </c>
      <c r="G164" s="83" t="inlineStr">
        <is>
          <t>(-32) n_dei_removal — https://breakingdefense.com/2025/02/dei-doa-how-the-defense-industry-is-racing-to-bury-its-diversity-efforts/</t>
        </is>
      </c>
    </row>
    <row r="165">
      <c r="A165" s="83" t="inlineStr">
        <is>
          <t>Boeing</t>
        </is>
      </c>
      <c r="B165" s="83" t="n">
        <v>2015</v>
      </c>
      <c r="C165" s="83" t="n">
        <v>67</v>
      </c>
      <c r="D165" s="83" t="inlineStr"/>
      <c r="E165" s="83" t="inlineStr">
        <is>
          <t>Baseline</t>
        </is>
      </c>
      <c r="F165" s="83" t="inlineStr">
        <is>
          <t>2015 baseline = 67. Math: 50 +2 capped cosmetic/commercial +15 civic/financial/structural +0 negatives. Positive evidence in force: Pride Month posts and engagement (through 2024) (+2); Funded Boeing Pride employee resource group (+15)</t>
        </is>
      </c>
      <c r="G165" s="83" t="inlineStr">
        <is>
          <t>(+2) p_generic_post — https://web.archive.org/web/2024/https://www.boeing.com/principles/diversity-and-inclusion [documented as of 2024; credited from 2015 per methodology] || (+15) p_erg_support — https://web.archive.org/web/2024/https://www.boeing.com/principles/diversity-and-inclusion [documented as of 2024; credited from 2015 per methodology]</t>
        </is>
      </c>
    </row>
    <row r="166">
      <c r="A166" s="83" t="inlineStr">
        <is>
          <t>Boeing</t>
        </is>
      </c>
      <c r="B166" s="83" t="n">
        <v>2021</v>
      </c>
      <c r="C166" s="83" t="n">
        <v>37</v>
      </c>
      <c r="D166" s="83" t="n">
        <v>-30</v>
      </c>
      <c r="E166" s="83" t="inlineStr">
        <is>
          <t>Change</t>
        </is>
      </c>
      <c r="F166" s="83" t="inlineStr">
        <is>
          <t>Score falls from 67 to 37 (-30). Driver(s): n_anti_lgbtq_donations (-30): Documented $31,000 to 9 anti-LGBTQ+ bill sponsors across 4 states, 2019-2022 (Data for Progress). New total: 50 +2 capped cosmetic/commercial +15 civic/financial/structural -30 negatives = 37.</t>
        </is>
      </c>
      <c r="G166" s="83" t="inlineStr">
        <is>
          <t>(-30) n_anti_lgbtq_donations — https://www.filesforprogress.org/datasets/2022/5/AccountableAllies-Data.pdf</t>
        </is>
      </c>
    </row>
    <row r="167">
      <c r="A167" s="83" t="inlineStr">
        <is>
          <t>Boeing</t>
        </is>
      </c>
      <c r="B167" s="83" t="n">
        <v>2024</v>
      </c>
      <c r="C167" s="83" t="n">
        <v>5</v>
      </c>
      <c r="D167" s="83" t="n">
        <v>-32</v>
      </c>
      <c r="E167" s="83" t="inlineStr">
        <is>
          <t>Change</t>
        </is>
      </c>
      <c r="F167" s="83" t="inlineStr">
        <is>
          <t>Score falls from 37 to 5 (-32). Driver(s): n_dei_removal (-32): Dismantled global DEI department (Nov 2024); DEI web presence later reduced in sector-wide scrub. New total: 50 +2 capped cosmetic/commercial +15 civic/financial/structural -62 negatives = 5.</t>
        </is>
      </c>
      <c r="G167" s="83" t="inlineStr">
        <is>
          <t>(-32) n_dei_removal — https://www.techtarget.com/whatis/feature/What-companies-are-rolling-back-DEI-policies</t>
        </is>
      </c>
    </row>
    <row r="168">
      <c r="A168" s="83" t="inlineStr">
        <is>
          <t>Palantir Technologies</t>
        </is>
      </c>
      <c r="B168" s="83" t="n">
        <v>2015</v>
      </c>
      <c r="C168" s="83" t="n">
        <v>50</v>
      </c>
      <c r="D168" s="83" t="inlineStr"/>
      <c r="E168" s="83" t="inlineStr">
        <is>
          <t>Baseline</t>
        </is>
      </c>
      <c r="F168" s="83" t="inlineStr">
        <is>
          <t>2015 baseline = 50 (neutral). No documented LGBTQ+-related actions, positive or negative, attributable to this year; the company starts at the index's no-engagement baseline.</t>
        </is>
      </c>
      <c r="G168" s="83" t="inlineStr"/>
    </row>
    <row r="169">
      <c r="A169" s="83" t="inlineStr">
        <is>
          <t>Adobe</t>
        </is>
      </c>
      <c r="B169" s="83" t="n">
        <v>2015</v>
      </c>
      <c r="C169" s="83" t="n">
        <v>74</v>
      </c>
      <c r="D169" s="83" t="inlineStr"/>
      <c r="E169" s="83" t="inlineStr">
        <is>
          <t>Baseline</t>
        </is>
      </c>
      <c r="F169" s="83" t="inlineStr">
        <is>
          <t>2015 baseline = 74. Math: 50 +2 capped cosmetic/commercial +22 civic/financial/structural +0 negatives. Positive evidence in force: Annual Pride Month posts and engagement (+2); Inclusive partner and gender-affirming benefits (CEI-verified) (+22)</t>
        </is>
      </c>
      <c r="G169" s="83" t="inlineStr">
        <is>
          <t>(+2) p_generic_post — https://web.archive.org/web/2024/https://www.adobe.com/diversity.html [documented as of 2024; credited from 2015 per methodology] || (+22) p_benefits — https://reports.hrc.org/corporate-equality-index-2025 [documented as of 2024; credited from 2015 per methodology]</t>
        </is>
      </c>
    </row>
    <row r="170">
      <c r="A170" s="83" t="inlineStr">
        <is>
          <t>Intel</t>
        </is>
      </c>
      <c r="B170" s="83" t="n">
        <v>2015</v>
      </c>
      <c r="C170" s="83" t="n">
        <v>89</v>
      </c>
      <c r="D170" s="83" t="inlineStr"/>
      <c r="E170" s="83" t="inlineStr">
        <is>
          <t>Baseline</t>
        </is>
      </c>
      <c r="F170" s="83" t="inlineStr">
        <is>
          <t>2015 baseline = 89. Math: 50 +2 capped cosmetic/commercial +37 civic/financial/structural +0 negatives. Positive evidence in force: Annual Pride posts and engagement (+2); Funded IGLOBE LGBTQ+ employee resource group (+15); Inclusive partner and gender-affirming benefits (CEI-verified) (+22)</t>
        </is>
      </c>
      <c r="G170" s="83" t="inlineStr">
        <is>
          <t>(+2) p_generic_post — https://web.archive.org/web/2024/https://www.intel.com/content/www/us/en/diversity/diversity-at-intel.html [documented as of 2024; credited from 2015 per methodology] || (+15) p_erg_support — https://web.archive.org/web/2024/https://www.intel.com/content/www/us/en/diversity/diversity-at-intel.html [documented as of 2024; credited from 2015 per methodology] || (+22) p_benefits — https://reports.hrc.org/corporate-equality-index-2025 [documented as of 2024; credited from 2015 per methodology]</t>
        </is>
      </c>
    </row>
    <row r="171">
      <c r="A171" s="83" t="inlineStr">
        <is>
          <t>Intel</t>
        </is>
      </c>
      <c r="B171" s="83" t="n">
        <v>2025</v>
      </c>
      <c r="C171" s="83" t="n">
        <v>57</v>
      </c>
      <c r="D171" s="83" t="n">
        <v>-32</v>
      </c>
      <c r="E171" s="83" t="inlineStr">
        <is>
          <t>Change</t>
        </is>
      </c>
      <c r="F171" s="83" t="inlineStr">
        <is>
          <t>Score falls from 89 to 57 (-32). Driver(s): n_dei_removal (-32): Cut DEI language and removed some diversity targets from 2025 10-K. New total: 50 +2 capped cosmetic/commercial +37 civic/financial/structural -32 negatives = 57.</t>
        </is>
      </c>
      <c r="G171" s="83" t="inlineStr">
        <is>
          <t>(-32) n_dei_removal — https://techcrunch.com/2025/04/17/here-are-all-the-tech-companies-rolling-back-dei-or-still-committed-to-it-so-far/</t>
        </is>
      </c>
    </row>
    <row r="172">
      <c r="A172" s="83" t="inlineStr">
        <is>
          <t>Cisco Systems</t>
        </is>
      </c>
      <c r="B172" s="83" t="n">
        <v>2015</v>
      </c>
      <c r="C172" s="83" t="n">
        <v>74</v>
      </c>
      <c r="D172" s="83" t="inlineStr"/>
      <c r="E172" s="83" t="inlineStr">
        <is>
          <t>Baseline</t>
        </is>
      </c>
      <c r="F172" s="83" t="inlineStr">
        <is>
          <t>2015 baseline = 74. Math: 50 +2 capped cosmetic/commercial +22 civic/financial/structural +0 negatives. Positive evidence in force: Annual Pride posts and campaigns (+2); Inclusive partner and gender-affirming benefits (CEI-verified) (+22)</t>
        </is>
      </c>
      <c r="G172" s="83" t="inlineStr">
        <is>
          <t>(+2) p_generic_post — https://web.archive.org/web/2025/https://www.cisco.com/c/en/us/about/inclusive-future.html [documented as of 2025; credited from 2015 per methodology] || (+22) p_benefits — https://reports.hrc.org/corporate-equality-index-2025 [documented as of 2025; credited from 2015 per methodology]</t>
        </is>
      </c>
    </row>
    <row r="173">
      <c r="A173" s="83" t="inlineStr">
        <is>
          <t>Cisco Systems</t>
        </is>
      </c>
      <c r="B173" s="83" t="n">
        <v>2025</v>
      </c>
      <c r="C173" s="83" t="n">
        <v>92</v>
      </c>
      <c r="D173" s="83" t="n">
        <v>18</v>
      </c>
      <c r="E173" s="83" t="inlineStr">
        <is>
          <t>Change</t>
        </is>
      </c>
      <c r="F173" s="83" t="inlineStr">
        <is>
          <t>Score rises from 74 to 92 (+18). Driver(s): p_leadership_vocal (+18): CEO Chuck Robbins publicly defended DEI commitments post-EO: 'too much business value'. New total: 50 +2 capped cosmetic/commercial +40 civic/financial/structural +0 negatives = 92.</t>
        </is>
      </c>
      <c r="G173" s="83" t="inlineStr">
        <is>
          <t>(+18) p_leadership_vocal — https://fortune.com/2025/04/04/how-companies-like-delta-and-cisco-are-sticking-up-for-their-dei-policies/</t>
        </is>
      </c>
    </row>
    <row r="174">
      <c r="A174" s="83" t="inlineStr">
        <is>
          <t>NVIDIA</t>
        </is>
      </c>
      <c r="B174" s="83" t="n">
        <v>2015</v>
      </c>
      <c r="C174" s="83" t="n">
        <v>74</v>
      </c>
      <c r="D174" s="83" t="inlineStr"/>
      <c r="E174" s="83" t="inlineStr">
        <is>
          <t>Baseline</t>
        </is>
      </c>
      <c r="F174" s="83" t="inlineStr">
        <is>
          <t>2015 baseline = 74. Math: 50 +2 capped cosmetic/commercial +22 civic/financial/structural +0 negatives. Positive evidence in force: Pride posts; diversity &amp; belonging page maintained (+2); Inclusive partner and gender-affirming benefits (CEI-verified) (+22)</t>
        </is>
      </c>
      <c r="G174" s="83" t="inlineStr">
        <is>
          <t>(+2) p_generic_post — https://www.nvidia.com/en-us/about-nvidia/careers/diversity-and-inclusion/ [documented as of 2025; credited from 2015 per methodology] || (+22) p_benefits — https://reports.hrc.org/corporate-equality-index-2025 [documented as of 2024; credited from 2015 per methodology]</t>
        </is>
      </c>
    </row>
    <row r="175">
      <c r="A175" s="83" t="inlineStr">
        <is>
          <t>Qualcomm</t>
        </is>
      </c>
      <c r="B175" s="83" t="n">
        <v>2015</v>
      </c>
      <c r="C175" s="83" t="n">
        <v>67</v>
      </c>
      <c r="D175" s="83" t="inlineStr"/>
      <c r="E175" s="83" t="inlineStr">
        <is>
          <t>Baseline</t>
        </is>
      </c>
      <c r="F175" s="83" t="inlineStr">
        <is>
          <t>2015 baseline = 67. Math: 50 +2 capped cosmetic/commercial +15 civic/financial/structural +0 negatives. Positive evidence in force: Pride posts and engagement (+2); Funded eQuality LGBTQ+ employee network (+15)</t>
        </is>
      </c>
      <c r="G175" s="83" t="inlineStr">
        <is>
          <t>(+2) p_generic_post — https://web.archive.org/web/2024/https://www.qualcomm.com/company/corporate-responsibility/diversity-and-inclusion [documented as of 2024; credited from 2015 per methodology] || (+15) p_erg_support — https://web.archive.org/web/2024/https://www.qualcomm.com/company/corporate-responsibility/diversity-and-inclusion [documented as of 2024; credited from 2015 per methodology]</t>
        </is>
      </c>
    </row>
    <row r="176">
      <c r="A176" s="83" t="inlineStr">
        <is>
          <t>Texas Instruments</t>
        </is>
      </c>
      <c r="B176" s="83" t="n">
        <v>2015</v>
      </c>
      <c r="C176" s="83" t="n">
        <v>52</v>
      </c>
      <c r="D176" s="83" t="inlineStr"/>
      <c r="E176" s="83" t="inlineStr">
        <is>
          <t>Baseline</t>
        </is>
      </c>
      <c r="F176" s="83" t="inlineStr">
        <is>
          <t>2015 baseline = 52. Math: 50 +2 capped cosmetic/commercial +0 civic/financial/structural +0 negatives. Positive evidence in force: Occasional Pride posts and engagement (+2)</t>
        </is>
      </c>
      <c r="G176" s="83" t="inlineStr">
        <is>
          <t>(+2) p_generic_post — https://web.archive.org/web/2024/https://careers.ti.com/diversity-inclusion/ [documented as of 2024; credited from 2015 per methodology]</t>
        </is>
      </c>
    </row>
    <row r="177">
      <c r="A177" s="83" t="inlineStr">
        <is>
          <t>PayPal</t>
        </is>
      </c>
      <c r="B177" s="83" t="n">
        <v>2015</v>
      </c>
      <c r="C177" s="83" t="n">
        <v>67</v>
      </c>
      <c r="D177" s="83" t="inlineStr"/>
      <c r="E177" s="83" t="inlineStr">
        <is>
          <t>Baseline</t>
        </is>
      </c>
      <c r="F177" s="83" t="inlineStr">
        <is>
          <t>2015 baseline = 67. Math: 50 +2 capped cosmetic/commercial +15 civic/financial/structural +0 negatives. Positive evidence in force: Annual Pride posts and engagement (+2); Funded Pride LGBTQ+ employee resource group (+15)</t>
        </is>
      </c>
      <c r="G177" s="83" t="inlineStr">
        <is>
          <t>(+2) p_generic_post — https://web.archive.org/web/2024/https://about.pypl.com/who-we-are/diversity-inclusion-equity-and-belonging [documented as of 2024; credited from 2015 per methodology] || (+15) p_erg_support — https://web.archive.org/web/2024/https://about.pypl.com/who-we-are/diversity-inclusion-equity-and-belonging [documented as of 2024; credited from 2015 per methodology]</t>
        </is>
      </c>
    </row>
    <row r="178">
      <c r="A178" s="83" t="inlineStr">
        <is>
          <t>PayPal</t>
        </is>
      </c>
      <c r="B178" s="83" t="n">
        <v>2016</v>
      </c>
      <c r="C178" s="83" t="n">
        <v>85</v>
      </c>
      <c r="D178" s="83" t="n">
        <v>18</v>
      </c>
      <c r="E178" s="83" t="inlineStr">
        <is>
          <t>Change</t>
        </is>
      </c>
      <c r="F178" s="83" t="inlineStr">
        <is>
          <t>Score rises from 67 to 85 (+18). Driver(s): p_leadership_vocal (+18): CEO Dan Schulman canceled PayPal's 400-job Charlotte expansion over NC's anti-trans HB2 law. New total: 50 +2 capped cosmetic/commercial +33 civic/financial/structural +0 negatives = 85.</t>
        </is>
      </c>
      <c r="G178" s="83" t="inlineStr">
        <is>
          <t>(+18) p_leadership_vocal — https://en.wikipedia.org/wiki/Public_Facilities_Privacy_%26_Security_Act</t>
        </is>
      </c>
    </row>
    <row r="179">
      <c r="A179" s="83" t="inlineStr">
        <is>
          <t>Block (Square)</t>
        </is>
      </c>
      <c r="B179" s="83" t="n">
        <v>2015</v>
      </c>
      <c r="C179" s="83" t="n">
        <v>50</v>
      </c>
      <c r="D179" s="83" t="inlineStr"/>
      <c r="E179" s="83" t="inlineStr">
        <is>
          <t>Baseline</t>
        </is>
      </c>
      <c r="F179" s="83" t="inlineStr">
        <is>
          <t>2015 baseline = 50 (neutral). No documented LGBTQ+-related actions, positive or negative, attributable to this year; the company starts at the index's no-engagement baseline.</t>
        </is>
      </c>
      <c r="G179" s="83" t="inlineStr"/>
    </row>
    <row r="180">
      <c r="A180" s="83" t="inlineStr">
        <is>
          <t>Uber</t>
        </is>
      </c>
      <c r="B180" s="83" t="n">
        <v>2015</v>
      </c>
      <c r="C180" s="83" t="n">
        <v>70</v>
      </c>
      <c r="D180" s="83" t="inlineStr"/>
      <c r="E180" s="83" t="inlineStr">
        <is>
          <t>Baseline</t>
        </is>
      </c>
      <c r="F180" s="83" t="inlineStr">
        <is>
          <t>2015 baseline = 70. Math: 50 +5 capped cosmetic/commercial +15 civic/financial/structural +0 negatives. Positive evidence in force: Pride branding and in-app Pride features (through 2024) (+3); Annual Pride posts (+2); Funded Pride at Uber employee resource group (+15)</t>
        </is>
      </c>
      <c r="G180" s="83" t="inlineStr">
        <is>
          <t>(+3) p_logo_rainbow — https://web.archive.org/web/2024/https://www.uber.com/us/en/about/diversity/ [documented as of 2024; credited from 2015 per methodology] || (+2) p_generic_post — https://web.archive.org/web/2024/https://www.uber.com/us/en/about/diversity/ [documented as of 2024; credited from 2015 per methodology] || (+15) p_erg_support — https://web.archive.org/web/2024/https://www.uber.com/us/en/about/diversity/ [documented as of 2024; credited from 2015 per methodology]</t>
        </is>
      </c>
    </row>
    <row r="181">
      <c r="A181" s="83" t="inlineStr">
        <is>
          <t>Uber</t>
        </is>
      </c>
      <c r="B181" s="83" t="n">
        <v>2025</v>
      </c>
      <c r="C181" s="83" t="n">
        <v>38</v>
      </c>
      <c r="D181" s="83" t="n">
        <v>-32</v>
      </c>
      <c r="E181" s="83" t="inlineStr">
        <is>
          <t>Change</t>
        </is>
      </c>
      <c r="F181" s="83" t="inlineStr">
        <is>
          <t>Score falls from 70 to 38 (-32). Driver(s): n_dei_removal (-32): Removed DEI exec-pay incentive, diverse-board pledge, and entire 10-K diversity section. New total: 50 +5 capped cosmetic/commercial +15 civic/financial/structural -32 negatives = 38.</t>
        </is>
      </c>
      <c r="G181" s="83" t="inlineStr">
        <is>
          <t>(-32) n_dei_removal — https://techcrunch.com/2025/04/17/here-are-all-the-tech-companies-rolling-back-dei-or-still-committed-to-it-so-far/</t>
        </is>
      </c>
    </row>
    <row r="182">
      <c r="A182" s="83" t="inlineStr">
        <is>
          <t>Lyft</t>
        </is>
      </c>
      <c r="B182" s="83" t="n">
        <v>2015</v>
      </c>
      <c r="C182" s="83" t="n">
        <v>67</v>
      </c>
      <c r="D182" s="83" t="inlineStr"/>
      <c r="E182" s="83" t="inlineStr">
        <is>
          <t>Baseline</t>
        </is>
      </c>
      <c r="F182" s="83" t="inlineStr">
        <is>
          <t>2015 baseline = 67. Math: 50 +2 capped cosmetic/commercial +15 civic/financial/structural +0 negatives. Positive evidence in force: Pride posts and campaigns (+2); Funded LGBTQ+ employee resource group (+15)</t>
        </is>
      </c>
      <c r="G182" s="83" t="inlineStr">
        <is>
          <t>(+2) p_generic_post — https://web.archive.org/web/2024/https://www.lyft.com/blog [documented as of 2024; credited from 2015 per methodology] || (+15) p_erg_support — https://web.archive.org/web/2024/https://www.lyft.com/careers [documented as of 2024; credited from 2015 per methodology]</t>
        </is>
      </c>
    </row>
    <row r="183">
      <c r="A183" s="83" t="inlineStr">
        <is>
          <t>eBay</t>
        </is>
      </c>
      <c r="B183" s="83" t="n">
        <v>2015</v>
      </c>
      <c r="C183" s="83" t="n">
        <v>74</v>
      </c>
      <c r="D183" s="83" t="inlineStr"/>
      <c r="E183" s="83" t="inlineStr">
        <is>
          <t>Baseline</t>
        </is>
      </c>
      <c r="F183" s="83" t="inlineStr">
        <is>
          <t>2015 baseline = 74. Math: 50 +2 capped cosmetic/commercial +22 civic/financial/structural +0 negatives. Positive evidence in force: Annual Pride posts and engagement (+2); Inclusive partner and gender-affirming benefits (CEI-verified) (+22)</t>
        </is>
      </c>
      <c r="G183" s="83" t="inlineStr">
        <is>
          <t>(+2) p_generic_post — https://web.archive.org/web/2024/https://www.ebayinc.com/company/diversity-inclusion/ [documented as of 2024; credited from 2015 per methodology] || (+22) p_benefits — https://reports.hrc.org/corporate-equality-index-2025 [documented as of 2024; credited from 2015 per methodology]</t>
        </is>
      </c>
    </row>
    <row r="184">
      <c r="A184" s="83" t="inlineStr">
        <is>
          <t>Intuit</t>
        </is>
      </c>
      <c r="B184" s="83" t="n">
        <v>2015</v>
      </c>
      <c r="C184" s="83" t="n">
        <v>74</v>
      </c>
      <c r="D184" s="83" t="inlineStr"/>
      <c r="E184" s="83" t="inlineStr">
        <is>
          <t>Baseline</t>
        </is>
      </c>
      <c r="F184" s="83" t="inlineStr">
        <is>
          <t>2015 baseline = 74. Math: 50 +2 capped cosmetic/commercial +22 civic/financial/structural +0 negatives. Positive evidence in force: Annual Pride posts and engagement (+2); Inclusive partner and gender-affirming benefits (CEI-verified) (+22)</t>
        </is>
      </c>
      <c r="G184" s="83" t="inlineStr">
        <is>
          <t>(+2) p_generic_post — https://web.archive.org/web/2024/https://www.intuit.com/careers/diversity-equity-inclusion/ [documented as of 2024; credited from 2015 per methodology] || (+22) p_benefits — https://reports.hrc.org/corporate-equality-index-2025 [documented as of 2024; credited from 2015 per methodology]</t>
        </is>
      </c>
    </row>
    <row r="185">
      <c r="A185" s="83" t="inlineStr">
        <is>
          <t>ServiceNow</t>
        </is>
      </c>
      <c r="B185" s="83" t="n">
        <v>2015</v>
      </c>
      <c r="C185" s="83" t="n">
        <v>67</v>
      </c>
      <c r="D185" s="83" t="inlineStr"/>
      <c r="E185" s="83" t="inlineStr">
        <is>
          <t>Baseline</t>
        </is>
      </c>
      <c r="F185" s="83" t="inlineStr">
        <is>
          <t>2015 baseline = 67. Math: 50 +2 capped cosmetic/commercial +15 civic/financial/structural +0 negatives. Positive evidence in force: Pride posts and engagement (+2); Funded Pride at Now employee resource group (+15)</t>
        </is>
      </c>
      <c r="G185" s="83" t="inlineStr">
        <is>
          <t>(+2) p_generic_post — https://web.archive.org/web/2024/https://www.servicenow.com/company/diversity-inclusion-belonging.html [documented as of 2024; credited from 2015 per methodology] || (+15) p_erg_support — https://web.archive.org/web/2024/https://www.servicenow.com/company/diversity-inclusion-belonging.html [documented as of 2024; credited from 2015 per methodology]</t>
        </is>
      </c>
    </row>
    <row r="186">
      <c r="A186" s="83" t="inlineStr">
        <is>
          <t>Snap Inc.</t>
        </is>
      </c>
      <c r="B186" s="83" t="n">
        <v>2015</v>
      </c>
      <c r="C186" s="83" t="n">
        <v>53</v>
      </c>
      <c r="D186" s="83" t="inlineStr"/>
      <c r="E186" s="83" t="inlineStr">
        <is>
          <t>Baseline</t>
        </is>
      </c>
      <c r="F186" s="83" t="inlineStr">
        <is>
          <t>2015 baseline = 53. Math: 50 +3 capped cosmetic/commercial +0 civic/financial/structural +0 negatives. Positive evidence in force: Annual Pride AR lenses, filters and stickers across Snapchat (+3)</t>
        </is>
      </c>
      <c r="G186" s="83" t="inlineStr">
        <is>
          <t>(+3) p_logo_rainbow — https://web.archive.org/web/2024/https://newsroom.snap.com/ [documented as of 2024; credited from 2015 per methodology]</t>
        </is>
      </c>
    </row>
    <row r="187">
      <c r="A187" s="83" t="inlineStr">
        <is>
          <t>Pinterest</t>
        </is>
      </c>
      <c r="B187" s="83" t="n">
        <v>2015</v>
      </c>
      <c r="C187" s="83" t="n">
        <v>72</v>
      </c>
      <c r="D187" s="83" t="inlineStr"/>
      <c r="E187" s="83" t="inlineStr">
        <is>
          <t>Baseline</t>
        </is>
      </c>
      <c r="F187" s="83" t="inlineStr">
        <is>
          <t>2015 baseline = 72. Math: 50 +2 capped cosmetic/commercial +20 civic/financial/structural +0 negatives. Positive evidence in force: Pride content hubs and posts (+2); Maintained DEI commitments; flagged anti-DEI attacks as a business ri… (+20)</t>
        </is>
      </c>
      <c r="G187" s="83" t="inlineStr">
        <is>
          <t>(+2) p_generic_post — https://web.archive.org/web/2025/https://newsroom.pinterest.com/ [documented as of 2025; credited from 2015 per methodology] || (+20) p_dei_explicit — https://techcrunch.com/2025/02/07/pinterest-lists-dei-attacks-as-possible-business-risk-latest-filing/ [documented as of 2025; credited from 2015 per methodology]</t>
        </is>
      </c>
    </row>
    <row r="188">
      <c r="A188" s="83" t="inlineStr">
        <is>
          <t>Kroger</t>
        </is>
      </c>
      <c r="B188" s="83" t="n">
        <v>2015</v>
      </c>
      <c r="C188" s="83" t="n">
        <v>67</v>
      </c>
      <c r="D188" s="83" t="inlineStr"/>
      <c r="E188" s="83" t="inlineStr">
        <is>
          <t>Baseline</t>
        </is>
      </c>
      <c r="F188" s="83" t="inlineStr">
        <is>
          <t>2015 baseline = 67. Math: 50 +2 capped cosmetic/commercial +15 civic/financial/structural +0 negatives. Positive evidence in force: Pride posts and local Pride participation (+2); Funded LGBTQ+ associate resource group (+15)</t>
        </is>
      </c>
      <c r="G188" s="83" t="inlineStr">
        <is>
          <t>(+2) p_generic_post — https://web.archive.org/web/2024/https://www.thekrogerco.com/our-promise/diversity/ [documented as of 2024; credited from 2015 per methodology] || (+15) p_erg_support — https://web.archive.org/web/2024/https://www.thekrogerco.com/our-promise/diversity/ [documented as of 2024; credited from 2015 per methodology]</t>
        </is>
      </c>
    </row>
    <row r="189">
      <c r="A189" s="83" t="inlineStr">
        <is>
          <t>Albertsons</t>
        </is>
      </c>
      <c r="B189" s="83" t="n">
        <v>2015</v>
      </c>
      <c r="C189" s="83" t="n">
        <v>52</v>
      </c>
      <c r="D189" s="83" t="inlineStr"/>
      <c r="E189" s="83" t="inlineStr">
        <is>
          <t>Baseline</t>
        </is>
      </c>
      <c r="F189" s="83" t="inlineStr">
        <is>
          <t>2015 baseline = 52. Math: 50 +2 capped cosmetic/commercial +0 civic/financial/structural +0 negatives. Positive evidence in force: Occasional Pride posts and local engagement (+2)</t>
        </is>
      </c>
      <c r="G189" s="83" t="inlineStr">
        <is>
          <t>(+2) p_generic_post — https://web.archive.org/web/2024/https://www.albertsonscompanies.com/about-us/diversity-equity-inclusion.html [documented as of 2024; credited from 2015 per methodology]</t>
        </is>
      </c>
    </row>
    <row r="190">
      <c r="A190" s="83" t="inlineStr">
        <is>
          <t>TJX Companies</t>
        </is>
      </c>
      <c r="B190" s="83" t="n">
        <v>2015</v>
      </c>
      <c r="C190" s="83" t="n">
        <v>72</v>
      </c>
      <c r="D190" s="83" t="inlineStr"/>
      <c r="E190" s="83" t="inlineStr">
        <is>
          <t>Baseline</t>
        </is>
      </c>
      <c r="F190" s="83" t="inlineStr">
        <is>
          <t>2015 baseline = 72. Math: 50 +2 capped cosmetic/commercial +20 civic/financial/structural +0 negatives. Positive evidence in force: Inclusion statements and engagement (+2); Publicly reaffirmed inclusion and diversity commitments during the 20… (+20)</t>
        </is>
      </c>
      <c r="G190" s="83" t="inlineStr">
        <is>
          <t>(+2) p_generic_post — https://web.archive.org/web/2025/https://www.tjx.com/responsibility/workplace/inclusion-and-diversity [documented as of 2025; credited from 2015 per methodology] || (+20) p_dei_explicit — https://www.livenowfox.com/news/companies-roll-back-dei-policies [documented as of 2025; credited from 2015 per methodology]</t>
        </is>
      </c>
    </row>
    <row r="191">
      <c r="A191" s="83" t="inlineStr">
        <is>
          <t>Macy's</t>
        </is>
      </c>
      <c r="B191" s="83" t="n">
        <v>2015</v>
      </c>
      <c r="C191" s="83" t="n">
        <v>70</v>
      </c>
      <c r="D191" s="83" t="inlineStr"/>
      <c r="E191" s="83" t="inlineStr">
        <is>
          <t>Baseline</t>
        </is>
      </c>
      <c r="F191" s="83" t="inlineStr">
        <is>
          <t>2015 baseline = 70. Math: 50 +8 capped cosmetic/commercial +12 civic/financial/structural +0 negatives. Positive evidence in force: Annual Pride posts and campaigns (+2); Pride merchandise collections in stores and online (+6); NYC Pride participation/sponsorship history (+12)</t>
        </is>
      </c>
      <c r="G191" s="83" t="inlineStr">
        <is>
          <t>(+2) p_generic_post — https://web.archive.org/web/2024/https://www.macysinc.com/purpose/diversity-equity-inclusion [documented as of 2024; credited from 2015 per methodology] || (+6) p_merch_collection — https://web.archive.org/web/2024/https://www.macys.com/shop/featured/pride [documented as of 2024; credited from 2015 per methodology] || (+12) p_parade_sponsor — https://web.archive.org/web/2024/https://www.macysinc.com/purpose/diversity-equity-inclusion [documented as of 2024; credited from 2015 per methodology]</t>
        </is>
      </c>
    </row>
    <row r="192">
      <c r="A192" s="83" t="inlineStr">
        <is>
          <t>Nordstrom</t>
        </is>
      </c>
      <c r="B192" s="83" t="n">
        <v>2015</v>
      </c>
      <c r="C192" s="83" t="n">
        <v>58</v>
      </c>
      <c r="D192" s="83" t="inlineStr"/>
      <c r="E192" s="83" t="inlineStr">
        <is>
          <t>Baseline</t>
        </is>
      </c>
      <c r="F192" s="83" t="inlineStr">
        <is>
          <t>2015 baseline = 58. Math: 50 +8 capped cosmetic/commercial +0 civic/financial/structural +0 negatives. Positive evidence in force: Annual Pride posts (+2); Annual Pride merchandise assortment (+6)</t>
        </is>
      </c>
      <c r="G192" s="83" t="inlineStr">
        <is>
          <t>(+2) p_generic_post — https://web.archive.org/web/2024/https://www.nordstrom.com/ [documented as of 2024; credited from 2015 per methodology] || (+6) p_merch_collection — https://web.archive.org/web/2024/https://www.nordstrom.com/browse/pride [documented as of 2024; credited from 2015 per methodology]</t>
        </is>
      </c>
    </row>
    <row r="193">
      <c r="A193" s="83" t="inlineStr">
        <is>
          <t>Kohl's</t>
        </is>
      </c>
      <c r="B193" s="83" t="n">
        <v>2015</v>
      </c>
      <c r="C193" s="83" t="n">
        <v>52</v>
      </c>
      <c r="D193" s="83" t="inlineStr"/>
      <c r="E193" s="83" t="inlineStr">
        <is>
          <t>Baseline</t>
        </is>
      </c>
      <c r="F193" s="83" t="inlineStr">
        <is>
          <t>2015 baseline = 52. Math: 50 +2 capped cosmetic/commercial +0 civic/financial/structural +0 negatives. Positive evidence in force: Annual Pride posts (+2)</t>
        </is>
      </c>
      <c r="G193" s="83" t="inlineStr">
        <is>
          <t>(+2) p_generic_post — https://web.archive.org/web/2024/https://corporate.kohls.com/company/diversity-equity-inclusion [documented as of 2024; credited from 2015 per methodology]</t>
        </is>
      </c>
    </row>
    <row r="194">
      <c r="A194" s="83" t="inlineStr">
        <is>
          <t>Kohl's</t>
        </is>
      </c>
      <c r="B194" s="83" t="n">
        <v>2018</v>
      </c>
      <c r="C194" s="83" t="n">
        <v>58</v>
      </c>
      <c r="D194" s="83" t="n">
        <v>6</v>
      </c>
      <c r="E194" s="83" t="inlineStr">
        <is>
          <t>Change</t>
        </is>
      </c>
      <c r="F194" s="83" t="inlineStr">
        <is>
          <t>Score rises from 52 to 58 (+6). Driver(s): p_merch_collection (+6): Pride merchandise incl. family items, maintained through the 2023 boycott attempt. New total: 50 +8 capped cosmetic/commercial +0 civic/financial/structural +0 negatives = 58.</t>
        </is>
      </c>
      <c r="G194" s="83" t="inlineStr">
        <is>
          <t>(+6) p_merch_collection — https://en.wikipedia.org/wiki/Kohl%27s</t>
        </is>
      </c>
    </row>
    <row r="195">
      <c r="A195" s="83" t="inlineStr">
        <is>
          <t>Dollar General</t>
        </is>
      </c>
      <c r="B195" s="83" t="n">
        <v>2015</v>
      </c>
      <c r="C195" s="83" t="n">
        <v>50</v>
      </c>
      <c r="D195" s="83" t="inlineStr"/>
      <c r="E195" s="83" t="inlineStr">
        <is>
          <t>Baseline</t>
        </is>
      </c>
      <c r="F195" s="83" t="inlineStr">
        <is>
          <t>2015 baseline = 50 (neutral). No documented LGBTQ+-related actions, positive or negative, attributable to this year; the company starts at the index's no-engagement baseline.</t>
        </is>
      </c>
      <c r="G195" s="83" t="inlineStr"/>
    </row>
    <row r="196">
      <c r="A196" s="83" t="inlineStr">
        <is>
          <t>Dollar Tree</t>
        </is>
      </c>
      <c r="B196" s="83" t="n">
        <v>2015</v>
      </c>
      <c r="C196" s="83" t="n">
        <v>50</v>
      </c>
      <c r="D196" s="83" t="inlineStr"/>
      <c r="E196" s="83" t="inlineStr">
        <is>
          <t>Baseline</t>
        </is>
      </c>
      <c r="F196" s="83" t="inlineStr">
        <is>
          <t>2015 baseline = 50 (neutral). No documented LGBTQ+-related actions, positive or negative, attributable to this year; the company starts at the index's no-engagement baseline.</t>
        </is>
      </c>
      <c r="G196" s="83" t="inlineStr"/>
    </row>
    <row r="197">
      <c r="A197" s="83" t="inlineStr">
        <is>
          <t>Yum! Brands</t>
        </is>
      </c>
      <c r="B197" s="83" t="n">
        <v>2015</v>
      </c>
      <c r="C197" s="83" t="n">
        <v>52</v>
      </c>
      <c r="D197" s="83" t="inlineStr"/>
      <c r="E197" s="83" t="inlineStr">
        <is>
          <t>Baseline</t>
        </is>
      </c>
      <c r="F197" s="83" t="inlineStr">
        <is>
          <t>2015 baseline = 52. Math: 50 +2 capped cosmetic/commercial +0 civic/financial/structural +0 negatives. Positive evidence in force: Pride posts across brands (+2)</t>
        </is>
      </c>
      <c r="G197" s="83" t="inlineStr">
        <is>
          <t>(+2) p_generic_post — https://web.archive.org/web/2024/https://www.yum.com/wps/portal/yumbrands/Yumbrands/company/diversity-equity-inclusion [documented as of 2024; credited from 2015 per methodology]</t>
        </is>
      </c>
    </row>
    <row r="198">
      <c r="A198" s="83" t="inlineStr">
        <is>
          <t>Yum! Brands</t>
        </is>
      </c>
      <c r="B198" s="83" t="n">
        <v>2022</v>
      </c>
      <c r="C198" s="83" t="n">
        <v>60</v>
      </c>
      <c r="D198" s="83" t="n">
        <v>8</v>
      </c>
      <c r="E198" s="83" t="inlineStr">
        <is>
          <t>Change</t>
        </is>
      </c>
      <c r="F198" s="83" t="inlineStr">
        <is>
          <t>Score rises from 52 to 60 (+8). Driver(s): p_collab (+8): Taco Bell Drag Brunch tour with drag performers at locations nationwide. New total: 50 +10 capped cosmetic/commercial +0 civic/financial/structural +0 negatives = 60.</t>
        </is>
      </c>
      <c r="G198" s="83" t="inlineStr">
        <is>
          <t>(+8) p_collab — https://web.archive.org/web/2022/https://www.tacobell.com/dragbrunch</t>
        </is>
      </c>
    </row>
    <row r="199">
      <c r="A199" s="83" t="inlineStr">
        <is>
          <t>Domino's Pizza</t>
        </is>
      </c>
      <c r="B199" s="83" t="n">
        <v>2015</v>
      </c>
      <c r="C199" s="83" t="n">
        <v>50</v>
      </c>
      <c r="D199" s="83" t="inlineStr"/>
      <c r="E199" s="83" t="inlineStr">
        <is>
          <t>Baseline</t>
        </is>
      </c>
      <c r="F199" s="83" t="inlineStr">
        <is>
          <t>2015 baseline = 50 (neutral). No documented LGBTQ+-related actions, positive or negative, attributable to this year; the company starts at the index's no-engagement baseline.</t>
        </is>
      </c>
      <c r="G199" s="83" t="inlineStr"/>
    </row>
    <row r="200">
      <c r="A200" s="83" t="inlineStr">
        <is>
          <t>Chipotle</t>
        </is>
      </c>
      <c r="B200" s="83" t="n">
        <v>2015</v>
      </c>
      <c r="C200" s="83" t="n">
        <v>52</v>
      </c>
      <c r="D200" s="83" t="inlineStr"/>
      <c r="E200" s="83" t="inlineStr">
        <is>
          <t>Baseline</t>
        </is>
      </c>
      <c r="F200" s="83" t="inlineStr">
        <is>
          <t>2015 baseline = 52. Math: 50 +2 capped cosmetic/commercial +0 civic/financial/structural +0 negatives. Positive evidence in force: Occasional Pride posts and engagement (+2)</t>
        </is>
      </c>
      <c r="G200" s="83" t="inlineStr">
        <is>
          <t>(+2) p_generic_post — https://web.archive.org/web/2024/https://www.chipotle.com/ [documented as of 2024; credited from 2015 per methodology]</t>
        </is>
      </c>
    </row>
    <row r="201">
      <c r="A201" s="83" t="inlineStr">
        <is>
          <t>Darden Restaurants</t>
        </is>
      </c>
      <c r="B201" s="83" t="n">
        <v>2015</v>
      </c>
      <c r="C201" s="83" t="n">
        <v>52</v>
      </c>
      <c r="D201" s="83" t="inlineStr"/>
      <c r="E201" s="83" t="inlineStr">
        <is>
          <t>Baseline</t>
        </is>
      </c>
      <c r="F201" s="83" t="inlineStr">
        <is>
          <t>2015 baseline = 52. Math: 50 +2 capped cosmetic/commercial +0 civic/financial/structural +0 negatives. Positive evidence in force: Occasional inclusion posts (+2)</t>
        </is>
      </c>
      <c r="G201" s="83" t="inlineStr">
        <is>
          <t>(+2) p_generic_post — https://web.archive.org/web/2024/https://www.darden.com/our-people/diversity-equity-inclusion [documented as of 2024; credited from 2015 per methodology]</t>
        </is>
      </c>
    </row>
    <row r="202">
      <c r="A202" s="83" t="inlineStr">
        <is>
          <t>Molson Coors</t>
        </is>
      </c>
      <c r="B202" s="83" t="n">
        <v>2015</v>
      </c>
      <c r="C202" s="83" t="n">
        <v>88</v>
      </c>
      <c r="D202" s="83" t="inlineStr"/>
      <c r="E202" s="83" t="inlineStr">
        <is>
          <t>Baseline</t>
        </is>
      </c>
      <c r="F202" s="83" t="inlineStr">
        <is>
          <t>2015 baseline = 88. Math: 50 +11 capped cosmetic/commercial +27 civic/financial/structural +0 negatives. Positive evidence in force: Pride branding and packaging (through 2024) (+3); Annual Pride posts (through 2024) (+2); Pride-themed packaging/merchandise (Coors Light LGBTQ+ marketing lega… (+6); Pride event sponsorships in multiple markets (ended in rollback) (+12); Funded LGBTQ+ employee resource group (+15)</t>
        </is>
      </c>
      <c r="G202" s="83" t="inlineStr">
        <is>
          <t>(+3) p_logo_rainbow — https://web.archive.org/web/2024/https://www.molsoncoors.com/sustainability/diversity-equity-inclusion [documented as of 2024; credited from 2015 per methodology] || (+2) p_generic_post — https://web.archive.org/web/2024/https://www.molsoncoors.com/sustainability/diversity-equity-inclusion [documented as of 2024; credited from 2015 per methodology] || (+6) p_merch_collection — https://web.archive.org/web/2023/https://www.molsoncoors.com/ [documented as of 2023; credited from 2015 per methodology] || (+12) p_parade_sponsor — https://www.hrc.org/press-releases/hrc-foundation-announces-record-participation-in-upcoming-2025-corporate-equality-index-docks-scores-of-seven-companies-in-current-ranking-following-their-pullback-from-workplace-inclusion [documented as of 2024; credited from 2015 per methodology] || (+15) p_erg_support — https://web.archive.org/web/2024/https://www.molsoncoors.com/sustainability/diversity-equity-inclusion [documented as of 2024; credited from 2015 per methodology]</t>
        </is>
      </c>
    </row>
    <row r="203">
      <c r="A203" s="83" t="inlineStr">
        <is>
          <t>Molson Coors</t>
        </is>
      </c>
      <c r="B203" s="83" t="n">
        <v>2024</v>
      </c>
      <c r="C203" s="83" t="n">
        <v>34</v>
      </c>
      <c r="D203" s="83" t="n">
        <v>-54</v>
      </c>
      <c r="E203" s="83" t="inlineStr">
        <is>
          <t>Change</t>
        </is>
      </c>
      <c r="F203" s="83" t="inlineStr">
        <is>
          <t>Score falls from 88 to 34 (-54). Driver(s): n_dei_removal (-32): Ended DEI training, supplier diversity goals and CEI participation; HRC docked score -25 | n_pride_retreat (-22): Publicly retreated from inclusion commitments and Pride sponsorship posture under activist pressure. New total: 50 +11 capped cosmetic/commercial +27 civic/financial/structural -54 negatives = 34.</t>
        </is>
      </c>
      <c r="G203" s="83" t="inlineStr">
        <is>
          <t>(-32) n_dei_removal — https://www.hrc.org/press-releases/hrc-foundation-announces-record-participation-in-upcoming-2025-corporate-equality-index-docks-scores-of-seven-companies-in-current-ranking-following-their-pullback-from-workplace-inclusion || (-22) n_pride_retreat — https://www.hrc.org/press-releases/hrc-foundation-announces-record-participation-in-upcoming-2025-corporate-equality-index-docks-scores-of-seven-companies-in-current-ranking-following-their-pullback-from-workplace-inclusion</t>
        </is>
      </c>
    </row>
    <row r="204">
      <c r="A204" s="83" t="inlineStr">
        <is>
          <t>Constellation Brands</t>
        </is>
      </c>
      <c r="B204" s="83" t="n">
        <v>2015</v>
      </c>
      <c r="C204" s="83" t="n">
        <v>52</v>
      </c>
      <c r="D204" s="83" t="inlineStr"/>
      <c r="E204" s="83" t="inlineStr">
        <is>
          <t>Baseline</t>
        </is>
      </c>
      <c r="F204" s="83" t="inlineStr">
        <is>
          <t>2015 baseline = 52. Math: 50 +2 capped cosmetic/commercial +0 civic/financial/structural +0 negatives. Positive evidence in force: Occasional Pride posts via brands (+2)</t>
        </is>
      </c>
      <c r="G204" s="83" t="inlineStr">
        <is>
          <t>(+2) p_generic_post — https://web.archive.org/web/2024/https://www.cbrands.com/ [documented as of 2024; credited from 2015 per methodology]</t>
        </is>
      </c>
    </row>
    <row r="205">
      <c r="A205" s="83" t="inlineStr">
        <is>
          <t>Mondelez International</t>
        </is>
      </c>
      <c r="B205" s="83" t="n">
        <v>2015</v>
      </c>
      <c r="C205" s="83" t="n">
        <v>52</v>
      </c>
      <c r="D205" s="83" t="inlineStr"/>
      <c r="E205" s="83" t="inlineStr">
        <is>
          <t>Baseline</t>
        </is>
      </c>
      <c r="F205" s="83" t="inlineStr">
        <is>
          <t>2015 baseline = 52. Math: 50 +2 capped cosmetic/commercial +0 civic/financial/structural +0 negatives. Positive evidence in force: Pride posts across brands (+2)</t>
        </is>
      </c>
      <c r="G205" s="83" t="inlineStr">
        <is>
          <t>(+2) p_generic_post — https://web.archive.org/web/2024/https://www.mondelezinternational.com/ [documented as of 2024; credited from 2015 per methodology]</t>
        </is>
      </c>
    </row>
    <row r="206">
      <c r="A206" s="83" t="inlineStr">
        <is>
          <t>Mondelez International</t>
        </is>
      </c>
      <c r="B206" s="83" t="n">
        <v>2020</v>
      </c>
      <c r="C206" s="83" t="n">
        <v>58</v>
      </c>
      <c r="D206" s="83" t="n">
        <v>6</v>
      </c>
      <c r="E206" s="83" t="inlineStr">
        <is>
          <t>Change</t>
        </is>
      </c>
      <c r="F206" s="83" t="inlineStr">
        <is>
          <t>Score rises from 52 to 58 (+6). Driver(s): p_merch_collection (+6): Pride/allyship-themed OREO packs and giveaways. New total: 50 +8 capped cosmetic/commercial +0 civic/financial/structural +0 negatives = 58.</t>
        </is>
      </c>
      <c r="G206" s="83" t="inlineStr">
        <is>
          <t>(+6) p_merch_collection — https://web.archive.org/web/2021/https://www.oreo.com/proudparent</t>
        </is>
      </c>
    </row>
    <row r="207">
      <c r="A207" s="83" t="inlineStr">
        <is>
          <t>Mondelez International</t>
        </is>
      </c>
      <c r="B207" s="83" t="n">
        <v>2021</v>
      </c>
      <c r="C207" s="83" t="n">
        <v>66</v>
      </c>
      <c r="D207" s="83" t="n">
        <v>8</v>
      </c>
      <c r="E207" s="83" t="inlineStr">
        <is>
          <t>Change</t>
        </is>
      </c>
      <c r="F207" s="83" t="inlineStr">
        <is>
          <t>Score rises from 58 to 66 (+8). Driver(s): p_collab (+8): OREO 'Proud Parent' campaign with PFLAG and rainbow OREO activations. New total: 50 +16 capped cosmetic/commercial +0 civic/financial/structural +0 negatives = 66.</t>
        </is>
      </c>
      <c r="G207" s="83" t="inlineStr">
        <is>
          <t>(+8) p_collab — https://web.archive.org/web/2021/https://www.oreo.com/proudparent</t>
        </is>
      </c>
    </row>
    <row r="208">
      <c r="A208" s="83" t="inlineStr">
        <is>
          <t>Kraft Heinz</t>
        </is>
      </c>
      <c r="B208" s="83" t="n">
        <v>2015</v>
      </c>
      <c r="C208" s="83" t="n">
        <v>52</v>
      </c>
      <c r="D208" s="83" t="inlineStr"/>
      <c r="E208" s="83" t="inlineStr">
        <is>
          <t>Baseline</t>
        </is>
      </c>
      <c r="F208" s="83" t="inlineStr">
        <is>
          <t>2015 baseline = 52. Math: 50 +2 capped cosmetic/commercial +0 civic/financial/structural +0 negatives. Positive evidence in force: Occasional brand Pride posts (+2)</t>
        </is>
      </c>
      <c r="G208" s="83" t="inlineStr">
        <is>
          <t>(+2) p_generic_post — https://web.archive.org/web/2024/https://www.kraftheinzcompany.com/esg/diversity-equity-inclusion [documented as of 2024; credited from 2015 per methodology]</t>
        </is>
      </c>
    </row>
    <row r="209">
      <c r="A209" s="83" t="inlineStr">
        <is>
          <t>Hershey</t>
        </is>
      </c>
      <c r="B209" s="83" t="n">
        <v>2015</v>
      </c>
      <c r="C209" s="83" t="n">
        <v>52</v>
      </c>
      <c r="D209" s="83" t="inlineStr"/>
      <c r="E209" s="83" t="inlineStr">
        <is>
          <t>Baseline</t>
        </is>
      </c>
      <c r="F209" s="83" t="inlineStr">
        <is>
          <t>2015 baseline = 52. Math: 50 +2 capped cosmetic/commercial +0 civic/financial/structural +0 negatives. Positive evidence in force: Pride posts and engagement (+2)</t>
        </is>
      </c>
      <c r="G209" s="83" t="inlineStr">
        <is>
          <t>(+2) p_generic_post — https://web.archive.org/web/2024/https://www.thehersheycompany.com/en_us/home/our-story/diversity-equity-inclusion.html [documented as of 2024; credited from 2015 per methodology]</t>
        </is>
      </c>
    </row>
    <row r="210">
      <c r="A210" s="83" t="inlineStr">
        <is>
          <t>Hershey</t>
        </is>
      </c>
      <c r="B210" s="83" t="n">
        <v>2023</v>
      </c>
      <c r="C210" s="83" t="n">
        <v>60</v>
      </c>
      <c r="D210" s="83" t="n">
        <v>8</v>
      </c>
      <c r="E210" s="83" t="inlineStr">
        <is>
          <t>Change</t>
        </is>
      </c>
      <c r="F210" s="83" t="inlineStr">
        <is>
          <t>Score rises from 52 to 60 (+8). Driver(s): p_collab (+8): Campaign featuring trans activist Fae Johnstone (Hershey's Canada IWD 2023), maintained through boycott pressure. New total: 50 +10 capped cosmetic/commercial +0 civic/financial/structural +0 negatives = 60.</t>
        </is>
      </c>
      <c r="G210" s="83" t="inlineStr">
        <is>
          <t>(+8) p_collab — https://en.wikipedia.org/wiki/Fae_Johnstone</t>
        </is>
      </c>
    </row>
    <row r="211">
      <c r="A211" s="83" t="inlineStr">
        <is>
          <t>Morgan Stanley</t>
        </is>
      </c>
      <c r="B211" s="83" t="n">
        <v>2015</v>
      </c>
      <c r="C211" s="83" t="n">
        <v>67</v>
      </c>
      <c r="D211" s="83" t="inlineStr"/>
      <c r="E211" s="83" t="inlineStr">
        <is>
          <t>Baseline</t>
        </is>
      </c>
      <c r="F211" s="83" t="inlineStr">
        <is>
          <t>2015 baseline = 67. Math: 50 +2 capped cosmetic/commercial +15 civic/financial/structural +0 negatives. Positive evidence in force: Annual Pride posts and engagement (+2); Funded Pride &amp; Allies employee network (+15)</t>
        </is>
      </c>
      <c r="G211" s="83" t="inlineStr">
        <is>
          <t>(+2) p_generic_post — https://web.archive.org/web/2024/https://www.morganstanley.com/about-us/diversity [documented as of 2024; credited from 2015 per methodology] || (+15) p_erg_support — https://web.archive.org/web/2024/https://www.morganstanley.com/about-us/diversity [documented as of 2024; credited from 2015 per methodology]</t>
        </is>
      </c>
    </row>
    <row r="212">
      <c r="A212" s="83" t="inlineStr">
        <is>
          <t>BlackRock</t>
        </is>
      </c>
      <c r="B212" s="83" t="n">
        <v>2015</v>
      </c>
      <c r="C212" s="83" t="n">
        <v>67</v>
      </c>
      <c r="D212" s="83" t="inlineStr"/>
      <c r="E212" s="83" t="inlineStr">
        <is>
          <t>Baseline</t>
        </is>
      </c>
      <c r="F212" s="83" t="inlineStr">
        <is>
          <t>2015 baseline = 67. Math: 50 +2 capped cosmetic/commercial +15 civic/financial/structural +0 negatives. Positive evidence in force: Annual Pride posts and engagement (+2); Funded LGBTQ+ employee network (+15)</t>
        </is>
      </c>
      <c r="G212" s="83" t="inlineStr">
        <is>
          <t>(+2) p_generic_post — https://web.archive.org/web/2024/https://careers.blackrock.com/life-at-blackrock/inclusion-and-diversity/ [documented as of 2024; credited from 2015 per methodology] || (+15) p_erg_support — https://web.archive.org/web/2024/https://careers.blackrock.com/life-at-blackrock/inclusion-and-diversity/ [documented as of 2024; credited from 2015 per methodology]</t>
        </is>
      </c>
    </row>
    <row r="213">
      <c r="A213" s="83" t="inlineStr">
        <is>
          <t>BlackRock</t>
        </is>
      </c>
      <c r="B213" s="83" t="n">
        <v>2025</v>
      </c>
      <c r="C213" s="83" t="n">
        <v>35</v>
      </c>
      <c r="D213" s="83" t="n">
        <v>-32</v>
      </c>
      <c r="E213" s="83" t="inlineStr">
        <is>
          <t>Change</t>
        </is>
      </c>
      <c r="F213" s="83" t="inlineStr">
        <is>
          <t>Score falls from 67 to 35 (-32). Driver(s): n_dei_removal (-32): Dropped workforce diversity targets and DEI language from filings/stewardship materials. New total: 50 +2 capped cosmetic/commercial +15 civic/financial/structural -32 negatives = 35.</t>
        </is>
      </c>
      <c r="G213" s="83" t="inlineStr">
        <is>
          <t>(-32) n_dei_removal — https://www.techtarget.com/whatis/feature/What-companies-are-rolling-back-DEI-policies</t>
        </is>
      </c>
    </row>
    <row r="214">
      <c r="A214" s="83" t="inlineStr">
        <is>
          <t>U.S. Bancorp</t>
        </is>
      </c>
      <c r="B214" s="83" t="n">
        <v>2015</v>
      </c>
      <c r="C214" s="83" t="n">
        <v>67</v>
      </c>
      <c r="D214" s="83" t="inlineStr"/>
      <c r="E214" s="83" t="inlineStr">
        <is>
          <t>Baseline</t>
        </is>
      </c>
      <c r="F214" s="83" t="inlineStr">
        <is>
          <t>2015 baseline = 67. Math: 50 +2 capped cosmetic/commercial +15 civic/financial/structural +0 negatives. Positive evidence in force: Pride posts and local sponsorship history (+2); Funded LGBTQ+ business resource group (+15)</t>
        </is>
      </c>
      <c r="G214" s="83" t="inlineStr">
        <is>
          <t>(+2) p_generic_post — https://web.archive.org/web/2024/https://www.usbank.com/about-us-bank/diversity-equity-inclusion.html [documented as of 2024; credited from 2015 per methodology] || (+15) p_erg_support — https://web.archive.org/web/2024/https://www.usbank.com/about-us-bank/diversity-equity-inclusion.html [documented as of 2024; credited from 2015 per methodology]</t>
        </is>
      </c>
    </row>
    <row r="215">
      <c r="A215" s="83" t="inlineStr">
        <is>
          <t>PNC Financial Services</t>
        </is>
      </c>
      <c r="B215" s="83" t="n">
        <v>2015</v>
      </c>
      <c r="C215" s="83" t="n">
        <v>52</v>
      </c>
      <c r="D215" s="83" t="inlineStr"/>
      <c r="E215" s="83" t="inlineStr">
        <is>
          <t>Baseline</t>
        </is>
      </c>
      <c r="F215" s="83" t="inlineStr">
        <is>
          <t>2015 baseline = 52. Math: 50 +2 capped cosmetic/commercial +0 civic/financial/structural +0 negatives. Positive evidence in force: Occasional Pride posts (+2)</t>
        </is>
      </c>
      <c r="G215" s="83" t="inlineStr">
        <is>
          <t>(+2) p_generic_post — https://web.archive.org/web/2024/https://www.pnc.com/en/about-pnc/company-profile/diversity-and-inclusion.html [documented as of 2024; credited from 2015 per methodology]</t>
        </is>
      </c>
    </row>
    <row r="216">
      <c r="A216" s="83" t="inlineStr">
        <is>
          <t>Capital One</t>
        </is>
      </c>
      <c r="B216" s="83" t="n">
        <v>2015</v>
      </c>
      <c r="C216" s="83" t="n">
        <v>67</v>
      </c>
      <c r="D216" s="83" t="inlineStr"/>
      <c r="E216" s="83" t="inlineStr">
        <is>
          <t>Baseline</t>
        </is>
      </c>
      <c r="F216" s="83" t="inlineStr">
        <is>
          <t>2015 baseline = 67. Math: 50 +2 capped cosmetic/commercial +15 civic/financial/structural +0 negatives. Positive evidence in force: Pride posts and engagement (+2); Funded Out Front LGBTQ+ employee resource group (+15)</t>
        </is>
      </c>
      <c r="G216" s="83" t="inlineStr">
        <is>
          <t>(+2) p_generic_post — https://web.archive.org/web/2024/https://www.capitalonecareers.com/diversity-inclusion-belonging [documented as of 2024; credited from 2015 per methodology] || (+15) p_erg_support — https://web.archive.org/web/2024/https://www.capitalonecareers.com/diversity-inclusion-belonging [documented as of 2024; credited from 2015 per methodology]</t>
        </is>
      </c>
    </row>
    <row r="217">
      <c r="A217" s="83" t="inlineStr">
        <is>
          <t>Discover Financial Services</t>
        </is>
      </c>
      <c r="B217" s="83" t="n">
        <v>2015</v>
      </c>
      <c r="C217" s="83" t="n">
        <v>52</v>
      </c>
      <c r="D217" s="83" t="inlineStr"/>
      <c r="E217" s="83" t="inlineStr">
        <is>
          <t>Baseline</t>
        </is>
      </c>
      <c r="F217" s="83" t="inlineStr">
        <is>
          <t>2015 baseline = 52. Math: 50 +2 capped cosmetic/commercial +0 civic/financial/structural +0 negatives. Positive evidence in force: Occasional Pride posts (+2)</t>
        </is>
      </c>
      <c r="G217" s="83" t="inlineStr">
        <is>
          <t>(+2) p_generic_post — https://web.archive.org/web/2024/https://www.discover.com/company/diversity/ [documented as of 2024; credited from 2015 per methodology]</t>
        </is>
      </c>
    </row>
    <row r="218">
      <c r="A218" s="83" t="inlineStr">
        <is>
          <t>Progressive Corporation</t>
        </is>
      </c>
      <c r="B218" s="83" t="n">
        <v>2015</v>
      </c>
      <c r="C218" s="83" t="n">
        <v>67</v>
      </c>
      <c r="D218" s="83" t="inlineStr"/>
      <c r="E218" s="83" t="inlineStr">
        <is>
          <t>Baseline</t>
        </is>
      </c>
      <c r="F218" s="83" t="inlineStr">
        <is>
          <t>2015 baseline = 67. Math: 50 +2 capped cosmetic/commercial +15 civic/financial/structural +0 negatives. Positive evidence in force: Pride posts and campaigns (+2); Funded LGBTQ+ employee resource group (Pride Network) (+15)</t>
        </is>
      </c>
      <c r="G218" s="83" t="inlineStr">
        <is>
          <t>(+2) p_generic_post — https://web.archive.org/web/2024/https://www.progressive.com/about/diversity-and-inclusion/ [documented as of 2024; credited from 2015 per methodology] || (+15) p_erg_support — https://web.archive.org/web/2024/https://www.progressive.com/about/diversity-and-inclusion/ [documented as of 2024; credited from 2015 per methodology]</t>
        </is>
      </c>
    </row>
    <row r="219">
      <c r="A219" s="83" t="inlineStr">
        <is>
          <t>Progressive Corporation</t>
        </is>
      </c>
      <c r="B219" s="83" t="n">
        <v>2024</v>
      </c>
      <c r="C219" s="83" t="n">
        <v>75</v>
      </c>
      <c r="D219" s="83" t="n">
        <v>8</v>
      </c>
      <c r="E219" s="83" t="inlineStr">
        <is>
          <t>Change</t>
        </is>
      </c>
      <c r="F219" s="83" t="inlineStr">
        <is>
          <t>Score rises from 67 to 75 (+8). Driver(s): p_collab (+8): Mainstream ad campaigns featuring LGBTQ+ couples/families, sustained through boycott calls. New total: 50 +10 capped cosmetic/commercial +15 civic/financial/structural +0 negatives = 75.</t>
        </is>
      </c>
      <c r="G219" s="83" t="inlineStr">
        <is>
          <t>(+8) p_collab — https://web.archive.org/web/2024/https://www.progressive.com/about/diversity-and-inclusion/</t>
        </is>
      </c>
    </row>
    <row r="220">
      <c r="A220" s="83" t="inlineStr">
        <is>
          <t>Allstate</t>
        </is>
      </c>
      <c r="B220" s="83" t="n">
        <v>2015</v>
      </c>
      <c r="C220" s="83" t="n">
        <v>52</v>
      </c>
      <c r="D220" s="83" t="inlineStr"/>
      <c r="E220" s="83" t="inlineStr">
        <is>
          <t>Baseline</t>
        </is>
      </c>
      <c r="F220" s="83" t="inlineStr">
        <is>
          <t>2015 baseline = 52. Math: 50 +2 capped cosmetic/commercial +0 civic/financial/structural +0 negatives. Positive evidence in force: Occasional Pride posts (+2)</t>
        </is>
      </c>
      <c r="G220" s="83" t="inlineStr">
        <is>
          <t>(+2) p_generic_post — https://web.archive.org/web/2024/https://www.allstate.com/about/diversity-equity-inclusion [documented as of 2024; credited from 2015 per methodology]</t>
        </is>
      </c>
    </row>
    <row r="221">
      <c r="A221" s="83" t="inlineStr">
        <is>
          <t>MetLife</t>
        </is>
      </c>
      <c r="B221" s="83" t="n">
        <v>2015</v>
      </c>
      <c r="C221" s="83" t="n">
        <v>74</v>
      </c>
      <c r="D221" s="83" t="inlineStr"/>
      <c r="E221" s="83" t="inlineStr">
        <is>
          <t>Baseline</t>
        </is>
      </c>
      <c r="F221" s="83" t="inlineStr">
        <is>
          <t>2015 baseline = 74. Math: 50 +2 capped cosmetic/commercial +22 civic/financial/structural +0 negatives. Positive evidence in force: Annual Pride posts (+2); Inclusive partner and gender-affirming benefits (CEI-verified) (+22)</t>
        </is>
      </c>
      <c r="G221" s="83" t="inlineStr">
        <is>
          <t>(+2) p_generic_post — https://web.archive.org/web/2024/https://www.metlife.com/about-us/corporate-responsibility/diversity-equity-inclusion/ [documented as of 2024; credited from 2015 per methodology] || (+22) p_benefits — https://reports.hrc.org/corporate-equality-index-2025 [documented as of 2024; credited from 2015 per methodology]</t>
        </is>
      </c>
    </row>
    <row r="222">
      <c r="A222" s="83" t="inlineStr">
        <is>
          <t>Prudential Financial</t>
        </is>
      </c>
      <c r="B222" s="83" t="n">
        <v>2015</v>
      </c>
      <c r="C222" s="83" t="n">
        <v>74</v>
      </c>
      <c r="D222" s="83" t="inlineStr"/>
      <c r="E222" s="83" t="inlineStr">
        <is>
          <t>Baseline</t>
        </is>
      </c>
      <c r="F222" s="83" t="inlineStr">
        <is>
          <t>2015 baseline = 74. Math: 50 +2 capped cosmetic/commercial +22 civic/financial/structural +0 negatives. Positive evidence in force: Pride posts and engagement (+2); Inclusive partner and gender-affirming benefits (CEI-verified) (+22)</t>
        </is>
      </c>
      <c r="G222" s="83" t="inlineStr">
        <is>
          <t>(+2) p_generic_post — https://web.archive.org/web/2024/https://www.prudential.com/links/about/diversity-equity-inclusion [documented as of 2024; credited from 2015 per methodology] || (+22) p_benefits — https://reports.hrc.org/corporate-equality-index-2025 [documented as of 2024; credited from 2015 per methodology]</t>
        </is>
      </c>
    </row>
    <row r="223">
      <c r="A223" s="83" t="inlineStr">
        <is>
          <t>AIG</t>
        </is>
      </c>
      <c r="B223" s="83" t="n">
        <v>2015</v>
      </c>
      <c r="C223" s="83" t="n">
        <v>52</v>
      </c>
      <c r="D223" s="83" t="inlineStr"/>
      <c r="E223" s="83" t="inlineStr">
        <is>
          <t>Baseline</t>
        </is>
      </c>
      <c r="F223" s="83" t="inlineStr">
        <is>
          <t>2015 baseline = 52. Math: 50 +2 capped cosmetic/commercial +0 civic/financial/structural +0 negatives. Positive evidence in force: Occasional Pride posts (+2)</t>
        </is>
      </c>
      <c r="G223" s="83" t="inlineStr">
        <is>
          <t>(+2) p_generic_post — https://web.archive.org/web/2024/https://www.aig.com/about-us/diversity-equity-and-inclusion [documented as of 2024; credited from 2015 per methodology]</t>
        </is>
      </c>
    </row>
    <row r="224">
      <c r="A224" s="83" t="inlineStr">
        <is>
          <t>Travelers Companies</t>
        </is>
      </c>
      <c r="B224" s="83" t="n">
        <v>2015</v>
      </c>
      <c r="C224" s="83" t="n">
        <v>52</v>
      </c>
      <c r="D224" s="83" t="inlineStr"/>
      <c r="E224" s="83" t="inlineStr">
        <is>
          <t>Baseline</t>
        </is>
      </c>
      <c r="F224" s="83" t="inlineStr">
        <is>
          <t>2015 baseline = 52. Math: 50 +2 capped cosmetic/commercial +0 civic/financial/structural +0 negatives. Positive evidence in force: Occasional Pride posts (+2)</t>
        </is>
      </c>
      <c r="G224" s="83" t="inlineStr">
        <is>
          <t>(+2) p_generic_post — https://web.archive.org/web/2024/https://careers.travelers.com/life-at-travelers/diversity/ [documented as of 2024; credited from 2015 per methodology]</t>
        </is>
      </c>
    </row>
    <row r="225">
      <c r="A225" s="83" t="inlineStr">
        <is>
          <t>Eli Lilly</t>
        </is>
      </c>
      <c r="B225" s="83" t="n">
        <v>2015</v>
      </c>
      <c r="C225" s="83" t="n">
        <v>74</v>
      </c>
      <c r="D225" s="83" t="inlineStr"/>
      <c r="E225" s="83" t="inlineStr">
        <is>
          <t>Baseline</t>
        </is>
      </c>
      <c r="F225" s="83" t="inlineStr">
        <is>
          <t>2015 baseline = 74. Math: 50 +2 capped cosmetic/commercial +22 civic/financial/structural +0 negatives. Positive evidence in force: Pride posts and Indy Pride engagement (+2); Inclusive partner and gender-affirming benefits (CEI-verified) (+22)</t>
        </is>
      </c>
      <c r="G225" s="83" t="inlineStr">
        <is>
          <t>(+2) p_generic_post — https://web.archive.org/web/2024/https://www.lilly.com/about/diversity-equity-inclusion [documented as of 2024; credited from 2015 per methodology] || (+22) p_benefits — https://reports.hrc.org/corporate-equality-index-2025 [documented as of 2024; credited from 2015 per methodology]</t>
        </is>
      </c>
    </row>
    <row r="226">
      <c r="A226" s="83" t="inlineStr">
        <is>
          <t>Merck &amp; Co.</t>
        </is>
      </c>
      <c r="B226" s="83" t="n">
        <v>2015</v>
      </c>
      <c r="C226" s="83" t="n">
        <v>74</v>
      </c>
      <c r="D226" s="83" t="inlineStr"/>
      <c r="E226" s="83" t="inlineStr">
        <is>
          <t>Baseline</t>
        </is>
      </c>
      <c r="F226" s="83" t="inlineStr">
        <is>
          <t>2015 baseline = 74. Math: 50 +2 capped cosmetic/commercial +22 civic/financial/structural +0 negatives. Positive evidence in force: Pride posts and engagement (+2); Inclusive partner and gender-affirming benefits (CEI-verified) (+22)</t>
        </is>
      </c>
      <c r="G226" s="83" t="inlineStr">
        <is>
          <t>(+2) p_generic_post — https://web.archive.org/web/2024/https://www.merck.com/company-overview/culture-and-values/diversity-and-inclusion/ [documented as of 2024; credited from 2015 per methodology] || (+22) p_benefits — https://reports.hrc.org/corporate-equality-index-2025 [documented as of 2024; credited from 2015 per methodology]</t>
        </is>
      </c>
    </row>
    <row r="227">
      <c r="A227" s="83" t="inlineStr">
        <is>
          <t>Merck &amp; Co.</t>
        </is>
      </c>
      <c r="B227" s="83" t="n">
        <v>2021</v>
      </c>
      <c r="C227" s="83" t="n">
        <v>44</v>
      </c>
      <c r="D227" s="83" t="n">
        <v>-30</v>
      </c>
      <c r="E227" s="83" t="inlineStr">
        <is>
          <t>Change</t>
        </is>
      </c>
      <c r="F227" s="83" t="inlineStr">
        <is>
          <t>Score falls from 74 to 44 (-30). Driver(s): n_anti_lgbtq_donations (-30): Documented $26,300 to 22 anti-LGBTQ+ bill sponsors across 3 states, 2019-2022 (Data for Progress). New total: 50 +2 capped cosmetic/commercial +22 civic/financial/structural -30 negatives = 44.</t>
        </is>
      </c>
      <c r="G227" s="83" t="inlineStr">
        <is>
          <t>(-30) n_anti_lgbtq_donations — https://www.filesforprogress.org/datasets/2022/5/AccountableAllies-Data.pdf</t>
        </is>
      </c>
    </row>
    <row r="228">
      <c r="A228" s="83" t="inlineStr">
        <is>
          <t>AbbVie</t>
        </is>
      </c>
      <c r="B228" s="83" t="n">
        <v>2015</v>
      </c>
      <c r="C228" s="83" t="n">
        <v>74</v>
      </c>
      <c r="D228" s="83" t="inlineStr"/>
      <c r="E228" s="83" t="inlineStr">
        <is>
          <t>Baseline</t>
        </is>
      </c>
      <c r="F228" s="83" t="inlineStr">
        <is>
          <t>2015 baseline = 74. Math: 50 +2 capped cosmetic/commercial +22 civic/financial/structural +0 negatives. Positive evidence in force: Pride posts and engagement (+2); Inclusive partner and gender-affirming benefits (CEI-verified) (+22)</t>
        </is>
      </c>
      <c r="G228" s="83" t="inlineStr">
        <is>
          <t>(+2) p_generic_post — https://web.archive.org/web/2024/https://www.abbvie.com/who-we-are/diversity-equity-inclusion.html [documented as of 2024; credited from 2015 per methodology] || (+22) p_benefits — https://reports.hrc.org/corporate-equality-index-2025 [documented as of 2024; credited from 2015 per methodology]</t>
        </is>
      </c>
    </row>
    <row r="229">
      <c r="A229" s="83" t="inlineStr">
        <is>
          <t>Bristol Myers Squibb</t>
        </is>
      </c>
      <c r="B229" s="83" t="n">
        <v>2015</v>
      </c>
      <c r="C229" s="83" t="n">
        <v>74</v>
      </c>
      <c r="D229" s="83" t="inlineStr"/>
      <c r="E229" s="83" t="inlineStr">
        <is>
          <t>Baseline</t>
        </is>
      </c>
      <c r="F229" s="83" t="inlineStr">
        <is>
          <t>2015 baseline = 74. Math: 50 +2 capped cosmetic/commercial +22 civic/financial/structural +0 negatives. Positive evidence in force: Pride posts and engagement (+2); Inclusive partner and gender-affirming benefits (CEI-verified) (+22)</t>
        </is>
      </c>
      <c r="G229" s="83" t="inlineStr">
        <is>
          <t>(+2) p_generic_post — https://web.archive.org/web/2024/https://www.bms.com/about-us/responsibility/diversity-equity-and-inclusion.html [documented as of 2024; credited from 2015 per methodology] || (+22) p_benefits — https://reports.hrc.org/corporate-equality-index-2025 [documented as of 2024; credited from 2015 per methodology]</t>
        </is>
      </c>
    </row>
    <row r="230">
      <c r="A230" s="83" t="inlineStr">
        <is>
          <t>Gilead Sciences</t>
        </is>
      </c>
      <c r="B230" s="83" t="n">
        <v>2015</v>
      </c>
      <c r="C230" s="83" t="n">
        <v>77</v>
      </c>
      <c r="D230" s="83" t="inlineStr"/>
      <c r="E230" s="83" t="inlineStr">
        <is>
          <t>Baseline</t>
        </is>
      </c>
      <c r="F230" s="83" t="inlineStr">
        <is>
          <t>2015 baseline = 77. Math: 50 +2 capped cosmetic/commercial +25 civic/financial/structural +0 negatives. Positive evidence in force: Pride posts and engagement (+2); COMPASS Initiative: $100M+/10-year commitment to HIV organizations in… (+25)</t>
        </is>
      </c>
      <c r="G230" s="83" t="inlineStr">
        <is>
          <t>(+2) p_generic_post — https://web.archive.org/web/2024/https://www.gilead.com/ [documented as of 2024; credited from 2015 per methodology] || (+25) p_recurring — https://www.gilead.com/purpose/giving/compass-initiative [documented as of 2017; credited from 2015 per methodology]</t>
        </is>
      </c>
    </row>
    <row r="231">
      <c r="A231" s="83" t="inlineStr">
        <is>
          <t>Gilead Sciences</t>
        </is>
      </c>
      <c r="B231" s="83" t="n">
        <v>2024</v>
      </c>
      <c r="C231" s="83" t="n">
        <v>99</v>
      </c>
      <c r="D231" s="83" t="n">
        <v>22</v>
      </c>
      <c r="E231" s="83" t="inlineStr">
        <is>
          <t>Change</t>
        </is>
      </c>
      <c r="F231" s="83" t="inlineStr">
        <is>
          <t>Score rises from 77 to 99 (+22). Driver(s): p_donation_large (+22): Sustained multi-million-dollar grants to LGBTQ+/HIV organizations (TransAction trans health grants, Zeroing In program). New total: 50 +2 capped cosmetic/commercial +47 civic/financial/structural +0 negatives = 99.</t>
        </is>
      </c>
      <c r="G231" s="83" t="inlineStr">
        <is>
          <t>(+22) p_donation_large — https://www.gilead.com/purpose/giving</t>
        </is>
      </c>
    </row>
    <row r="232">
      <c r="A232" s="83" t="inlineStr">
        <is>
          <t>Amgen</t>
        </is>
      </c>
      <c r="B232" s="83" t="n">
        <v>2015</v>
      </c>
      <c r="C232" s="83" t="n">
        <v>52</v>
      </c>
      <c r="D232" s="83" t="inlineStr"/>
      <c r="E232" s="83" t="inlineStr">
        <is>
          <t>Baseline</t>
        </is>
      </c>
      <c r="F232" s="83" t="inlineStr">
        <is>
          <t>2015 baseline = 52. Math: 50 +2 capped cosmetic/commercial +0 civic/financial/structural +0 negatives. Positive evidence in force: Occasional Pride posts (+2)</t>
        </is>
      </c>
      <c r="G232" s="83" t="inlineStr">
        <is>
          <t>(+2) p_generic_post — https://web.archive.org/web/2024/https://www.amgen.com/about/diversity-inclusion-and-belonging [documented as of 2024; credited from 2015 per methodology]</t>
        </is>
      </c>
    </row>
    <row r="233">
      <c r="A233" s="83" t="inlineStr">
        <is>
          <t>Moderna</t>
        </is>
      </c>
      <c r="B233" s="83" t="n">
        <v>2015</v>
      </c>
      <c r="C233" s="83" t="n">
        <v>52</v>
      </c>
      <c r="D233" s="83" t="inlineStr"/>
      <c r="E233" s="83" t="inlineStr">
        <is>
          <t>Baseline</t>
        </is>
      </c>
      <c r="F233" s="83" t="inlineStr">
        <is>
          <t>2015 baseline = 52. Math: 50 +2 capped cosmetic/commercial +0 civic/financial/structural +0 negatives. Positive evidence in force: Occasional Pride posts (+2)</t>
        </is>
      </c>
      <c r="G233" s="83" t="inlineStr">
        <is>
          <t>(+2) p_generic_post — https://web.archive.org/web/2024/https://www.modernatx.com/ [documented as of 2024; credited from 2015 per methodology]</t>
        </is>
      </c>
    </row>
    <row r="234">
      <c r="A234" s="83" t="inlineStr">
        <is>
          <t>HCA Healthcare</t>
        </is>
      </c>
      <c r="B234" s="83" t="n">
        <v>2015</v>
      </c>
      <c r="C234" s="83" t="n">
        <v>52</v>
      </c>
      <c r="D234" s="83" t="inlineStr"/>
      <c r="E234" s="83" t="inlineStr">
        <is>
          <t>Baseline</t>
        </is>
      </c>
      <c r="F234" s="83" t="inlineStr">
        <is>
          <t>2015 baseline = 52. Math: 50 +2 capped cosmetic/commercial +0 civic/financial/structural +0 negatives. Positive evidence in force: Occasional inclusion posts (+2)</t>
        </is>
      </c>
      <c r="G234" s="83" t="inlineStr">
        <is>
          <t>(+2) p_generic_post — https://web.archive.org/web/2024/https://hcahealthcare.com/about/our-culture/diversity-equity-and-inclusion.dot [documented as of 2024; credited from 2015 per methodology]</t>
        </is>
      </c>
    </row>
    <row r="235">
      <c r="A235" s="83" t="inlineStr">
        <is>
          <t>Elevance Health</t>
        </is>
      </c>
      <c r="B235" s="83" t="n">
        <v>2015</v>
      </c>
      <c r="C235" s="83" t="n">
        <v>74</v>
      </c>
      <c r="D235" s="83" t="inlineStr"/>
      <c r="E235" s="83" t="inlineStr">
        <is>
          <t>Baseline</t>
        </is>
      </c>
      <c r="F235" s="83" t="inlineStr">
        <is>
          <t>2015 baseline = 74. Math: 50 +2 capped cosmetic/commercial +22 civic/financial/structural +0 negatives. Positive evidence in force: Prior Pride engagement and DEI reporting (+2); Inclusive partner and gender-affirming benefits (CEI-verified) (+22)</t>
        </is>
      </c>
      <c r="G235" s="83" t="inlineStr">
        <is>
          <t>(+2) p_generic_post — https://web.archive.org/web/2024/https://www.elevancehealth.com/who-we-are/diversity-equity-inclusion [documented as of 2024; credited from 2015 per methodology] || (+22) p_benefits — https://reports.hrc.org/corporate-equality-index-2025 [documented as of 2024; credited from 2015 per methodology]</t>
        </is>
      </c>
    </row>
    <row r="236">
      <c r="A236" s="83" t="inlineStr">
        <is>
          <t>Elevance Health</t>
        </is>
      </c>
      <c r="B236" s="83" t="n">
        <v>2025</v>
      </c>
      <c r="C236" s="83" t="n">
        <v>42</v>
      </c>
      <c r="D236" s="83" t="n">
        <v>-32</v>
      </c>
      <c r="E236" s="83" t="inlineStr">
        <is>
          <t>Change</t>
        </is>
      </c>
      <c r="F236" s="83" t="inlineStr">
        <is>
          <t>Score falls from 74 to 42 (-32). Driver(s): n_dei_removal (-32): Revised/softened DEI strategy language in 2025 annual report (insurer retreat pattern). New total: 50 +2 capped cosmetic/commercial +22 civic/financial/structural -32 negatives = 42.</t>
        </is>
      </c>
      <c r="G236" s="83" t="inlineStr">
        <is>
          <t>(-32) n_dei_removal — https://www.modernhealthcare.com/insurance/unitedhealth-cigna-humana-elevance-dei/</t>
        </is>
      </c>
    </row>
    <row r="237">
      <c r="A237" s="83" t="inlineStr">
        <is>
          <t>ConocoPhillips</t>
        </is>
      </c>
      <c r="B237" s="83" t="n">
        <v>2015</v>
      </c>
      <c r="C237" s="83" t="n">
        <v>50</v>
      </c>
      <c r="D237" s="83" t="inlineStr"/>
      <c r="E237" s="83" t="inlineStr">
        <is>
          <t>Baseline</t>
        </is>
      </c>
      <c r="F237" s="83" t="inlineStr">
        <is>
          <t>2015 baseline = 50 (neutral). No documented LGBTQ+-related actions, positive or negative, attributable to this year; the company starts at the index's no-engagement baseline.</t>
        </is>
      </c>
      <c r="G237" s="83" t="inlineStr"/>
    </row>
    <row r="238">
      <c r="A238" s="83" t="inlineStr">
        <is>
          <t>ConocoPhillips</t>
        </is>
      </c>
      <c r="B238" s="83" t="n">
        <v>2021</v>
      </c>
      <c r="C238" s="83" t="n">
        <v>20</v>
      </c>
      <c r="D238" s="83" t="n">
        <v>-30</v>
      </c>
      <c r="E238" s="83" t="inlineStr">
        <is>
          <t>Change</t>
        </is>
      </c>
      <c r="F238" s="83" t="inlineStr">
        <is>
          <t>Score falls from 50 to 20 (-30). Driver(s): n_anti_lgbtq_donations (-30): Documented $27,503 to anti-LGBTQ+ bill sponsors, 2019-2022 (Data for Progress). New total: 50 +0 capped cosmetic/commercial +0 civic/financial/structural -30 negatives = 20.</t>
        </is>
      </c>
      <c r="G238" s="83" t="inlineStr">
        <is>
          <t>(-30) n_anti_lgbtq_donations — https://www.filesforprogress.org/datasets/2022/5/AccountableAllies-Data.pdf</t>
        </is>
      </c>
    </row>
    <row r="239">
      <c r="A239" s="83" t="inlineStr">
        <is>
          <t>Phillips 66</t>
        </is>
      </c>
      <c r="B239" s="83" t="n">
        <v>2015</v>
      </c>
      <c r="C239" s="83" t="n">
        <v>50</v>
      </c>
      <c r="D239" s="83" t="inlineStr"/>
      <c r="E239" s="83" t="inlineStr">
        <is>
          <t>Baseline</t>
        </is>
      </c>
      <c r="F239" s="83" t="inlineStr">
        <is>
          <t>2015 baseline = 50 (neutral). No documented LGBTQ+-related actions, positive or negative, attributable to this year; the company starts at the index's no-engagement baseline.</t>
        </is>
      </c>
      <c r="G239" s="83" t="inlineStr"/>
    </row>
    <row r="240">
      <c r="A240" s="83" t="inlineStr">
        <is>
          <t>Marathon Petroleum</t>
        </is>
      </c>
      <c r="B240" s="83" t="n">
        <v>2015</v>
      </c>
      <c r="C240" s="83" t="n">
        <v>50</v>
      </c>
      <c r="D240" s="83" t="inlineStr"/>
      <c r="E240" s="83" t="inlineStr">
        <is>
          <t>Baseline</t>
        </is>
      </c>
      <c r="F240" s="83" t="inlineStr">
        <is>
          <t>2015 baseline = 50 (neutral). No documented LGBTQ+-related actions, positive or negative, attributable to this year; the company starts at the index's no-engagement baseline.</t>
        </is>
      </c>
      <c r="G240" s="83" t="inlineStr"/>
    </row>
    <row r="241">
      <c r="A241" s="83" t="inlineStr">
        <is>
          <t>Marathon Petroleum</t>
        </is>
      </c>
      <c r="B241" s="83" t="n">
        <v>2021</v>
      </c>
      <c r="C241" s="83" t="n">
        <v>20</v>
      </c>
      <c r="D241" s="83" t="n">
        <v>-30</v>
      </c>
      <c r="E241" s="83" t="inlineStr">
        <is>
          <t>Change</t>
        </is>
      </c>
      <c r="F241" s="83" t="inlineStr">
        <is>
          <t>Score falls from 50 to 20 (-30). Driver(s): n_anti_lgbtq_donations (-30): Documented $42,000 to 7 anti-LGBTQ+ bill sponsors across 3 states, 2019-2022 (Data for Progress). New total: 50 +0 capped cosmetic/commercial +0 civic/financial/structural -30 negatives = 20.</t>
        </is>
      </c>
      <c r="G241" s="83" t="inlineStr">
        <is>
          <t>(-30) n_anti_lgbtq_donations — https://www.filesforprogress.org/datasets/2022/5/AccountableAllies-Data.pdf</t>
        </is>
      </c>
    </row>
    <row r="242">
      <c r="A242" s="83" t="inlineStr">
        <is>
          <t>Duke Energy</t>
        </is>
      </c>
      <c r="B242" s="83" t="n">
        <v>2015</v>
      </c>
      <c r="C242" s="83" t="n">
        <v>52</v>
      </c>
      <c r="D242" s="83" t="inlineStr"/>
      <c r="E242" s="83" t="inlineStr">
        <is>
          <t>Baseline</t>
        </is>
      </c>
      <c r="F242" s="83" t="inlineStr">
        <is>
          <t>2015 baseline = 52. Math: 50 +2 capped cosmetic/commercial +0 civic/financial/structural +0 negatives. Positive evidence in force: Occasional Pride posts/local engagement (+2)</t>
        </is>
      </c>
      <c r="G242" s="83" t="inlineStr">
        <is>
          <t>(+2) p_generic_post — https://web.archive.org/web/2024/https://www.duke-energy.com/our-company/diversity [documented as of 2024; credited from 2015 per methodology]</t>
        </is>
      </c>
    </row>
    <row r="243">
      <c r="A243" s="83" t="inlineStr">
        <is>
          <t>Dominion Energy</t>
        </is>
      </c>
      <c r="B243" s="83" t="n">
        <v>2015</v>
      </c>
      <c r="C243" s="83" t="n">
        <v>62</v>
      </c>
      <c r="D243" s="83" t="inlineStr"/>
      <c r="E243" s="83" t="inlineStr">
        <is>
          <t>Baseline</t>
        </is>
      </c>
      <c r="F243" s="83" t="inlineStr">
        <is>
          <t>2015 baseline = 62. Math: 50 +0 capped cosmetic/commercial +12 civic/financial/structural +0 negatives. Positive evidence in force: Virginia Pride event sponsorship (prior years) (+12)</t>
        </is>
      </c>
      <c r="G243" s="83" t="inlineStr">
        <is>
          <t>(+12) p_parade_sponsor — https://web.archive.org/web/2023/https://vapride.org/sponsors/ [documented as of 2023; credited from 2015 per methodology]</t>
        </is>
      </c>
    </row>
    <row r="244">
      <c r="A244" s="83" t="inlineStr">
        <is>
          <t>Rivian</t>
        </is>
      </c>
      <c r="B244" s="83" t="n">
        <v>2015</v>
      </c>
      <c r="C244" s="83" t="n">
        <v>50</v>
      </c>
      <c r="D244" s="83" t="inlineStr"/>
      <c r="E244" s="83" t="inlineStr">
        <is>
          <t>Baseline</t>
        </is>
      </c>
      <c r="F244" s="83" t="inlineStr">
        <is>
          <t>2015 baseline = 50 (neutral). No documented LGBTQ+-related actions, positive or negative, attributable to this year; the company starts at the index's no-engagement baseline.</t>
        </is>
      </c>
      <c r="G244" s="83" t="inlineStr"/>
    </row>
    <row r="245">
      <c r="A245" s="83" t="inlineStr">
        <is>
          <t>Lucid Group</t>
        </is>
      </c>
      <c r="B245" s="83" t="n">
        <v>2015</v>
      </c>
      <c r="C245" s="83" t="n">
        <v>50</v>
      </c>
      <c r="D245" s="83" t="inlineStr"/>
      <c r="E245" s="83" t="inlineStr">
        <is>
          <t>Baseline</t>
        </is>
      </c>
      <c r="F245" s="83" t="inlineStr">
        <is>
          <t>2015 baseline = 50 (neutral). No documented LGBTQ+-related actions, positive or negative, attributable to this year; the company starts at the index's no-engagement baseline.</t>
        </is>
      </c>
      <c r="G245" s="83" t="inlineStr"/>
    </row>
    <row r="246">
      <c r="A246" s="83" t="inlineStr">
        <is>
          <t>Wyndham Hotels &amp; Resorts</t>
        </is>
      </c>
      <c r="B246" s="83" t="n">
        <v>2015</v>
      </c>
      <c r="C246" s="83" t="n">
        <v>52</v>
      </c>
      <c r="D246" s="83" t="inlineStr"/>
      <c r="E246" s="83" t="inlineStr">
        <is>
          <t>Baseline</t>
        </is>
      </c>
      <c r="F246" s="83" t="inlineStr">
        <is>
          <t>2015 baseline = 52. Math: 50 +2 capped cosmetic/commercial +0 civic/financial/structural +0 negatives. Positive evidence in force: Occasional Pride posts and LGBTQ+ travel content (+2)</t>
        </is>
      </c>
      <c r="G246" s="83" t="inlineStr">
        <is>
          <t>(+2) p_generic_post — https://web.archive.org/web/2024/https://corporate.wyndhamhotels.com/corporate-responsibility/diversity-equity-inclusion/ [documented as of 2024; credited from 2015 per methodology]</t>
        </is>
      </c>
    </row>
    <row r="247">
      <c r="A247" s="83" t="inlineStr">
        <is>
          <t>Hyatt Hotels</t>
        </is>
      </c>
      <c r="B247" s="83" t="n">
        <v>2015</v>
      </c>
      <c r="C247" s="83" t="n">
        <v>79</v>
      </c>
      <c r="D247" s="83" t="inlineStr"/>
      <c r="E247" s="83" t="inlineStr">
        <is>
          <t>Baseline</t>
        </is>
      </c>
      <c r="F247" s="83" t="inlineStr">
        <is>
          <t>2015 baseline = 79. Math: 50 +2 capped cosmetic/commercial +27 civic/financial/structural +0 negatives. Positive evidence in force: Annual Pride posts and campaigns (+2); WorldPride 2025 (Washington DC) supporter (+12); Funded LGBTQ+ employee resource group (HyPride) (+15)</t>
        </is>
      </c>
      <c r="G247" s="83" t="inlineStr">
        <is>
          <t>(+2) p_generic_post — https://web.archive.org/web/2025/https://www.hyatt.com/ [documented as of 2025; credited from 2015 per methodology] || (+12) p_parade_sponsor — https://www.hrdive.com/news/employer-pride-2025/751092/ [documented as of 2025; credited from 2015 per methodology] || (+15) p_erg_support — https://web.archive.org/web/2024/https://about.hyatt.com/en/hyattdei.html [documented as of 2024; credited from 2015 per methodology]</t>
        </is>
      </c>
    </row>
    <row r="248">
      <c r="A248" s="83" t="inlineStr">
        <is>
          <t>Southwest Airlines</t>
        </is>
      </c>
      <c r="B248" s="83" t="n">
        <v>2015</v>
      </c>
      <c r="C248" s="83" t="n">
        <v>67</v>
      </c>
      <c r="D248" s="83" t="inlineStr"/>
      <c r="E248" s="83" t="inlineStr">
        <is>
          <t>Baseline</t>
        </is>
      </c>
      <c r="F248" s="83" t="inlineStr">
        <is>
          <t>2015 baseline = 67. Math: 50 +2 capped cosmetic/commercial +15 civic/financial/structural +0 negatives. Positive evidence in force: Pride posts and engagement (+2); Funded LGBTQ+ employee resource group (+15)</t>
        </is>
      </c>
      <c r="G248" s="83" t="inlineStr">
        <is>
          <t>(+2) p_generic_post — https://web.archive.org/web/2024/https://careers.southwestair.com/diversity-equity-inclusion [documented as of 2024; credited from 2015 per methodology] || (+15) p_erg_support — https://web.archive.org/web/2024/https://careers.southwestair.com/diversity-equity-inclusion [documented as of 2024; credited from 2015 per methodology]</t>
        </is>
      </c>
    </row>
    <row r="249">
      <c r="A249" s="83" t="inlineStr">
        <is>
          <t>JetBlue Airways</t>
        </is>
      </c>
      <c r="B249" s="83" t="n">
        <v>2015</v>
      </c>
      <c r="C249" s="83" t="n">
        <v>79</v>
      </c>
      <c r="D249" s="83" t="inlineStr"/>
      <c r="E249" s="83" t="inlineStr">
        <is>
          <t>Baseline</t>
        </is>
      </c>
      <c r="F249" s="83" t="inlineStr">
        <is>
          <t>2015 baseline = 79. Math: 50 +2 capped cosmetic/commercial +27 civic/financial/structural +0 negatives. Positive evidence in force: Annual Pride posts and campaigns (+2); NYC Pride sponsorship/participation history with Pride activations (+12); Funded JetPride crewmember resource group (+15)</t>
        </is>
      </c>
      <c r="G249" s="83" t="inlineStr">
        <is>
          <t>(+2) p_generic_post — https://web.archive.org/web/2024/https://www.jetblue.com/our-company/diversity-equity-inclusion [documented as of 2024; credited from 2015 per methodology] || (+12) p_parade_sponsor — https://web.archive.org/web/2024/https://www.jetblue.com/our-company/diversity-equity-inclusion [documented as of 2024; credited from 2015 per methodology] || (+15) p_erg_support — https://web.archive.org/web/2024/https://www.jetblue.com/our-company/diversity-equity-inclusion [documented as of 2024; credited from 2015 per methodology]</t>
        </is>
      </c>
    </row>
    <row r="250">
      <c r="A250" s="83" t="inlineStr">
        <is>
          <t>Royal Caribbean Group</t>
        </is>
      </c>
      <c r="B250" s="83" t="n">
        <v>2015</v>
      </c>
      <c r="C250" s="83" t="n">
        <v>52</v>
      </c>
      <c r="D250" s="83" t="inlineStr"/>
      <c r="E250" s="83" t="inlineStr">
        <is>
          <t>Baseline</t>
        </is>
      </c>
      <c r="F250" s="83" t="inlineStr">
        <is>
          <t>2015 baseline = 52. Math: 50 +2 capped cosmetic/commercial +0 civic/financial/structural +0 negatives. Positive evidence in force: Pride posts and onboard Pride events marketing (+2)</t>
        </is>
      </c>
      <c r="G250" s="83" t="inlineStr">
        <is>
          <t>(+2) p_generic_post — https://web.archive.org/web/2024/https://www.royalcaribbean.com/ [documented as of 2024; credited from 2015 per methodology]</t>
        </is>
      </c>
    </row>
    <row r="251">
      <c r="A251" s="83" t="inlineStr">
        <is>
          <t>Carnival Corporation</t>
        </is>
      </c>
      <c r="B251" s="83" t="n">
        <v>2015</v>
      </c>
      <c r="C251" s="83" t="n">
        <v>52</v>
      </c>
      <c r="D251" s="83" t="inlineStr"/>
      <c r="E251" s="83" t="inlineStr">
        <is>
          <t>Baseline</t>
        </is>
      </c>
      <c r="F251" s="83" t="inlineStr">
        <is>
          <t>2015 baseline = 52. Math: 50 +2 capped cosmetic/commercial +0 civic/financial/structural +0 negatives. Positive evidence in force: Pride posts and onboard Pride events marketing (+2)</t>
        </is>
      </c>
      <c r="G251" s="83" t="inlineStr">
        <is>
          <t>(+2) p_generic_post — https://web.archive.org/web/2024/https://www.carnivalcorp.com/ [documented as of 2024; credited from 2015 per methodology]</t>
        </is>
      </c>
    </row>
    <row r="252">
      <c r="A252" s="83" t="inlineStr">
        <is>
          <t>Kimberly-Clark</t>
        </is>
      </c>
      <c r="B252" s="83" t="n">
        <v>2015</v>
      </c>
      <c r="C252" s="83" t="n">
        <v>74</v>
      </c>
      <c r="D252" s="83" t="inlineStr"/>
      <c r="E252" s="83" t="inlineStr">
        <is>
          <t>Baseline</t>
        </is>
      </c>
      <c r="F252" s="83" t="inlineStr">
        <is>
          <t>2015 baseline = 74. Math: 50 +2 capped cosmetic/commercial +22 civic/financial/structural +0 negatives. Positive evidence in force: Pride posts and engagement (+2); Inclusive partner and gender-affirming benefits (CEI-verified) (+22)</t>
        </is>
      </c>
      <c r="G252" s="83" t="inlineStr">
        <is>
          <t>(+2) p_generic_post — https://web.archive.org/web/2024/https://www.kimberly-clark.com/en-us/company/diversity-and-inclusion [documented as of 2024; credited from 2015 per methodology] || (+22) p_benefits — https://reports.hrc.org/corporate-equality-index-2025 [documented as of 2024; credited from 2015 per methodology]</t>
        </is>
      </c>
    </row>
    <row r="253">
      <c r="A253" s="83" t="inlineStr">
        <is>
          <t>Estée Lauder</t>
        </is>
      </c>
      <c r="B253" s="83" t="n">
        <v>2015</v>
      </c>
      <c r="C253" s="83" t="n">
        <v>100</v>
      </c>
      <c r="D253" s="83" t="inlineStr"/>
      <c r="E253" s="83" t="inlineStr">
        <is>
          <t>Baseline</t>
        </is>
      </c>
      <c r="F253" s="83" t="inlineStr">
        <is>
          <t>2015 baseline = 100. Math: 50 +13 capped cosmetic/commercial +53 civic/financial/structural +0 negatives (clamped to 0-100). Positive evidence in force: Pride campaigns across brands (MAC, Too Faced, etc.) (+3); MAC VIVA GLAM: 100% of selling price donated to HIV/AIDS and LGBTQ+ c… (+10); MAC VIVA GLAM Fund — continuous 30+ year giving program with annual L… (+25); 30+ years of uninterrupted community investment with queer and drag i… (+28)</t>
        </is>
      </c>
      <c r="G253" s="83" t="inlineStr">
        <is>
          <t>(+3) p_logo_rainbow — https://web.archive.org/web/2024/https://www.maccosmetics.com/viva-glam [documented as of 2024; credited from 2015 per methodology] || (+10) p_merch_proceeds — https://www.maccosmetics.com/viva-glam [documented as of 2024; credited from 2015 per methodology] || (+25) p_recurring — https://www.maccosmetics.com/viva-glam [documented as of 2024; credited from 2015 per methodology] || (+28) p_consistent_history — https://en.wikipedia.org/wiki/Viva_Glam [documented as of 2024; credited from 2015 per methodology]</t>
        </is>
      </c>
    </row>
    <row r="254">
      <c r="A254" s="83" t="inlineStr">
        <is>
          <t>Clorox</t>
        </is>
      </c>
      <c r="B254" s="83" t="n">
        <v>2015</v>
      </c>
      <c r="C254" s="83" t="n">
        <v>74</v>
      </c>
      <c r="D254" s="83" t="inlineStr"/>
      <c r="E254" s="83" t="inlineStr">
        <is>
          <t>Baseline</t>
        </is>
      </c>
      <c r="F254" s="83" t="inlineStr">
        <is>
          <t>2015 baseline = 74. Math: 50 +2 capped cosmetic/commercial +22 civic/financial/structural +0 negatives. Positive evidence in force: Pride posts and engagement (+2); Inclusive partner and gender-affirming benefits (CEI-verified) (+22)</t>
        </is>
      </c>
      <c r="G254" s="83" t="inlineStr">
        <is>
          <t>(+2) p_generic_post — https://web.archive.org/web/2024/https://www.thecloroxcompany.com/who-we-are/inclusion-diversity/ [documented as of 2024; credited from 2015 per methodology] || (+22) p_benefits — https://reports.hrc.org/corporate-equality-index-2025 [documented as of 2024; credited from 2015 per methodology]</t>
        </is>
      </c>
    </row>
    <row r="255">
      <c r="A255" s="83" t="inlineStr">
        <is>
          <t>Northrop Grumman</t>
        </is>
      </c>
      <c r="B255" s="83" t="n">
        <v>2015</v>
      </c>
      <c r="C255" s="83" t="n">
        <v>67</v>
      </c>
      <c r="D255" s="83" t="inlineStr"/>
      <c r="E255" s="83" t="inlineStr">
        <is>
          <t>Baseline</t>
        </is>
      </c>
      <c r="F255" s="83" t="inlineStr">
        <is>
          <t>2015 baseline = 67. Math: 50 +2 capped cosmetic/commercial +15 civic/financial/structural +0 negatives. Positive evidence in force: Pride posts and engagement (through 2024) (+2); Funded LGBTQ+ employee resource group (+15)</t>
        </is>
      </c>
      <c r="G255" s="83" t="inlineStr">
        <is>
          <t>(+2) p_generic_post — https://web.archive.org/web/2024/https://www.northropgrumman.com/who-we-are/diversity-equity-and-inclusion [documented as of 2024; credited from 2015 per methodology] || (+15) p_erg_support — https://web.archive.org/web/2024/https://www.northropgrumman.com/who-we-are/diversity-equity-and-inclusion [documented as of 2024; credited from 2015 per methodology]</t>
        </is>
      </c>
    </row>
    <row r="256">
      <c r="A256" s="83" t="inlineStr">
        <is>
          <t>Northrop Grumman</t>
        </is>
      </c>
      <c r="B256" s="83" t="n">
        <v>2025</v>
      </c>
      <c r="C256" s="83" t="n">
        <v>35</v>
      </c>
      <c r="D256" s="83" t="n">
        <v>-32</v>
      </c>
      <c r="E256" s="83" t="inlineStr">
        <is>
          <t>Change</t>
        </is>
      </c>
      <c r="F256" s="83" t="inlineStr">
        <is>
          <t>Score falls from 67 to 35 (-32). Driver(s): n_dei_removal (-32): Removed DEI webpages (dead links) in early-2025 defense-sector scrub. New total: 50 +2 capped cosmetic/commercial +15 civic/financial/structural -32 negatives = 35.</t>
        </is>
      </c>
      <c r="G256" s="83" t="inlineStr">
        <is>
          <t>(-32) n_dei_removal — https://breakingdefense.com/2025/02/dei-doa-how-the-defense-industry-is-racing-to-bury-its-diversity-efforts/</t>
        </is>
      </c>
    </row>
    <row r="257">
      <c r="A257" s="83" t="inlineStr">
        <is>
          <t>General Dynamics</t>
        </is>
      </c>
      <c r="B257" s="83" t="n">
        <v>2015</v>
      </c>
      <c r="C257" s="83" t="n">
        <v>67</v>
      </c>
      <c r="D257" s="83" t="inlineStr"/>
      <c r="E257" s="83" t="inlineStr">
        <is>
          <t>Baseline</t>
        </is>
      </c>
      <c r="F257" s="83" t="inlineStr">
        <is>
          <t>2015 baseline = 67. Math: 50 +2 capped cosmetic/commercial +15 civic/financial/structural +0 negatives. Positive evidence in force: Pride posts and engagement (through 2024) (+2); Funded LGBTQ+ employee resource group (+15)</t>
        </is>
      </c>
      <c r="G257" s="83" t="inlineStr">
        <is>
          <t>(+2) p_generic_post — https://web.archive.org/web/2024/https://www.gd.com/ [documented as of 2024; credited from 2015 per methodology] || (+15) p_erg_support — https://web.archive.org/web/2024/https://www.gd.com/careers/culture [documented as of 2024; credited from 2015 per methodology]</t>
        </is>
      </c>
    </row>
    <row r="258">
      <c r="A258" s="83" t="inlineStr">
        <is>
          <t>General Dynamics</t>
        </is>
      </c>
      <c r="B258" s="83" t="n">
        <v>2025</v>
      </c>
      <c r="C258" s="83" t="n">
        <v>35</v>
      </c>
      <c r="D258" s="83" t="n">
        <v>-32</v>
      </c>
      <c r="E258" s="83" t="inlineStr">
        <is>
          <t>Change</t>
        </is>
      </c>
      <c r="F258" s="83" t="inlineStr">
        <is>
          <t>Score falls from 67 to 35 (-32). Driver(s): n_dei_removal (-32): Removed DEI webpages (dead links) in early-2025 defense-sector scrub. New total: 50 +2 capped cosmetic/commercial +15 civic/financial/structural -32 negatives = 35.</t>
        </is>
      </c>
      <c r="G258" s="83" t="inlineStr">
        <is>
          <t>(-32) n_dei_removal — https://breakingdefense.com/2025/02/dei-doa-how-the-defense-industry-is-racing-to-bury-its-diversity-efforts/</t>
        </is>
      </c>
    </row>
    <row r="259">
      <c r="A259" s="83" t="inlineStr">
        <is>
          <t>L3Harris Technologies</t>
        </is>
      </c>
      <c r="B259" s="83" t="n">
        <v>2015</v>
      </c>
      <c r="C259" s="83" t="n">
        <v>67</v>
      </c>
      <c r="D259" s="83" t="inlineStr"/>
      <c r="E259" s="83" t="inlineStr">
        <is>
          <t>Baseline</t>
        </is>
      </c>
      <c r="F259" s="83" t="inlineStr">
        <is>
          <t>2015 baseline = 67. Math: 50 +2 capped cosmetic/commercial +15 civic/financial/structural +0 negatives. Positive evidence in force: Pride posts and engagement (through 2024) (+2); Funded LGBTQ+ employee resource group (+15)</t>
        </is>
      </c>
      <c r="G259" s="83" t="inlineStr">
        <is>
          <t>(+2) p_generic_post — https://web.archive.org/web/2024/https://www.l3harris.com/ [documented as of 2024; credited from 2015 per methodology] || (+15) p_erg_support — https://web.archive.org/web/2024/https://careers.l3harris.com/diversity-equity-inclusion [documented as of 2024; credited from 2015 per methodology]</t>
        </is>
      </c>
    </row>
    <row r="260">
      <c r="A260" s="83" t="inlineStr">
        <is>
          <t>L3Harris Technologies</t>
        </is>
      </c>
      <c r="B260" s="83" t="n">
        <v>2025</v>
      </c>
      <c r="C260" s="83" t="n">
        <v>35</v>
      </c>
      <c r="D260" s="83" t="n">
        <v>-32</v>
      </c>
      <c r="E260" s="83" t="inlineStr">
        <is>
          <t>Change</t>
        </is>
      </c>
      <c r="F260" s="83" t="inlineStr">
        <is>
          <t>Score falls from 67 to 35 (-32). Driver(s): n_dei_removal (-32): Removed DEI webpages (dead links) in early-2025 defense-sector scrub. New total: 50 +2 capped cosmetic/commercial +15 civic/financial/structural -32 negatives = 35.</t>
        </is>
      </c>
      <c r="G260" s="83" t="inlineStr">
        <is>
          <t>(-32) n_dei_removal — https://breakingdefense.com/2025/02/dei-doa-how-the-defense-industry-is-racing-to-bury-its-diversity-efforts/</t>
        </is>
      </c>
    </row>
    <row r="261">
      <c r="A261" s="83" t="inlineStr">
        <is>
          <t>3M</t>
        </is>
      </c>
      <c r="B261" s="83" t="n">
        <v>2015</v>
      </c>
      <c r="C261" s="83" t="n">
        <v>67</v>
      </c>
      <c r="D261" s="83" t="inlineStr"/>
      <c r="E261" s="83" t="inlineStr">
        <is>
          <t>Baseline</t>
        </is>
      </c>
      <c r="F261" s="83" t="inlineStr">
        <is>
          <t>2015 baseline = 67. Math: 50 +2 capped cosmetic/commercial +15 civic/financial/structural +0 negatives. Positive evidence in force: Pride posts and Twin Cities engagement (prior years) (+2); Funded 3M Pride employee resource group (+15)</t>
        </is>
      </c>
      <c r="G261" s="83" t="inlineStr">
        <is>
          <t>(+2) p_generic_post — https://web.archive.org/web/2024/https://www.3m.com/3M/en_US/careers-us/working-at-3m/diversity-and-inclusion/ [documented as of 2024; credited from 2015 per methodology] || (+15) p_erg_support — https://web.archive.org/web/2024/https://www.3m.com/3M/en_US/careers-us/working-at-3m/diversity-and-inclusion/ [documented as of 2024; credited from 2015 per methodology]</t>
        </is>
      </c>
    </row>
    <row r="262">
      <c r="A262" s="83" t="inlineStr">
        <is>
          <t>3M</t>
        </is>
      </c>
      <c r="B262" s="83" t="n">
        <v>2025</v>
      </c>
      <c r="C262" s="83" t="n">
        <v>35</v>
      </c>
      <c r="D262" s="83" t="n">
        <v>-32</v>
      </c>
      <c r="E262" s="83" t="inlineStr">
        <is>
          <t>Change</t>
        </is>
      </c>
      <c r="F262" s="83" t="inlineStr">
        <is>
          <t>Score falls from 67 to 35 (-32). Driver(s): n_dei_removal (-32): Retired diversity representation goals; softened DEI language in 2025 materials. New total: 50 +2 capped cosmetic/commercial +15 civic/financial/structural -32 negatives = 35.</t>
        </is>
      </c>
      <c r="G262" s="83" t="inlineStr">
        <is>
          <t>(-32) n_dei_removal — https://blog.ongig.com/diversity-and-inclusion/dei-rollbacks/</t>
        </is>
      </c>
    </row>
    <row r="263">
      <c r="A263" s="83" t="inlineStr">
        <is>
          <t>Honeywell</t>
        </is>
      </c>
      <c r="B263" s="83" t="n">
        <v>2015</v>
      </c>
      <c r="C263" s="83" t="n">
        <v>52</v>
      </c>
      <c r="D263" s="83" t="inlineStr"/>
      <c r="E263" s="83" t="inlineStr">
        <is>
          <t>Baseline</t>
        </is>
      </c>
      <c r="F263" s="83" t="inlineStr">
        <is>
          <t>2015 baseline = 52. Math: 50 +2 capped cosmetic/commercial +0 civic/financial/structural +0 negatives. Positive evidence in force: Occasional Pride posts (+2)</t>
        </is>
      </c>
      <c r="G263" s="83" t="inlineStr">
        <is>
          <t>(+2) p_generic_post — https://web.archive.org/web/2024/https://www.honeywell.com/us/en/company/inclusion-and-diversity [documented as of 2024; credited from 2015 per methodology]</t>
        </is>
      </c>
    </row>
    <row r="264">
      <c r="A264" s="83" t="inlineStr">
        <is>
          <t>General Electric (GE Aerospace)</t>
        </is>
      </c>
      <c r="B264" s="83" t="n">
        <v>2015</v>
      </c>
      <c r="C264" s="83" t="n">
        <v>52</v>
      </c>
      <c r="D264" s="83" t="inlineStr"/>
      <c r="E264" s="83" t="inlineStr">
        <is>
          <t>Baseline</t>
        </is>
      </c>
      <c r="F264" s="83" t="inlineStr">
        <is>
          <t>2015 baseline = 52. Math: 50 +2 capped cosmetic/commercial +0 civic/financial/structural +0 negatives. Positive evidence in force: Occasional Pride posts; ERG legacy (+2)</t>
        </is>
      </c>
      <c r="G264" s="83" t="inlineStr">
        <is>
          <t>(+2) p_generic_post — https://web.archive.org/web/2024/https://www.geaerospace.com/company/inclusion-diversity [documented as of 2024; credited from 2015 per methodology]</t>
        </is>
      </c>
    </row>
    <row r="265">
      <c r="A265" s="83" t="inlineStr">
        <is>
          <t>Caterpillar</t>
        </is>
      </c>
      <c r="B265" s="83" t="n">
        <v>2015</v>
      </c>
      <c r="C265" s="83" t="n">
        <v>67</v>
      </c>
      <c r="D265" s="83" t="inlineStr"/>
      <c r="E265" s="83" t="inlineStr">
        <is>
          <t>Baseline</t>
        </is>
      </c>
      <c r="F265" s="83" t="inlineStr">
        <is>
          <t>2015 baseline = 67. Math: 50 +2 capped cosmetic/commercial +15 civic/financial/structural +0 negatives. Positive evidence in force: Pride posts and engagement (through 2024) (+2); Funded LGBTQ+ employee resource group (+15)</t>
        </is>
      </c>
      <c r="G265" s="83" t="inlineStr">
        <is>
          <t>(+2) p_generic_post — https://web.archive.org/web/2024/https://www.caterpillar.com/en/careers/culture/diversity-inclusion.html [documented as of 2024; credited from 2015 per methodology] || (+15) p_erg_support — https://web.archive.org/web/2024/https://www.caterpillar.com/en/careers/culture/diversity-inclusion.html [documented as of 2024; credited from 2015 per methodology]</t>
        </is>
      </c>
    </row>
    <row r="266">
      <c r="A266" s="83" t="inlineStr">
        <is>
          <t>Caterpillar</t>
        </is>
      </c>
      <c r="B266" s="83" t="n">
        <v>2024</v>
      </c>
      <c r="C266" s="83" t="n">
        <v>35</v>
      </c>
      <c r="D266" s="83" t="n">
        <v>-32</v>
      </c>
      <c r="E266" s="83" t="inlineStr">
        <is>
          <t>Change</t>
        </is>
      </c>
      <c r="F266" s="83" t="inlineStr">
        <is>
          <t>Score falls from 67 to 35 (-32). Driver(s): n_dei_removal (-32): Restricted DEI training and required senior approval for external surveys/awards after activist pressure. New total: 50 +2 capped cosmetic/commercial +15 civic/financial/structural -32 negatives = 35.</t>
        </is>
      </c>
      <c r="G266" s="83" t="inlineStr">
        <is>
          <t>(-32) n_dei_removal — https://www.wglt.org/illinois/2024-09-20/caterpillar-pulls-back-on-some-dei-policies-after-conservative-activist-sets-sights-on-company</t>
        </is>
      </c>
    </row>
    <row r="267">
      <c r="A267" s="83" t="inlineStr">
        <is>
          <t>Deere &amp; Company</t>
        </is>
      </c>
      <c r="B267" s="83" t="n">
        <v>2015</v>
      </c>
      <c r="C267" s="83" t="n">
        <v>79</v>
      </c>
      <c r="D267" s="83" t="inlineStr"/>
      <c r="E267" s="83" t="inlineStr">
        <is>
          <t>Baseline</t>
        </is>
      </c>
      <c r="F267" s="83" t="inlineStr">
        <is>
          <t>2015 baseline = 79. Math: 50 +2 capped cosmetic/commercial +27 civic/financial/structural +0 negatives. Positive evidence in force: Pride posts and engagement (through 2024) (+2); Funded LGBTQ+ employee resource group (+15); Pride/cultural event sponsorships (ended Jul 2024) (+12)</t>
        </is>
      </c>
      <c r="G267" s="83" t="inlineStr">
        <is>
          <t>(+2) p_generic_post — https://web.archive.org/web/2024/https://www.deere.com/en/our-company/inclusion/ [documented as of 2024; credited from 2015 per methodology] || (+15) p_erg_support — https://web.archive.org/web/2024/https://www.deere.com/en/our-company/inclusion/ [documented as of 2024; credited from 2015 per methodology] || (+12) p_parade_sponsor — https://www.hrc.org/press-releases/hrc-foundation-announces-record-participation-in-upcoming-2025-corporate-equality-index-docks-scores-of-seven-companies-in-current-ranking-following-their-pullback-from-workplace-inclusion [documented as of 2024; credited from 2015 per methodology]</t>
        </is>
      </c>
    </row>
    <row r="268">
      <c r="A268" s="83" t="inlineStr">
        <is>
          <t>Deere &amp; Company</t>
        </is>
      </c>
      <c r="B268" s="83" t="n">
        <v>2024</v>
      </c>
      <c r="C268" s="83" t="n">
        <v>25</v>
      </c>
      <c r="D268" s="83" t="n">
        <v>-54</v>
      </c>
      <c r="E268" s="83" t="inlineStr">
        <is>
          <t>Change</t>
        </is>
      </c>
      <c r="F268" s="83" t="inlineStr">
        <is>
          <t>Score falls from 79 to 25 (-54). Driver(s): n_dei_removal (-32): Audited training, ended external survey participation; HRC docked CEI score -25 | n_pride_retreat (-22): Ended sponsorship of 'social or cultural awareness' events including Pride. New total: 50 +2 capped cosmetic/commercial +27 civic/financial/structural -54 negatives = 25.</t>
        </is>
      </c>
      <c r="G268" s="83" t="inlineStr">
        <is>
          <t>(-32) n_dei_removal — https://www.hrc.org/press-releases/hrc-foundation-announces-record-participation-in-upcoming-2025-corporate-equality-index-docks-scores-of-seven-companies-in-current-ranking-following-their-pullback-from-workplace-inclusion || (-22) n_pride_retreat — https://fortune.com/2025/02/28/costco-apple-john-deere-anti-dei-shareholder-proposals-voted-down-trend/</t>
        </is>
      </c>
    </row>
    <row r="269">
      <c r="A269" s="83" t="inlineStr">
        <is>
          <t>UPS</t>
        </is>
      </c>
      <c r="B269" s="83" t="n">
        <v>2015</v>
      </c>
      <c r="C269" s="83" t="n">
        <v>67</v>
      </c>
      <c r="D269" s="83" t="inlineStr"/>
      <c r="E269" s="83" t="inlineStr">
        <is>
          <t>Baseline</t>
        </is>
      </c>
      <c r="F269" s="83" t="inlineStr">
        <is>
          <t>2015 baseline = 67. Math: 50 +2 capped cosmetic/commercial +15 civic/financial/structural +0 negatives. Positive evidence in force: Pride posts and engagement (through 2023) (+2); Funded LGBTQ+ business resource group (+15)</t>
        </is>
      </c>
      <c r="G269" s="83" t="inlineStr">
        <is>
          <t>(+2) p_generic_post — https://web.archive.org/web/2023/https://about.ups.com/us/en/social-impact/diversity-equity-and-inclusion.html [documented as of 2023; credited from 2015 per methodology] || (+15) p_erg_support — https://web.archive.org/web/2023/https://about.ups.com/us/en/social-impact/diversity-equity-and-inclusion.html [documented as of 2023; credited from 2015 per methodology]</t>
        </is>
      </c>
    </row>
    <row r="270">
      <c r="A270" s="83" t="inlineStr">
        <is>
          <t>UPS</t>
        </is>
      </c>
      <c r="B270" s="83" t="n">
        <v>2024</v>
      </c>
      <c r="C270" s="83" t="n">
        <v>35</v>
      </c>
      <c r="D270" s="83" t="n">
        <v>-32</v>
      </c>
      <c r="E270" s="83" t="inlineStr">
        <is>
          <t>Change</t>
        </is>
      </c>
      <c r="F270" s="83" t="inlineStr">
        <is>
          <t>Score falls from 67 to 35 (-32). Driver(s): n_dei_removal (-32): Eliminated its DEI function entirely (April 2024), incl. supplier diversity goals — confirmed by company statement. New total: 50 +2 capped cosmetic/commercial +15 civic/financial/structural -32 negatives = 35.</t>
        </is>
      </c>
      <c r="G270" s="83" t="inlineStr">
        <is>
          <t>(-32) n_dei_removal — https://www.livenowfox.com/news/companies-roll-back-dei-policies</t>
        </is>
      </c>
    </row>
    <row r="271">
      <c r="A271" s="83" t="inlineStr">
        <is>
          <t>FedEx</t>
        </is>
      </c>
      <c r="B271" s="83" t="n">
        <v>2015</v>
      </c>
      <c r="C271" s="83" t="n">
        <v>67</v>
      </c>
      <c r="D271" s="83" t="inlineStr"/>
      <c r="E271" s="83" t="inlineStr">
        <is>
          <t>Baseline</t>
        </is>
      </c>
      <c r="F271" s="83" t="inlineStr">
        <is>
          <t>2015 baseline = 67. Math: 50 +2 capped cosmetic/commercial +15 civic/financial/structural +0 negatives. Positive evidence in force: Pride posts and engagement (+2); Funded LGBTQ+ employee resource group (+15)</t>
        </is>
      </c>
      <c r="G271" s="83" t="inlineStr">
        <is>
          <t>(+2) p_generic_post — https://web.archive.org/web/2024/https://careers.fedex.com/fedex/diversity [documented as of 2024; credited from 2015 per methodology] || (+15) p_erg_support — https://web.archive.org/web/2024/https://careers.fedex.com/fedex/diversity [documented as of 2024; credited from 2015 per methodology]</t>
        </is>
      </c>
    </row>
    <row r="272">
      <c r="A272" s="83" t="inlineStr">
        <is>
          <t>FedEx</t>
        </is>
      </c>
      <c r="B272" s="83" t="n">
        <v>2021</v>
      </c>
      <c r="C272" s="83" t="n">
        <v>37</v>
      </c>
      <c r="D272" s="83" t="n">
        <v>-30</v>
      </c>
      <c r="E272" s="83" t="inlineStr">
        <is>
          <t>Change</t>
        </is>
      </c>
      <c r="F272" s="83" t="inlineStr">
        <is>
          <t>Score falls from 67 to 37 (-30). Driver(s): n_anti_lgbtq_donations (-30): Documented $79,700 to 24 anti-LGBTQ+ bill sponsors across 2 states, 2019-2022 (Data for Progress). New total: 50 +2 capped cosmetic/commercial +15 civic/financial/structural -30 negatives = 37.</t>
        </is>
      </c>
      <c r="G272" s="83" t="inlineStr">
        <is>
          <t>(-30) n_anti_lgbtq_donations — https://www.filesforprogress.org/datasets/2022/5/AccountableAllies-Data.pdf</t>
        </is>
      </c>
    </row>
    <row r="273">
      <c r="A273" s="83" t="inlineStr">
        <is>
          <t>Sirius XM</t>
        </is>
      </c>
      <c r="B273" s="83" t="n">
        <v>2015</v>
      </c>
      <c r="C273" s="83" t="n">
        <v>50</v>
      </c>
      <c r="D273" s="83" t="inlineStr"/>
      <c r="E273" s="83" t="inlineStr">
        <is>
          <t>Baseline</t>
        </is>
      </c>
      <c r="F273" s="83" t="inlineStr">
        <is>
          <t>2015 baseline = 50 (neutral). No documented LGBTQ+-related actions, positive or negative, attributable to this year; the company starts at the index's no-engagement baseline.</t>
        </is>
      </c>
      <c r="G273" s="83" t="inlineStr"/>
    </row>
    <row r="274">
      <c r="A274" s="83" t="inlineStr">
        <is>
          <t>Sirius XM</t>
        </is>
      </c>
      <c r="B274" s="83" t="n">
        <v>2024</v>
      </c>
      <c r="C274" s="83" t="n">
        <v>58</v>
      </c>
      <c r="D274" s="83" t="n">
        <v>8</v>
      </c>
      <c r="E274" s="83" t="inlineStr">
        <is>
          <t>Change</t>
        </is>
      </c>
      <c r="F274" s="83" t="inlineStr">
        <is>
          <t>Score rises from 50 to 58 (+8). Driver(s): p_collab (+8): LGBTQ+ programming and hosts (Radio Andy; OutQ channel legacy). New total: 50 +8 capped cosmetic/commercial +0 civic/financial/structural +0 negatives = 58.</t>
        </is>
      </c>
      <c r="G274" s="83" t="inlineStr">
        <is>
          <t>(+8) p_collab — https://web.archive.org/web/2024/https://www.siriusxm.com/channels/radio-andy</t>
        </is>
      </c>
    </row>
    <row r="275">
      <c r="A275" s="83" t="inlineStr">
        <is>
          <t>Fox Corporation</t>
        </is>
      </c>
      <c r="B275" s="83" t="n">
        <v>2015</v>
      </c>
      <c r="C275" s="83" t="n">
        <v>65</v>
      </c>
      <c r="D275" s="83" t="inlineStr"/>
      <c r="E275" s="83" t="inlineStr">
        <is>
          <t>Baseline</t>
        </is>
      </c>
      <c r="F275" s="83" t="inlineStr">
        <is>
          <t>2015 baseline = 65. Math: 50 +0 capped cosmetic/commercial +15 civic/financial/structural +0 negatives. Positive evidence in force: Funded internal LGBTQ+ employee resource group; high CEI scores histo… (+15)</t>
        </is>
      </c>
      <c r="G275" s="83" t="inlineStr">
        <is>
          <t>(+15) p_erg_support — https://web.archive.org/web/2022/https://www.foxcorporation.com/ [documented as of 2022; credited from 2015 per methodology]</t>
        </is>
      </c>
    </row>
    <row r="276">
      <c r="A276" s="83" t="inlineStr">
        <is>
          <t>Fox Corporation</t>
        </is>
      </c>
      <c r="B276" s="83" t="n">
        <v>2024</v>
      </c>
      <c r="C276" s="83" t="n">
        <v>47</v>
      </c>
      <c r="D276" s="83" t="n">
        <v>-18</v>
      </c>
      <c r="E276" s="83" t="inlineStr">
        <is>
          <t>Change</t>
        </is>
      </c>
      <c r="F276" s="83" t="inlineStr">
        <is>
          <t>Score falls from 65 to 47 (-18). Driver(s): n_selective (-10): Fox News programming extensively documented targeting transgender people (hundreds of segments tracked) | n_greenwashing (-8): Internal inclusion branding/CEI participation while flagship programming attacks the community. New total: 50 +0 capped cosmetic/commercial +15 civic/financial/structural -18 negatives = 47.</t>
        </is>
      </c>
      <c r="G276" s="83" t="inlineStr">
        <is>
          <t>(-10) n_selective — https://www.mediamatters.org/fox-news || (-8) n_greenwashing — https://www.mediamatters.org/fox-news</t>
        </is>
      </c>
    </row>
    <row r="277">
      <c r="A277" s="83" t="inlineStr">
        <is>
          <t>Tractor Supply Co.</t>
        </is>
      </c>
      <c r="B277" s="83" t="n">
        <v>2015</v>
      </c>
      <c r="C277" s="83" t="n">
        <v>82</v>
      </c>
      <c r="D277" s="83" t="inlineStr"/>
      <c r="E277" s="83" t="inlineStr">
        <is>
          <t>Baseline</t>
        </is>
      </c>
      <c r="F277" s="83" t="inlineStr">
        <is>
          <t>2015 baseline = 82. Math: 50 +5 capped cosmetic/commercial +27 civic/financial/structural +0 negatives. Positive evidence in force: Pride branding (through 2023) (+3); Pride posts and engagement (through 2023) (+2); Pride festival sponsorships (ended June 2024) (+12); DEI roles/team supporting employee inclusion groups (eliminated June… (+15)</t>
        </is>
      </c>
      <c r="G277" s="83" t="inlineStr">
        <is>
          <t>(+3) p_logo_rainbow — https://web.archive.org/web/2023/https://corporate.tractorsupply.com/ [documented as of 2023; credited from 2015 per methodology] || (+2) p_generic_post — https://web.archive.org/web/2023/https://corporate.tractorsupply.com/ [documented as of 2023; credited from 2015 per methodology] || (+12) p_parade_sponsor — https://www.cnbc.com/2024/06/28/tractor-supply-ends-dei-pride-support-carbon-goals.html [documented as of 2024; credited from 2015 per methodology] || (+15) p_erg_support — https://www.hrdive.com/news/tractor-supply-slashes-dei-roles-carbon-emission-goals-pride-support/720210/ [documented as of 2024; credited from 2015 per methodology]</t>
        </is>
      </c>
    </row>
    <row r="278">
      <c r="A278" s="83" t="inlineStr">
        <is>
          <t>Tractor Supply Co.</t>
        </is>
      </c>
      <c r="B278" s="83" t="n">
        <v>2024</v>
      </c>
      <c r="C278" s="83" t="n">
        <v>28</v>
      </c>
      <c r="D278" s="83" t="n">
        <v>-54</v>
      </c>
      <c r="E278" s="83" t="inlineStr">
        <is>
          <t>Change</t>
        </is>
      </c>
      <c r="F278" s="83" t="inlineStr">
        <is>
          <t>Score falls from 82 to 28 (-54). Driver(s): n_dei_removal (-32): Eliminated all DEI roles and goals after one-week pressure campaign; HRC docked CEI score | n_pride_retreat (-22): Ended Pride festival sponsorships and LGBTQ+ community support. New total: 50 +5 capped cosmetic/commercial +27 civic/financial/structural -54 negatives = 28.</t>
        </is>
      </c>
      <c r="G278" s="83" t="inlineStr">
        <is>
          <t>(-32) n_dei_removal — https://www.npr.org/2024/06/28/nx-s1-5022816/tractor-supply-dei-climate-backlash || (-22) n_pride_retreat — https://www.cnbc.com/2024/06/28/tractor-supply-ends-dei-pride-support-carbon-goals.html</t>
        </is>
      </c>
    </row>
    <row r="279">
      <c r="A279" s="83" t="inlineStr">
        <is>
          <t>Dick's Sporting Goods</t>
        </is>
      </c>
      <c r="B279" s="83" t="n">
        <v>2015</v>
      </c>
      <c r="C279" s="83" t="n">
        <v>52</v>
      </c>
      <c r="D279" s="83" t="inlineStr"/>
      <c r="E279" s="83" t="inlineStr">
        <is>
          <t>Baseline</t>
        </is>
      </c>
      <c r="F279" s="83" t="inlineStr">
        <is>
          <t>2015 baseline = 52. Math: 50 +2 capped cosmetic/commercial +0 civic/financial/structural +0 negatives. Positive evidence in force: Occasional Pride posts (+2)</t>
        </is>
      </c>
      <c r="G279" s="83" t="inlineStr">
        <is>
          <t>(+2) p_generic_post — https://web.archive.org/web/2024/https://www.dickssportinggoods.com/ [documented as of 2024; credited from 2015 per methodology]</t>
        </is>
      </c>
    </row>
    <row r="280">
      <c r="A280" s="83" t="inlineStr">
        <is>
          <t>AutoZone</t>
        </is>
      </c>
      <c r="B280" s="83" t="n">
        <v>2015</v>
      </c>
      <c r="C280" s="83" t="n">
        <v>50</v>
      </c>
      <c r="D280" s="83" t="inlineStr"/>
      <c r="E280" s="83" t="inlineStr">
        <is>
          <t>Baseline</t>
        </is>
      </c>
      <c r="F280" s="83" t="inlineStr">
        <is>
          <t>2015 baseline = 50 (neutral). No documented LGBTQ+-related actions, positive or negative, attributable to this year; the company starts at the index's no-engagement baseline.</t>
        </is>
      </c>
      <c r="G280" s="83" t="inlineStr"/>
    </row>
    <row r="281">
      <c r="A281" s="83" t="inlineStr">
        <is>
          <t>Bath &amp; Body Works</t>
        </is>
      </c>
      <c r="B281" s="83" t="n">
        <v>2015</v>
      </c>
      <c r="C281" s="83" t="n">
        <v>55</v>
      </c>
      <c r="D281" s="83" t="inlineStr"/>
      <c r="E281" s="83" t="inlineStr">
        <is>
          <t>Baseline</t>
        </is>
      </c>
      <c r="F281" s="83" t="inlineStr">
        <is>
          <t>2015 baseline = 55. Math: 50 +5 capped cosmetic/commercial +0 civic/financial/structural +0 negatives. Positive evidence in force: Pride campaign branding (+3); Annual Pride posts (+2)</t>
        </is>
      </c>
      <c r="G281" s="83" t="inlineStr">
        <is>
          <t>(+3) p_logo_rainbow — https://web.archive.org/web/2024/https://www.bathandbodyworks.com/ [documented as of 2024; credited from 2015 per methodology] || (+2) p_generic_post — https://web.archive.org/web/2024/https://www.bathandbodyworks.com/ [documented as of 2024; credited from 2015 per methodology]</t>
        </is>
      </c>
    </row>
    <row r="282">
      <c r="A282" s="83" t="inlineStr">
        <is>
          <t>Bath &amp; Body Works</t>
        </is>
      </c>
      <c r="B282" s="83" t="n">
        <v>2021</v>
      </c>
      <c r="C282" s="83" t="n">
        <v>61</v>
      </c>
      <c r="D282" s="83" t="n">
        <v>6</v>
      </c>
      <c r="E282" s="83" t="inlineStr">
        <is>
          <t>Change</t>
        </is>
      </c>
      <c r="F282" s="83" t="inlineStr">
        <is>
          <t>Score rises from 55 to 61 (+6). Driver(s): p_merch_collection (+6): Annual Pride merchandise collections (rainbow candles, body care), maintained through backlash. New total: 50 +11 capped cosmetic/commercial +0 civic/financial/structural +0 negatives = 61.</t>
        </is>
      </c>
      <c r="G282" s="83" t="inlineStr">
        <is>
          <t>(+6) p_merch_collection — https://web.archive.org/web/2024/https://www.bathandbodyworks.com/c/pride</t>
        </is>
      </c>
    </row>
    <row r="283">
      <c r="A283" s="83" t="inlineStr">
        <is>
          <t>Publix</t>
        </is>
      </c>
      <c r="B283" s="83" t="n">
        <v>2015</v>
      </c>
      <c r="C283" s="83" t="n">
        <v>50</v>
      </c>
      <c r="D283" s="83" t="inlineStr"/>
      <c r="E283" s="83" t="inlineStr">
        <is>
          <t>Baseline</t>
        </is>
      </c>
      <c r="F283" s="83" t="inlineStr">
        <is>
          <t>2015 baseline = 50 (neutral). No documented LGBTQ+-related actions, positive or negative, attributable to this year; the company starts at the index's no-engagement baseline.</t>
        </is>
      </c>
      <c r="G283" s="83" t="inlineStr"/>
    </row>
    <row r="284">
      <c r="A284" s="83" t="inlineStr">
        <is>
          <t>Publix</t>
        </is>
      </c>
      <c r="B284" s="83" t="n">
        <v>2018</v>
      </c>
      <c r="C284" s="83" t="n">
        <v>40</v>
      </c>
      <c r="D284" s="83" t="n">
        <v>-10</v>
      </c>
      <c r="E284" s="83" t="inlineStr">
        <is>
          <t>Change</t>
        </is>
      </c>
      <c r="F284" s="83" t="inlineStr">
        <is>
          <t>Score falls from 50 to 40 (-10). Driver(s): n_selective (-10): Refused PrEP HIV-prevention coverage in employee health plans until forced reversal by national outcry (Feb 2018). New total: 50 +0 capped cosmetic/commercial +0 civic/financial/structural -10 negatives = 40.</t>
        </is>
      </c>
      <c r="G284" s="83" t="inlineStr">
        <is>
          <t>(-10) n_selective — https://www.advocate.com/hiv/2018/2/06/publix-reverses-will-begin-covering-prep</t>
        </is>
      </c>
    </row>
    <row r="285">
      <c r="A285" s="83" t="inlineStr">
        <is>
          <t>Publix</t>
        </is>
      </c>
      <c r="B285" s="83" t="n">
        <v>2022</v>
      </c>
      <c r="C285" s="83" t="n">
        <v>10</v>
      </c>
      <c r="D285" s="83" t="n">
        <v>-30</v>
      </c>
      <c r="E285" s="83" t="inlineStr">
        <is>
          <t>Change</t>
        </is>
      </c>
      <c r="F285" s="83" t="inlineStr">
        <is>
          <t>Score falls from 40 to 10 (-30). Driver(s): n_anti_lgbtq_donations (-30): Political contributions to Florida legislators sponsoring anti-LGBTQ+ legislation incl. 'Don't Say Gay' sponsors. New total: 50 +0 capped cosmetic/commercial +0 civic/financial/structural -40 negatives = 10.</t>
        </is>
      </c>
      <c r="G285" s="83" t="inlineStr">
        <is>
          <t>(-30) n_anti_lgbtq_donations — https://en.wikipedia.org/wiki/Publix</t>
        </is>
      </c>
    </row>
    <row r="286">
      <c r="A286" s="83" t="inlineStr">
        <is>
          <t>Hobby Lobby</t>
        </is>
      </c>
      <c r="B286" s="83" t="n">
        <v>2015</v>
      </c>
      <c r="C286" s="83" t="n">
        <v>5</v>
      </c>
      <c r="D286" s="83" t="inlineStr"/>
      <c r="E286" s="83" t="inlineStr">
        <is>
          <t>Baseline</t>
        </is>
      </c>
      <c r="F286" s="83" t="inlineStr">
        <is>
          <t>2015 baseline = 5. Math: 50 +0 capped cosmetic/commercial +0 civic/financial/structural -45 negatives. Negative record in force: Litigated against trans employee Meggan Sommerville's restroom access… (-10); Owner giving channels substantial Hobby Lobby profits to anti-LGBTQ+… (-35)</t>
        </is>
      </c>
      <c r="G286" s="83" t="inlineStr">
        <is>
          <t>(-10) n_selective — https://en.wikipedia.org/wiki/Hobby_Lobby || (-35) n_anti_lgbtq_orgs — https://en.wikipedia.org/wiki/Hobby_Lobby</t>
        </is>
      </c>
    </row>
    <row r="287">
      <c r="A287" s="83" t="inlineStr">
        <is>
          <t>Ross Stores / Ross Dress for Less</t>
        </is>
      </c>
      <c r="B287" s="83" t="n">
        <v>2015</v>
      </c>
      <c r="C287" s="83" t="n">
        <v>50</v>
      </c>
      <c r="D287" s="83" t="inlineStr"/>
      <c r="E287" s="83" t="inlineStr">
        <is>
          <t>Baseline</t>
        </is>
      </c>
      <c r="F287" s="83" t="inlineStr">
        <is>
          <t>2015 baseline = 50 (neutral). No documented LGBTQ+-related actions, positive or negative, attributable to this year; the company starts at the index's no-engagement baseline.</t>
        </is>
      </c>
      <c r="G287" s="83" t="inlineStr"/>
    </row>
    <row r="288">
      <c r="A288" s="83" t="inlineStr">
        <is>
          <t>Burlington Stores</t>
        </is>
      </c>
      <c r="B288" s="83" t="n">
        <v>2015</v>
      </c>
      <c r="C288" s="83" t="n">
        <v>50</v>
      </c>
      <c r="D288" s="83" t="inlineStr"/>
      <c r="E288" s="83" t="inlineStr">
        <is>
          <t>Baseline</t>
        </is>
      </c>
      <c r="F288" s="83" t="inlineStr">
        <is>
          <t>2015 baseline = 50 (neutral). No documented LGBTQ+-related actions, positive or negative, attributable to this year; the company starts at the index's no-engagement baseline.</t>
        </is>
      </c>
      <c r="G288" s="83" t="inlineStr"/>
    </row>
    <row r="289">
      <c r="A289" s="83" t="inlineStr">
        <is>
          <t>Ulta Beauty</t>
        </is>
      </c>
      <c r="B289" s="83" t="n">
        <v>2015</v>
      </c>
      <c r="C289" s="83" t="n">
        <v>52</v>
      </c>
      <c r="D289" s="83" t="inlineStr"/>
      <c r="E289" s="83" t="inlineStr">
        <is>
          <t>Baseline</t>
        </is>
      </c>
      <c r="F289" s="83" t="inlineStr">
        <is>
          <t>2015 baseline = 52. Math: 50 +2 capped cosmetic/commercial +0 civic/financial/structural +0 negatives. Positive evidence in force: Annual Pride posts and campaigns (+2)</t>
        </is>
      </c>
      <c r="G289" s="83" t="inlineStr">
        <is>
          <t>(+2) p_generic_post — https://web.archive.org/web/2024/https://www.ulta.com/ [documented as of 2024; credited from 2015 per methodology]</t>
        </is>
      </c>
    </row>
    <row r="290">
      <c r="A290" s="83" t="inlineStr">
        <is>
          <t>Ulta Beauty</t>
        </is>
      </c>
      <c r="B290" s="83" t="n">
        <v>2018</v>
      </c>
      <c r="C290" s="83" t="n">
        <v>58</v>
      </c>
      <c r="D290" s="83" t="n">
        <v>6</v>
      </c>
      <c r="E290" s="83" t="inlineStr">
        <is>
          <t>Change</t>
        </is>
      </c>
      <c r="F290" s="83" t="inlineStr">
        <is>
          <t>Score rises from 52 to 58 (+6). Driver(s): p_merch_collection (+6): Annual Pride merchandise assortment. New total: 50 +8 capped cosmetic/commercial +0 civic/financial/structural +0 negatives = 58.</t>
        </is>
      </c>
      <c r="G290" s="83" t="inlineStr">
        <is>
          <t>(+6) p_merch_collection — https://web.archive.org/web/2024/https://www.ulta.com/discover/pride</t>
        </is>
      </c>
    </row>
    <row r="291">
      <c r="A291" s="83" t="inlineStr">
        <is>
          <t>Ulta Beauty</t>
        </is>
      </c>
      <c r="B291" s="83" t="n">
        <v>2022</v>
      </c>
      <c r="C291" s="83" t="n">
        <v>66</v>
      </c>
      <c r="D291" s="83" t="n">
        <v>8</v>
      </c>
      <c r="E291" s="83" t="inlineStr">
        <is>
          <t>Change</t>
        </is>
      </c>
      <c r="F291" s="83" t="inlineStr">
        <is>
          <t>Score rises from 58 to 66 (+8). Driver(s): p_collab (+8): 'The Beauty Of' episode with trans creator Dylan Mulvaney, kept live and defended amid boycott calls. New total: 50 +16 capped cosmetic/commercial +0 civic/financial/structural +0 negatives = 66.</t>
        </is>
      </c>
      <c r="G291" s="83" t="inlineStr">
        <is>
          <t>(+8) p_collab — https://en.wikipedia.org/wiki/Dylan_Mulvaney</t>
        </is>
      </c>
    </row>
    <row r="292">
      <c r="A292" s="83" t="inlineStr">
        <is>
          <t>Wayfair</t>
        </is>
      </c>
      <c r="B292" s="83" t="n">
        <v>2015</v>
      </c>
      <c r="C292" s="83" t="n">
        <v>52</v>
      </c>
      <c r="D292" s="83" t="inlineStr"/>
      <c r="E292" s="83" t="inlineStr">
        <is>
          <t>Baseline</t>
        </is>
      </c>
      <c r="F292" s="83" t="inlineStr">
        <is>
          <t>2015 baseline = 52. Math: 50 +2 capped cosmetic/commercial +0 civic/financial/structural +0 negatives. Positive evidence in force: Occasional Pride posts and seasonal assortments (+2)</t>
        </is>
      </c>
      <c r="G292" s="83" t="inlineStr">
        <is>
          <t>(+2) p_generic_post — https://web.archive.org/web/2024/https://www.wayfair.com/ [documented as of 2024; credited from 2015 per methodology]</t>
        </is>
      </c>
    </row>
    <row r="293">
      <c r="A293" s="83" t="inlineStr">
        <is>
          <t>Chewy</t>
        </is>
      </c>
      <c r="B293" s="83" t="n">
        <v>2015</v>
      </c>
      <c r="C293" s="83" t="n">
        <v>50</v>
      </c>
      <c r="D293" s="83" t="inlineStr"/>
      <c r="E293" s="83" t="inlineStr">
        <is>
          <t>Baseline</t>
        </is>
      </c>
      <c r="F293" s="83" t="inlineStr">
        <is>
          <t>2015 baseline = 50 (neutral). No documented LGBTQ+-related actions, positive or negative, attributable to this year; the company starts at the index's no-engagement baseline.</t>
        </is>
      </c>
      <c r="G293" s="83" t="inlineStr"/>
    </row>
    <row r="294">
      <c r="A294" s="83" t="inlineStr">
        <is>
          <t>Lululemon</t>
        </is>
      </c>
      <c r="B294" s="83" t="n">
        <v>2015</v>
      </c>
      <c r="C294" s="83" t="n">
        <v>55</v>
      </c>
      <c r="D294" s="83" t="inlineStr"/>
      <c r="E294" s="83" t="inlineStr">
        <is>
          <t>Baseline</t>
        </is>
      </c>
      <c r="F294" s="83" t="inlineStr">
        <is>
          <t>2015 baseline = 55. Math: 50 +5 capped cosmetic/commercial +0 civic/financial/structural +0 negatives. Positive evidence in force: Pride campaign branding (+3); Annual Pride posts and community events (+2)</t>
        </is>
      </c>
      <c r="G294" s="83" t="inlineStr">
        <is>
          <t>(+3) p_logo_rainbow — https://web.archive.org/web/2024/https://shop.lululemon.com/ [documented as of 2024; credited from 2015 per methodology] || (+2) p_generic_post — https://web.archive.org/web/2024/https://corporate.lululemon.com/our-impact/inclusion-diversity-equity-and-action [documented as of 2024; credited from 2015 per methodology]</t>
        </is>
      </c>
    </row>
    <row r="295">
      <c r="A295" s="83" t="inlineStr">
        <is>
          <t>Under Armour</t>
        </is>
      </c>
      <c r="B295" s="83" t="n">
        <v>2015</v>
      </c>
      <c r="C295" s="83" t="n">
        <v>52</v>
      </c>
      <c r="D295" s="83" t="inlineStr"/>
      <c r="E295" s="83" t="inlineStr">
        <is>
          <t>Baseline</t>
        </is>
      </c>
      <c r="F295" s="83" t="inlineStr">
        <is>
          <t>2015 baseline = 52. Math: 50 +2 capped cosmetic/commercial +0 civic/financial/structural +0 negatives. Positive evidence in force: Occasional Pride posts (+2)</t>
        </is>
      </c>
      <c r="G295" s="83" t="inlineStr">
        <is>
          <t>(+2) p_generic_post — https://web.archive.org/web/2024/https://about.underarmour.com/ [documented as of 2024; credited from 2015 per methodology]</t>
        </is>
      </c>
    </row>
    <row r="296">
      <c r="A296" s="83" t="inlineStr">
        <is>
          <t>VF Corp.</t>
        </is>
      </c>
      <c r="B296" s="83" t="n">
        <v>2015</v>
      </c>
      <c r="C296" s="83" t="n">
        <v>55</v>
      </c>
      <c r="D296" s="83" t="inlineStr"/>
      <c r="E296" s="83" t="inlineStr">
        <is>
          <t>Baseline</t>
        </is>
      </c>
      <c r="F296" s="83" t="inlineStr">
        <is>
          <t>2015 baseline = 55. Math: 50 +5 capped cosmetic/commercial +0 civic/financial/structural +0 negatives. Positive evidence in force: Pride campaign branding across brands (+3); Annual Pride posts across brands (+2)</t>
        </is>
      </c>
      <c r="G296" s="83" t="inlineStr">
        <is>
          <t>(+3) p_logo_rainbow — https://web.archive.org/web/2024/https://www.vfc.com/ [documented as of 2024; credited from 2015 per methodology] || (+2) p_generic_post — https://web.archive.org/web/2024/https://www.vfc.com/ [documented as of 2024; credited from 2015 per methodology]</t>
        </is>
      </c>
    </row>
    <row r="297">
      <c r="A297" s="83" t="inlineStr">
        <is>
          <t>VF Corp.</t>
        </is>
      </c>
      <c r="B297" s="83" t="n">
        <v>2017</v>
      </c>
      <c r="C297" s="83" t="n">
        <v>61</v>
      </c>
      <c r="D297" s="83" t="n">
        <v>6</v>
      </c>
      <c r="E297" s="83" t="inlineStr">
        <is>
          <t>Change</t>
        </is>
      </c>
      <c r="F297" s="83" t="inlineStr">
        <is>
          <t>Score rises from 55 to 61 (+6). Driver(s): p_merch_collection (+6): Vans and The North Face Pride collections (recurring). New total: 50 +11 capped cosmetic/commercial +0 civic/financial/structural +0 negatives = 61.</t>
        </is>
      </c>
      <c r="G297" s="83" t="inlineStr">
        <is>
          <t>(+6) p_merch_collection — https://web.archive.org/web/2024/https://www.vans.com/en-us/featured/pride</t>
        </is>
      </c>
    </row>
    <row r="298">
      <c r="A298" s="83" t="inlineStr">
        <is>
          <t>VF Corp.</t>
        </is>
      </c>
      <c r="B298" s="83" t="n">
        <v>2023</v>
      </c>
      <c r="C298" s="83" t="n">
        <v>69</v>
      </c>
      <c r="D298" s="83" t="n">
        <v>8</v>
      </c>
      <c r="E298" s="83" t="inlineStr">
        <is>
          <t>Change</t>
        </is>
      </c>
      <c r="F298" s="83" t="inlineStr">
        <is>
          <t>Score rises from 61 to 69 (+8). Driver(s): p_collab (+8): The North Face 'Summer of Pride' with Pattie Gonia, maintained through 2023 boycott. New total: 50 +19 capped cosmetic/commercial +0 civic/financial/structural +0 negatives = 69.</t>
        </is>
      </c>
      <c r="G298" s="83" t="inlineStr">
        <is>
          <t>(+8) p_collab — https://en.wikipedia.org/wiki/Pattie_Gonia</t>
        </is>
      </c>
    </row>
    <row r="299">
      <c r="A299" s="83" t="inlineStr">
        <is>
          <t>Tapestry</t>
        </is>
      </c>
      <c r="B299" s="83" t="n">
        <v>2015</v>
      </c>
      <c r="C299" s="83" t="n">
        <v>55</v>
      </c>
      <c r="D299" s="83" t="inlineStr"/>
      <c r="E299" s="83" t="inlineStr">
        <is>
          <t>Baseline</t>
        </is>
      </c>
      <c r="F299" s="83" t="inlineStr">
        <is>
          <t>2015 baseline = 55. Math: 50 +5 capped cosmetic/commercial +0 civic/financial/structural +0 negatives. Positive evidence in force: Pride campaign branding (Coach, Kate Spade) (+3); Annual Pride posts (+2)</t>
        </is>
      </c>
      <c r="G299" s="83" t="inlineStr">
        <is>
          <t>(+3) p_logo_rainbow — https://web.archive.org/web/2024/https://www.coach.com/shop/pride [documented as of 2024; credited from 2015 per methodology] || (+2) p_generic_post — https://web.archive.org/web/2024/https://www.tapestry.com/ [documented as of 2024; credited from 2015 per methodology]</t>
        </is>
      </c>
    </row>
    <row r="300">
      <c r="A300" s="83" t="inlineStr">
        <is>
          <t>Tapestry</t>
        </is>
      </c>
      <c r="B300" s="83" t="n">
        <v>2019</v>
      </c>
      <c r="C300" s="83" t="n">
        <v>65</v>
      </c>
      <c r="D300" s="83" t="n">
        <v>10</v>
      </c>
      <c r="E300" s="83" t="inlineStr">
        <is>
          <t>Change</t>
        </is>
      </c>
      <c r="F300" s="83" t="inlineStr">
        <is>
          <t>Score rises from 55 to 65 (+10). Driver(s): p_merch_proceeds (+10): Coach Pride collections with donations to LGBTQ+ youth orgs (Hetrick-Martin Institute, CenterLink). New total: 50 +15 capped cosmetic/commercial +0 civic/financial/structural +0 negatives = 65.</t>
        </is>
      </c>
      <c r="G300" s="83" t="inlineStr">
        <is>
          <t>(+10) p_merch_proceeds — https://web.archive.org/web/2024/https://www.coach.com/shop/pride</t>
        </is>
      </c>
    </row>
    <row r="301">
      <c r="A301" s="83" t="inlineStr">
        <is>
          <t>Wendy's</t>
        </is>
      </c>
      <c r="B301" s="83" t="n">
        <v>2015</v>
      </c>
      <c r="C301" s="83" t="n">
        <v>52</v>
      </c>
      <c r="D301" s="83" t="inlineStr"/>
      <c r="E301" s="83" t="inlineStr">
        <is>
          <t>Baseline</t>
        </is>
      </c>
      <c r="F301" s="83" t="inlineStr">
        <is>
          <t>2015 baseline = 52. Math: 50 +2 capped cosmetic/commercial +0 civic/financial/structural +0 negatives. Positive evidence in force: Occasional Pride posts (+2)</t>
        </is>
      </c>
      <c r="G301" s="83" t="inlineStr">
        <is>
          <t>(+2) p_generic_post — https://web.archive.org/web/2024/https://www.wendys.com/ [documented as of 2024; credited from 2015 per methodology]</t>
        </is>
      </c>
    </row>
    <row r="302">
      <c r="A302" s="83" t="inlineStr">
        <is>
          <t>DoorDash</t>
        </is>
      </c>
      <c r="B302" s="83" t="n">
        <v>2015</v>
      </c>
      <c r="C302" s="83" t="n">
        <v>67</v>
      </c>
      <c r="D302" s="83" t="inlineStr"/>
      <c r="E302" s="83" t="inlineStr">
        <is>
          <t>Baseline</t>
        </is>
      </c>
      <c r="F302" s="83" t="inlineStr">
        <is>
          <t>2015 baseline = 67. Math: 50 +2 capped cosmetic/commercial +15 civic/financial/structural +0 negatives. Positive evidence in force: Annual Pride posts and LGBTQ+-owned merchant spotlights (+2); Funded Pride@DoorDash employee resource group (+15)</t>
        </is>
      </c>
      <c r="G302" s="83" t="inlineStr">
        <is>
          <t>(+2) p_generic_post — https://web.archive.org/web/2024/https://about.doordash.com/ [documented as of 2024; credited from 2015 per methodology] || (+15) p_erg_support — https://web.archive.org/web/2024/https://careersatdoordash.com/ [documented as of 2024; credited from 2015 per methodology]</t>
        </is>
      </c>
    </row>
    <row r="303">
      <c r="A303" s="83" t="inlineStr">
        <is>
          <t>Mars, Inc.</t>
        </is>
      </c>
      <c r="B303" s="83" t="n">
        <v>2015</v>
      </c>
      <c r="C303" s="83" t="n">
        <v>52</v>
      </c>
      <c r="D303" s="83" t="inlineStr"/>
      <c r="E303" s="83" t="inlineStr">
        <is>
          <t>Baseline</t>
        </is>
      </c>
      <c r="F303" s="83" t="inlineStr">
        <is>
          <t>2015 baseline = 52. Math: 50 +2 capped cosmetic/commercial +0 civic/financial/structural +0 negatives. Positive evidence in force: Pride posts and inclusive brand campaigns (+2)</t>
        </is>
      </c>
      <c r="G303" s="83" t="inlineStr">
        <is>
          <t>(+2) p_generic_post — https://web.archive.org/web/2024/https://www.mars.com/ [documented as of 2024; credited from 2015 per methodology]</t>
        </is>
      </c>
    </row>
    <row r="304">
      <c r="A304" s="83" t="inlineStr">
        <is>
          <t>Panera Bread</t>
        </is>
      </c>
      <c r="B304" s="83" t="n">
        <v>2015</v>
      </c>
      <c r="C304" s="83" t="n">
        <v>52</v>
      </c>
      <c r="D304" s="83" t="inlineStr"/>
      <c r="E304" s="83" t="inlineStr">
        <is>
          <t>Baseline</t>
        </is>
      </c>
      <c r="F304" s="83" t="inlineStr">
        <is>
          <t>2015 baseline = 52. Math: 50 +2 capped cosmetic/commercial +0 civic/financial/structural +0 negatives. Positive evidence in force: Occasional Pride posts (+2)</t>
        </is>
      </c>
      <c r="G304" s="83" t="inlineStr">
        <is>
          <t>(+2) p_generic_post — https://web.archive.org/web/2024/https://www.panerabread.com/ [documented as of 2024; credited from 2015 per methodology]</t>
        </is>
      </c>
    </row>
    <row r="305">
      <c r="A305" s="83" t="inlineStr">
        <is>
          <t>State Farm</t>
        </is>
      </c>
      <c r="B305" s="83" t="n">
        <v>2015</v>
      </c>
      <c r="C305" s="83" t="n">
        <v>52</v>
      </c>
      <c r="D305" s="83" t="inlineStr"/>
      <c r="E305" s="83" t="inlineStr">
        <is>
          <t>Baseline</t>
        </is>
      </c>
      <c r="F305" s="83" t="inlineStr">
        <is>
          <t>2015 baseline = 52. Math: 50 +2 capped cosmetic/commercial +0 civic/financial/structural +0 negatives. Positive evidence in force: Pride posts and engagement (through 2022) (+2)</t>
        </is>
      </c>
      <c r="G305" s="83" t="inlineStr">
        <is>
          <t>(+2) p_generic_post — https://web.archive.org/web/2022/https://www.statefarm.com/about-us/diversity-inclusion [documented as of 2022; credited from 2015 per methodology]</t>
        </is>
      </c>
    </row>
    <row r="306">
      <c r="A306" s="83" t="inlineStr">
        <is>
          <t>State Farm</t>
        </is>
      </c>
      <c r="B306" s="83" t="n">
        <v>2021</v>
      </c>
      <c r="C306" s="83" t="n">
        <v>22</v>
      </c>
      <c r="D306" s="83" t="n">
        <v>-30</v>
      </c>
      <c r="E306" s="83" t="inlineStr">
        <is>
          <t>Change</t>
        </is>
      </c>
      <c r="F306" s="83" t="inlineStr">
        <is>
          <t>Score falls from 52 to 22 (-30). Driver(s): n_anti_lgbtq_donations (-30): Documented $79,550 to 32 anti-LGBTQ+ bill sponsors across 3 states, 2019-2022 (Data for Progress). New total: 50 +2 capped cosmetic/commercial +0 civic/financial/structural -30 negatives = 22.</t>
        </is>
      </c>
      <c r="G306" s="83" t="inlineStr">
        <is>
          <t>(-30) n_anti_lgbtq_donations — https://www.filesforprogress.org/datasets/2022/5/AccountableAllies-Data.pdf</t>
        </is>
      </c>
    </row>
    <row r="307">
      <c r="A307" s="83" t="inlineStr">
        <is>
          <t>State Farm</t>
        </is>
      </c>
      <c r="B307" s="83" t="n">
        <v>2022</v>
      </c>
      <c r="C307" s="83" t="n">
        <v>12</v>
      </c>
      <c r="D307" s="83" t="n">
        <v>-10</v>
      </c>
      <c r="E307" s="83" t="inlineStr">
        <is>
          <t>Change</t>
        </is>
      </c>
      <c r="F307" s="83" t="inlineStr">
        <is>
          <t>Score falls from 22 to 12 (-10). Driver(s): p_community_events (+12): GenderCool Project partnership donating LGBTQ+-themed children's books via agents | n_pride_retreat (-22): Dropped GenderCool partnership within ~48 hours of conservative pressure campaign. New total: 50 +2 capped cosmetic/commercial +12 civic/financial/structural -52 negatives = 12.</t>
        </is>
      </c>
      <c r="G307" s="83" t="inlineStr">
        <is>
          <t>(+12) p_community_events — https://www.washingtonpost.com/business/2022/05/24/state-farm-lgbtq-childrens-books/ || (-22) n_pride_retreat — https://www.washingtonpost.com/business/2022/05/24/state-farm-lgbtq-childrens-books/</t>
        </is>
      </c>
    </row>
    <row r="308">
      <c r="A308" s="83" t="inlineStr">
        <is>
          <t>Geico</t>
        </is>
      </c>
      <c r="B308" s="83" t="n">
        <v>2015</v>
      </c>
      <c r="C308" s="83" t="n">
        <v>52</v>
      </c>
      <c r="D308" s="83" t="inlineStr"/>
      <c r="E308" s="83" t="inlineStr">
        <is>
          <t>Baseline</t>
        </is>
      </c>
      <c r="F308" s="83" t="inlineStr">
        <is>
          <t>2015 baseline = 52. Math: 50 +2 capped cosmetic/commercial +0 civic/financial/structural +0 negatives. Positive evidence in force: Occasional Pride posts/inclusive ads (+2)</t>
        </is>
      </c>
      <c r="G308" s="83" t="inlineStr">
        <is>
          <t>(+2) p_generic_post — https://web.archive.org/web/2024/https://www.geico.com/ [documented as of 2024; credited from 2015 per methodology]</t>
        </is>
      </c>
    </row>
    <row r="309">
      <c r="A309" s="83" t="inlineStr">
        <is>
          <t>Liberty Mutual</t>
        </is>
      </c>
      <c r="B309" s="83" t="n">
        <v>2015</v>
      </c>
      <c r="C309" s="83" t="n">
        <v>74</v>
      </c>
      <c r="D309" s="83" t="inlineStr"/>
      <c r="E309" s="83" t="inlineStr">
        <is>
          <t>Baseline</t>
        </is>
      </c>
      <c r="F309" s="83" t="inlineStr">
        <is>
          <t>2015 baseline = 74. Math: 50 +2 capped cosmetic/commercial +22 civic/financial/structural +0 negatives. Positive evidence in force: Pride posts and engagement (+2); Inclusive partner and gender-affirming benefits (CEI-verified) (+22)</t>
        </is>
      </c>
      <c r="G309" s="83" t="inlineStr">
        <is>
          <t>(+2) p_generic_post — https://web.archive.org/web/2024/https://www.libertymutualgroup.com/about-lm/corporate-information/diversity-equity-inclusion [documented as of 2024; credited from 2015 per methodology] || (+22) p_benefits — https://reports.hrc.org/corporate-equality-index-2025 [documented as of 2024; credited from 2015 per methodology]</t>
        </is>
      </c>
    </row>
    <row r="310">
      <c r="A310" s="83" t="inlineStr">
        <is>
          <t>Farmers Insurance</t>
        </is>
      </c>
      <c r="B310" s="83" t="n">
        <v>2015</v>
      </c>
      <c r="C310" s="83" t="n">
        <v>52</v>
      </c>
      <c r="D310" s="83" t="inlineStr"/>
      <c r="E310" s="83" t="inlineStr">
        <is>
          <t>Baseline</t>
        </is>
      </c>
      <c r="F310" s="83" t="inlineStr">
        <is>
          <t>2015 baseline = 52. Math: 50 +2 capped cosmetic/commercial +0 civic/financial/structural +0 negatives. Positive evidence in force: Occasional Pride posts (+2)</t>
        </is>
      </c>
      <c r="G310" s="83" t="inlineStr">
        <is>
          <t>(+2) p_generic_post — https://web.archive.org/web/2024/https://www.farmers.com/ [documented as of 2024; credited from 2015 per methodology]</t>
        </is>
      </c>
    </row>
    <row r="311">
      <c r="A311" s="83" t="inlineStr">
        <is>
          <t>Farmers Insurance</t>
        </is>
      </c>
      <c r="B311" s="83" t="n">
        <v>2021</v>
      </c>
      <c r="C311" s="83" t="n">
        <v>22</v>
      </c>
      <c r="D311" s="83" t="n">
        <v>-30</v>
      </c>
      <c r="E311" s="83" t="inlineStr">
        <is>
          <t>Change</t>
        </is>
      </c>
      <c r="F311" s="83" t="inlineStr">
        <is>
          <t>Score falls from 52 to 22 (-30). Driver(s): n_anti_lgbtq_donations (-30): Documented $47,100 to 16 anti-LGBTQ+ bill sponsors across 3 states, 2019-2022 (Data for Progress). New total: 50 +2 capped cosmetic/commercial +0 civic/financial/structural -30 negatives = 22.</t>
        </is>
      </c>
      <c r="G311" s="83" t="inlineStr">
        <is>
          <t>(-30) n_anti_lgbtq_donations — https://www.filesforprogress.org/datasets/2022/5/AccountableAllies-Data.pdf</t>
        </is>
      </c>
    </row>
    <row r="312">
      <c r="A312" s="83" t="inlineStr">
        <is>
          <t>Electronic Arts</t>
        </is>
      </c>
      <c r="B312" s="83" t="n">
        <v>2015</v>
      </c>
      <c r="C312" s="83" t="n">
        <v>67</v>
      </c>
      <c r="D312" s="83" t="inlineStr"/>
      <c r="E312" s="83" t="inlineStr">
        <is>
          <t>Baseline</t>
        </is>
      </c>
      <c r="F312" s="83" t="inlineStr">
        <is>
          <t>2015 baseline = 67. Math: 50 +2 capped cosmetic/commercial +15 civic/financial/structural +0 negatives. Positive evidence in force: Annual Pride campaigns and posts (+2); Funded Pride employee resource group (+15)</t>
        </is>
      </c>
      <c r="G312" s="83" t="inlineStr">
        <is>
          <t>(+2) p_generic_post — https://web.archive.org/web/2024/https://www.ea.com/ [documented as of 2024; credited from 2015 per methodology] || (+15) p_erg_support — https://web.archive.org/web/2024/https://www.ea.com/commitments/inclusion-and-diversity [documented as of 2024; credited from 2015 per methodology]</t>
        </is>
      </c>
    </row>
    <row r="313">
      <c r="A313" s="83" t="inlineStr">
        <is>
          <t>Electronic Arts</t>
        </is>
      </c>
      <c r="B313" s="83" t="n">
        <v>2022</v>
      </c>
      <c r="C313" s="83" t="n">
        <v>75</v>
      </c>
      <c r="D313" s="83" t="n">
        <v>8</v>
      </c>
      <c r="E313" s="83" t="inlineStr">
        <is>
          <t>Change</t>
        </is>
      </c>
      <c r="F313" s="83" t="inlineStr">
        <is>
          <t>Score rises from 67 to 75 (+8). Driver(s): p_collab (+8): Inclusive game content: The Sims same-sex relationships (2000—), customizable pronouns (2022—), queer characters across franchises. New total: 50 +10 capped cosmetic/commercial +15 civic/financial/structural +0 negatives = 75.</t>
        </is>
      </c>
      <c r="G313" s="83" t="inlineStr">
        <is>
          <t>(+8) p_collab — https://en.wikipedia.org/wiki/LGBT_themes_in_video_games</t>
        </is>
      </c>
    </row>
    <row r="314">
      <c r="A314" s="83" t="inlineStr">
        <is>
          <t>Take-Two Interactive</t>
        </is>
      </c>
      <c r="B314" s="83" t="n">
        <v>2015</v>
      </c>
      <c r="C314" s="83" t="n">
        <v>52</v>
      </c>
      <c r="D314" s="83" t="inlineStr"/>
      <c r="E314" s="83" t="inlineStr">
        <is>
          <t>Baseline</t>
        </is>
      </c>
      <c r="F314" s="83" t="inlineStr">
        <is>
          <t>2015 baseline = 52. Math: 50 +2 capped cosmetic/commercial +0 civic/financial/structural +0 negatives. Positive evidence in force: Occasional Pride posts (+2)</t>
        </is>
      </c>
      <c r="G314" s="83" t="inlineStr">
        <is>
          <t>(+2) p_generic_post — https://web.archive.org/web/2024/https://www.take2games.com/ [documented as of 2024; credited from 2015 per methodology]</t>
        </is>
      </c>
    </row>
    <row r="315">
      <c r="A315" s="83" t="inlineStr">
        <is>
          <t>The New York Times Company</t>
        </is>
      </c>
      <c r="B315" s="83" t="n">
        <v>2015</v>
      </c>
      <c r="C315" s="83" t="n">
        <v>67</v>
      </c>
      <c r="D315" s="83" t="inlineStr"/>
      <c r="E315" s="83" t="inlineStr">
        <is>
          <t>Baseline</t>
        </is>
      </c>
      <c r="F315" s="83" t="inlineStr">
        <is>
          <t>2015 baseline = 67. Math: 50 +2 capped cosmetic/commercial +15 civic/financial/structural +0 negatives. Positive evidence in force: Pride engagement and inclusive workplace programs (+2); Funded LGBTQ+ employee resource group (+15)</t>
        </is>
      </c>
      <c r="G315" s="83" t="inlineStr">
        <is>
          <t>(+2) p_generic_post — https://web.archive.org/web/2024/https://www.nytco.com/ [documented as of 2024; credited from 2015 per methodology] || (+15) p_erg_support — https://web.archive.org/web/2024/https://www.nytco.com/careers/ [documented as of 2024; credited from 2015 per methodology]</t>
        </is>
      </c>
    </row>
    <row r="316">
      <c r="A316" s="83" t="inlineStr">
        <is>
          <t>The New York Times Company</t>
        </is>
      </c>
      <c r="B316" s="83" t="n">
        <v>2023</v>
      </c>
      <c r="C316" s="83" t="n">
        <v>57</v>
      </c>
      <c r="D316" s="83" t="n">
        <v>-10</v>
      </c>
      <c r="E316" s="83" t="inlineStr">
        <is>
          <t>Change</t>
        </is>
      </c>
      <c r="F316" s="83" t="inlineStr">
        <is>
          <t>Score falls from 67 to 57 (-10). Driver(s): n_selective (-10): Trans coverage criticized in 2023 open letter from GLAAD and 1,000+ contributors; leadership defended the coverage. New total: 50 +2 capped cosmetic/commercial +15 civic/financial/structural -10 negatives = 57.</t>
        </is>
      </c>
      <c r="G316" s="83" t="inlineStr">
        <is>
          <t>(-10) n_selective — https://en.wikipedia.org/wiki/New_York_Times_contributor_letter</t>
        </is>
      </c>
    </row>
    <row r="317">
      <c r="A317" s="83" t="inlineStr">
        <is>
          <t>iHeartMedia</t>
        </is>
      </c>
      <c r="B317" s="83" t="n">
        <v>2015</v>
      </c>
      <c r="C317" s="83" t="n">
        <v>52</v>
      </c>
      <c r="D317" s="83" t="inlineStr"/>
      <c r="E317" s="83" t="inlineStr">
        <is>
          <t>Baseline</t>
        </is>
      </c>
      <c r="F317" s="83" t="inlineStr">
        <is>
          <t>2015 baseline = 52. Math: 50 +2 capped cosmetic/commercial +0 civic/financial/structural +0 negatives. Positive evidence in force: Pride programming and posts (+2)</t>
        </is>
      </c>
      <c r="G317" s="83" t="inlineStr">
        <is>
          <t>(+2) p_generic_post — https://web.archive.org/web/2024/https://www.iheartmedia.com/ [documented as of 2024; credited from 2015 per methodology]</t>
        </is>
      </c>
    </row>
    <row r="318">
      <c r="A318" s="83" t="inlineStr">
        <is>
          <t>Kaiser Permanente</t>
        </is>
      </c>
      <c r="B318" s="83" t="n">
        <v>2015</v>
      </c>
      <c r="C318" s="83" t="n">
        <v>89</v>
      </c>
      <c r="D318" s="83" t="inlineStr"/>
      <c r="E318" s="83" t="inlineStr">
        <is>
          <t>Baseline</t>
        </is>
      </c>
      <c r="F318" s="83" t="inlineStr">
        <is>
          <t>2015 baseline = 89. Math: 50 +2 capped cosmetic/commercial +37 civic/financial/structural +0 negatives. Positive evidence in force: Pride posts and regional Pride sponsorships (+2); Funded LGBTQ+ employee resource group (+15); Provider and insurer of gender-affirming care with dedicated transgen… (+22)</t>
        </is>
      </c>
      <c r="G318" s="83" t="inlineStr">
        <is>
          <t>(+2) p_generic_post — https://web.archive.org/web/2024/https://about.kaiserpermanente.org/ [documented as of 2024; credited from 2015 per methodology] || (+15) p_erg_support — https://web.archive.org/web/2024/https://about.kaiserpermanente.org/commitments-and-impact/equity-inclusion-and-diversity [documented as of 2024; credited from 2015 per methodology] || (+22) p_benefits — https://about.kaiserpermanente.org/health-and-wellness/health-equity/lgbtq-health [documented as of 2024; credited from 2015 per methodology]</t>
        </is>
      </c>
    </row>
    <row r="319">
      <c r="A319" s="83" t="inlineStr">
        <is>
          <t>Quest Diagnostics</t>
        </is>
      </c>
      <c r="B319" s="83" t="n">
        <v>2015</v>
      </c>
      <c r="C319" s="83" t="n">
        <v>52</v>
      </c>
      <c r="D319" s="83" t="inlineStr"/>
      <c r="E319" s="83" t="inlineStr">
        <is>
          <t>Baseline</t>
        </is>
      </c>
      <c r="F319" s="83" t="inlineStr">
        <is>
          <t>2015 baseline = 52. Math: 50 +2 capped cosmetic/commercial +0 civic/financial/structural +0 negatives. Positive evidence in force: Occasional Pride posts (+2)</t>
        </is>
      </c>
      <c r="G319" s="83" t="inlineStr">
        <is>
          <t>(+2) p_generic_post — https://web.archive.org/web/2024/https://www.questdiagnostics.com/ [documented as of 2024; credited from 2015 per methodology]</t>
        </is>
      </c>
    </row>
    <row r="320">
      <c r="A320" s="83" t="inlineStr">
        <is>
          <t>AMD</t>
        </is>
      </c>
      <c r="B320" s="83" t="n">
        <v>2015</v>
      </c>
      <c r="C320" s="83" t="n">
        <v>74</v>
      </c>
      <c r="D320" s="83" t="inlineStr"/>
      <c r="E320" s="83" t="inlineStr">
        <is>
          <t>Baseline</t>
        </is>
      </c>
      <c r="F320" s="83" t="inlineStr">
        <is>
          <t>2015 baseline = 74. Math: 50 +2 capped cosmetic/commercial +22 civic/financial/structural +0 negatives. Positive evidence in force: Pride posts and engagement (+2); Inclusive partner and gender-affirming benefits (CEI-verified) (+22)</t>
        </is>
      </c>
      <c r="G320" s="83" t="inlineStr">
        <is>
          <t>(+2) p_generic_post — https://web.archive.org/web/2024/https://www.amd.com/en/corporate/corporate-responsibility/diversity-belonging.html [documented as of 2024; credited from 2015 per methodology] || (+22) p_benefits — https://reports.hrc.org/corporate-equality-index-2025 [documented as of 2024; credited from 2015 per methodology]</t>
        </is>
      </c>
    </row>
    <row r="321">
      <c r="A321" s="83" t="inlineStr">
        <is>
          <t>Booz Allen Hamilton</t>
        </is>
      </c>
      <c r="B321" s="83" t="n">
        <v>2015</v>
      </c>
      <c r="C321" s="83" t="n">
        <v>79</v>
      </c>
      <c r="D321" s="83" t="inlineStr"/>
      <c r="E321" s="83" t="inlineStr">
        <is>
          <t>Baseline</t>
        </is>
      </c>
      <c r="F321" s="83" t="inlineStr">
        <is>
          <t>2015 baseline = 79. Math: 50 +2 capped cosmetic/commercial +27 civic/financial/structural +0 negatives. Positive evidence in force: Pride posts and engagement (through 2024) (+2); WorldPride/Capital Pride sponsorship (dropped 2025) (+12); Funded LGBTQ+ employee resource group (+15)</t>
        </is>
      </c>
      <c r="G321" s="83" t="inlineStr">
        <is>
          <t>(+2) p_generic_post — https://web.archive.org/web/2024/https://www.boozallen.com/about/diversity-equity-and-inclusion.html [documented as of 2024; credited from 2015 per methodology] || (+12) p_parade_sponsor — https://www.advocate.com/news/booz-allen-hamilton-worldpride-sponsorship [documented as of 2024; credited from 2015 per methodology] || (+15) p_erg_support — https://web.archive.org/web/2024/https://www.boozallen.com/about/diversity-equity-and-inclusion.html [documented as of 2024; credited from 2015 per methodology]</t>
        </is>
      </c>
    </row>
    <row r="322">
      <c r="A322" s="83" t="inlineStr">
        <is>
          <t>Booz Allen Hamilton</t>
        </is>
      </c>
      <c r="B322" s="83" t="n">
        <v>2025</v>
      </c>
      <c r="C322" s="83" t="n">
        <v>25</v>
      </c>
      <c r="D322" s="83" t="n">
        <v>-54</v>
      </c>
      <c r="E322" s="83" t="inlineStr">
        <is>
          <t>Change</t>
        </is>
      </c>
      <c r="F322" s="83" t="inlineStr">
        <is>
          <t>Score falls from 79 to 25 (-54). Driver(s): n_dei_removal (-32): Scrapped DEI programs citing federal contract eligibility risk (CPO town hall, Bloomberg) | n_pride_retreat (-22): Dropped WorldPride 2025 sponsorship in Washington DC after ending DEI. New total: 50 +2 capped cosmetic/commercial +27 civic/financial/structural -54 negatives = 25.</t>
        </is>
      </c>
      <c r="G322" s="83" t="inlineStr">
        <is>
          <t>(-32) n_dei_removal — https://www.bloomberg.com/news/articles/2025-02-07/booz-allen-scraps-dei-programs-in-reaction-to-trump-orders || (-22) n_pride_retreat — https://www.advocate.com/news/booz-allen-hamilton-worldpride-sponsorship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2026-06-10T23:51:47Z</dcterms:created>
  <dcterms:modified xmlns:dcterms="http://purl.org/dc/terms/" xmlns:xsi="http://www.w3.org/2001/XMLSchema-instance" xsi:type="dcterms:W3CDTF">2026-06-12T23:06:22Z</dcterms:modified>
  <cp:revision>0</cp:revision>
</cp:coreProperties>
</file>